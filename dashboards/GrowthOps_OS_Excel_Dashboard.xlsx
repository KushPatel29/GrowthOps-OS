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05b1022e2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09d235133d54f10"/>
    <x:sheet xmlns:r="http://schemas.openxmlformats.org/officeDocument/2006/relationships" name="Daily" sheetId="2" r:id="R4bb6b630ff9a4c27"/>
    <x:sheet xmlns:r="http://schemas.openxmlformats.org/officeDocument/2006/relationships" name="Campaigns" sheetId="3" r:id="R478f8a2b0cf3470a"/>
    <x:sheet xmlns:r="http://schemas.openxmlformats.org/officeDocument/2006/relationships" name="Funnel" sheetId="4" r:id="R0593ec3c82574c55"/>
    <x:sheet xmlns:r="http://schemas.openxmlformats.org/officeDocument/2006/relationships" name="Content" sheetId="5" r:id="Rc3e94e61ebc441f2"/>
    <x:sheet xmlns:r="http://schemas.openxmlformats.org/officeDocument/2006/relationships" name="Experiments" sheetId="6" r:id="Raec43166df8040b1"/>
    <x:sheet xmlns:r="http://schemas.openxmlformats.org/officeDocument/2006/relationships" name="Quality" sheetId="7" r:id="R5b0bbdbef8ed481f"/>
    <x:sheet xmlns:r="http://schemas.openxmlformats.org/officeDocument/2006/relationships" name="Migration" sheetId="8" r:id="Rd6975b57ddf04435"/>
    <x:sheet xmlns:r="http://schemas.openxmlformats.org/officeDocument/2006/relationships" name="Renewals" sheetId="9" r:id="R9c52b30adfc943f0"/>
    <x:sheet xmlns:r="http://schemas.openxmlformats.org/officeDocument/2006/relationships" name="Revenue" sheetId="10" r:id="R5337664b449c4fe1"/>
    <x:sheet xmlns:r="http://schemas.openxmlformats.org/officeDocument/2006/relationships" name="Audit" sheetId="11" r:id="Rb173218f33f2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.0%"/>
    <x:numFmt numFmtId="203" formatCode="&quot;$&quot;#,##0"/>
    <x:numFmt numFmtId="204" formatCode="&quot;$&quot;#,##0.00"/>
    <x:numFmt numFmtId="205" formatCode="0.00&quot;x&quot;"/>
  </x:numFmts>
  <x:fonts count="7">
    <x:font>
      <x:sz val="11"/>
      <x:name val="Carlito"/>
    </x:font>
    <x:font>
      <x:b/>
      <x:sz val="10"/>
      <x:color rgb="FFFFFFFF"/>
      <x:name val="Arial"/>
    </x:font>
    <x:font>
      <x:b/>
      <x:sz val="10"/>
      <x:color rgb="FF102A43"/>
      <x:name val="Arial"/>
    </x:font>
    <x:font>
      <x:sz val="10"/>
      <x:color rgb="FF102A43"/>
      <x:name val="Arial"/>
    </x:font>
    <x:font>
      <x:b/>
      <x:sz val="16"/>
      <x:color rgb="FF173A5C"/>
      <x:name val="Arial"/>
    </x:font>
    <x:font>
      <x:i/>
      <x:sz val="10"/>
      <x:color rgb="FF4B6479"/>
      <x:name val="Arial"/>
    </x:font>
    <x:font>
      <x:b/>
      <x:sz val="14"/>
      <x:color rgb="FF173A5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A5C"/>
      </x:patternFill>
    </x:fill>
    <x:fill>
      <x:patternFill patternType="solid">
        <x:fgColor rgb="FFEAF3F3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0" xfId="0" applyNumberFormat="1" applyFont="1" applyFill="1" applyBorder="1"/>
    <x:xf numFmtId="203" fontId="3" fillId="0" borderId="0" xfId="0" applyNumberFormat="1" applyFont="1" applyFill="1" applyBorder="1"/>
    <x:xf numFmtId="203" fontId="2" fillId="3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d4f03e9394fd1" /><Relationship Type="http://schemas.openxmlformats.org/officeDocument/2006/relationships/theme" Target="/xl/theme/theme1.xml" Id="Ree816c9f5b2f4ddc" /><Relationship Type="http://schemas.openxmlformats.org/officeDocument/2006/relationships/sharedStrings" Target="/xl/sharedStrings.xml" Id="R045724701bc84c6a" /><Relationship Type="http://schemas.openxmlformats.org/officeDocument/2006/relationships/worksheet" Target="/xl/worksheets/sheet1.xml" Id="R109d235133d54f10" /><Relationship Type="http://schemas.openxmlformats.org/officeDocument/2006/relationships/worksheet" Target="/xl/worksheets/sheet2.xml" Id="R4bb6b630ff9a4c27" /><Relationship Type="http://schemas.openxmlformats.org/officeDocument/2006/relationships/worksheet" Target="/xl/worksheets/sheet3.xml" Id="R478f8a2b0cf3470a" /><Relationship Type="http://schemas.openxmlformats.org/officeDocument/2006/relationships/worksheet" Target="/xl/worksheets/sheet4.xml" Id="R0593ec3c82574c55" /><Relationship Type="http://schemas.openxmlformats.org/officeDocument/2006/relationships/worksheet" Target="/xl/worksheets/sheet5.xml" Id="Rc3e94e61ebc441f2" /><Relationship Type="http://schemas.openxmlformats.org/officeDocument/2006/relationships/worksheet" Target="/xl/worksheets/sheet6.xml" Id="Raec43166df8040b1" /><Relationship Type="http://schemas.openxmlformats.org/officeDocument/2006/relationships/worksheet" Target="/xl/worksheets/sheet7.xml" Id="R5b0bbdbef8ed481f" /><Relationship Type="http://schemas.openxmlformats.org/officeDocument/2006/relationships/worksheet" Target="/xl/worksheets/sheet8.xml" Id="Rd6975b57ddf04435" /><Relationship Type="http://schemas.openxmlformats.org/officeDocument/2006/relationships/worksheet" Target="/xl/worksheets/sheet9.xml" Id="R9c52b30adfc943f0" /><Relationship Type="http://schemas.openxmlformats.org/officeDocument/2006/relationships/worksheet" Target="/xl/worksheets/sheet10.xml" Id="R5337664b449c4fe1" /><Relationship Type="http://schemas.openxmlformats.org/officeDocument/2006/relationships/worksheet" Target="/xl/worksheets/sheet11.xml" Id="Rb173218f33f24e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e05e912d784c88" /><Relationship Type="http://schemas.openxmlformats.org/officeDocument/2006/relationships/chart" Target="/xl/drawings/charts/chart2.xml" Id="R4f9332fe0d7049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Net cash by campaign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cash (USD)</c:v>
          </c:tx>
          <c:spPr>
            <a:solidFill xmlns:a="http://schemas.openxmlformats.org/drawingml/2006/main">
              <a:srgbClr val="087F78"/>
            </a:solidFill>
          </c:spPr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'Dashboard'!$E$5:$E$10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People by lifecycle stage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People</c:v>
          </c:tx>
          <c:spPr>
            <a:solidFill xmlns:a="http://schemas.openxmlformats.org/drawingml/2006/main">
              <a:srgbClr val="173A5C"/>
            </a:solidFill>
          </c:spPr>
          <c:cat>
            <c:strRef>
              <c:f>'Dashboard'!$D$18:$D$26</c:f>
              <c:strCache>
                <c:ptCount val="0"/>
              </c:strCache>
            </c:strRef>
          </c:cat>
          <c:val>
            <c:numRef>
              <c:f>'Dashboard'!$E$18:$E$26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e05e912d784c88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9332fe0d7049c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fc27c6292d4777" /></Relationships>
</file>

<file path=xl/worksheets/sheet1.xml><?xml version="1.0" encoding="utf-8"?>
<x:worksheet xmlns:x="http://schemas.openxmlformats.org/spreadsheetml/2006/main">
  <x:sheetPr>
    <x:tabColor rgb="FF173A5C"/>
  </x:sheetPr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3" hidden="0" customWidth="1"/>
    <x:col min="4" max="4" width="28" hidden="0" customWidth="1"/>
    <x:col min="5" max="5" width="20" hidden="0" customWidth="1"/>
    <x:col min="6" max="6" width="3" hidden="0" customWidth="1"/>
    <x:col min="7" max="7" width="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8" t="str">
        <x:v>ScaleLab GrowthOps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9" t="str">
        <x:v>Synthetic portfolio case · USD · all available records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2" t="str">
        <x:v>Revenue and acquisition</x:v>
      </x:c>
      <x:c r="B4" s="2" t="str">
        <x:v>Value</x:v>
      </x:c>
      <x:c r="C4" s="4"/>
      <x:c r="D4" s="2" t="str">
        <x:v>Campaign</x:v>
      </x:c>
      <x:c r="E4" s="2" t="str">
        <x:v>Net cash (USD)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>
      <x:c r="A5" s="4" t="str">
        <x:v>Booked deal value</x:v>
      </x:c>
      <x:c r="B5" s="13" t="n">
        <x:f>Revenue!A2/100</x:f>
        <x:v>19500</x:v>
      </x:c>
      <x:c r="C5" s="4"/>
      <x:c r="D5" s="4" t="str">
        <x:f>Campaigns!A2</x:f>
        <x:v>FB-Broad</x:v>
      </x:c>
      <x:c r="E5" s="13" t="n">
        <x:f>Campaigns!G2/100</x:f>
        <x:v>5100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>
      <x:c r="A6" s="4" t="str">
        <x:v>Gross collected</x:v>
      </x:c>
      <x:c r="B6" s="13" t="n">
        <x:f>Revenue!B2/100</x:f>
        <x:v>19500</x:v>
      </x:c>
      <x:c r="C6" s="4"/>
      <x:c r="D6" s="4" t="str">
        <x:f>Campaigns!A3</x:f>
        <x:v>newsletter</x:v>
      </x:c>
      <x:c r="E6" s="13" t="n">
        <x:f>Campaigns!G3/100</x:f>
        <x:v>4500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>
      <x:c r="A7" s="4" t="str">
        <x:v>Refunds</x:v>
      </x:c>
      <x:c r="B7" s="13" t="n">
        <x:f>Revenue!C2/100</x:f>
        <x:v>600</x:v>
      </x:c>
      <x:c r="C7" s="4"/>
      <x:c r="D7" s="4" t="str">
        <x:f>Campaigns!A4</x:f>
        <x:v>youtube-guide</x:v>
      </x:c>
      <x:c r="E7" s="13" t="n">
        <x:f>Campaigns!G4/100</x:f>
        <x:v>3900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>
      <x:c r="A8" s="12" t="str">
        <x:v>Net collected cash</x:v>
      </x:c>
      <x:c r="B8" s="14" t="n">
        <x:f>Revenue!D2/100</x:f>
        <x:v>18900</x:v>
      </x:c>
      <x:c r="C8" s="4"/>
      <x:c r="D8" s="4" t="str">
        <x:f>Campaigns!A5</x:f>
        <x:v>google-growth</x:v>
      </x:c>
      <x:c r="E8" s="13" t="n">
        <x:f>Campaigns!G5/100</x:f>
        <x:v>3300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>
      <x:c r="A9" s="4" t="str">
        <x:v>Paid spend</x:v>
      </x:c>
      <x:c r="B9" s="13" t="n">
        <x:f>SUM(Campaigns!D2:D7)/100</x:f>
        <x:v>13400</x:v>
      </x:c>
      <x:c r="C9" s="4"/>
      <x:c r="D9" s="4" t="str">
        <x:f>Campaigns!A6</x:f>
        <x:v>meta-founder</x:v>
      </x:c>
      <x:c r="E9" s="13" t="n">
        <x:f>Campaigns!G6/100</x:f>
        <x:v>2100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>
      <x:c r="A10" s="4" t="str">
        <x:v>Paid leads</x:v>
      </x:c>
      <x:c r="B10" s="4" t="n">
        <x:f>SUMIFS(Campaigns!E2:E7,Campaigns!C2:C7,"paid_social")+SUMIFS(Campaigns!E2:E7,Campaigns!C2:C7,"paid_search")</x:f>
        <x:v>144</x:v>
      </x:c>
      <x:c r="C10" s="4"/>
      <x:c r="D10" s="4" t="str">
        <x:f>Campaigns!A7</x:f>
        <x:v>direct</x:v>
      </x:c>
      <x:c r="E10" s="13" t="n">
        <x:f>Campaigns!G7/100</x:f>
        <x:v>0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>
      <x:c r="A11" s="4" t="str">
        <x:v>Cost per paid lead</x:v>
      </x:c>
      <x:c r="B11" s="15" t="n">
        <x:f>IF(B10=0,"n.a.",B9/B10)</x:f>
        <x:v>93.05555555555556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>
      <x:c r="A12" s="4" t="str">
        <x:v>Net cash ROAS</x:v>
      </x:c>
      <x:c r="B12" s="16" t="n">
        <x:f>IF(B9=0,"n.a.",(SUMIFS(Campaigns!G2:G7,Campaigns!C2:C7,"paid_social")+SUMIFS(Campaigns!G2:G7,Campaigns!C2:C7,"paid_search"))/(B9*100))</x:f>
        <x:v>0.7835820895522388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>
      <x:c r="A14" s="2" t="str">
        <x:v>Measurement quality</x:v>
      </x:c>
      <x:c r="B14" s="2" t="str">
        <x:v>Actual</x:v>
      </x:c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>
      <x:c r="A15" s="4" t="str">
        <x:v>UTM completeness</x:v>
      </x:c>
      <x:c r="B15" s="7" t="n">
        <x:f>Quality!B2/Quality!A2</x:f>
        <x:v>0.9343283582089552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>
      <x:c r="A16" s="4" t="str">
        <x:v>Campaign registry match</x:v>
      </x:c>
      <x:c r="B16" s="7" t="n">
        <x:f>Quality!C2/Quality!A2</x:f>
        <x:v>0.8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>
      <x:c r="A17" s="4" t="str">
        <x:v>CRM owner coverage</x:v>
      </x:c>
      <x:c r="B17" s="7" t="n">
        <x:f>Quality!D2/Quality!E2</x:f>
        <x:v>0.9375</x:v>
      </x:c>
      <x:c r="C17" s="4"/>
      <x:c r="D17" s="2" t="str">
        <x:v>Stage</x:v>
      </x:c>
      <x:c r="E17" s="2" t="str">
        <x:v>People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>
      <x:c r="A18" s="4" t="str">
        <x:v>Payment-deal match</x:v>
      </x:c>
      <x:c r="B18" s="7" t="n">
        <x:f>1-Quality!G2/Quality!H2</x:f>
        <x:v>0.9666666666666667</x:v>
      </x:c>
      <x:c r="C18" s="4"/>
      <x:c r="D18" s="4" t="str">
        <x:f>Funnel!A2</x:f>
        <x:v>lead</x:v>
      </x:c>
      <x:c r="E18" s="4" t="n">
        <x:f>Funnel!C2</x:f>
        <x:v>240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>
      <x:c r="A19" s="4" t="str">
        <x:v>Lifecycle integrity</x:v>
      </x:c>
      <x:c r="B19" s="7" t="n">
        <x:f>Quality!J2/Quality!I2</x:f>
        <x:v>0.9</x:v>
      </x:c>
      <x:c r="C19" s="4"/>
      <x:c r="D19" s="4" t="str">
        <x:f>Funnel!A3</x:f>
        <x:v>mql</x:v>
      </x:c>
      <x:c r="E19" s="4" t="n">
        <x:f>Funnel!C3</x:f>
        <x:v>100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>
      <x:c r="A20" s="4"/>
      <x:c r="B20" s="4"/>
      <x:c r="C20" s="4"/>
      <x:c r="D20" s="4" t="str">
        <x:f>Funnel!A4</x:f>
        <x:v>call_booked</x:v>
      </x:c>
      <x:c r="E20" s="4" t="n">
        <x:f>Funnel!C4</x:f>
        <x:v>60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>
      <x:c r="A21" s="2" t="str">
        <x:v>Customer lifecycle</x:v>
      </x:c>
      <x:c r="B21" s="2" t="str">
        <x:v>Count</x:v>
      </x:c>
      <x:c r="C21" s="4"/>
      <x:c r="D21" s="4" t="str">
        <x:f>Funnel!A5</x:f>
        <x:v>call_attended</x:v>
      </x:c>
      <x:c r="E21" s="4" t="n">
        <x:f>Funnel!C5</x:f>
        <x:v>40</x:v>
      </x:c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>
      <x:c r="A22" s="4" t="str">
        <x:v>Legacy contacts</x:v>
      </x:c>
      <x:c r="B22" s="4" t="n">
        <x:f>Migration!A2</x:f>
        <x:v>243</x:v>
      </x:c>
      <x:c r="C22" s="4"/>
      <x:c r="D22" s="4" t="str">
        <x:f>Funnel!A6</x:f>
        <x:v>opportunity</x:v>
      </x:c>
      <x:c r="E22" s="4" t="n">
        <x:f>Funnel!C6</x:f>
        <x:v>37</x:v>
      </x:c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>
      <x:c r="A23" s="4" t="str">
        <x:v>Missing after migration</x:v>
      </x:c>
      <x:c r="B23" s="4" t="n">
        <x:f>Migration!C2</x:f>
        <x:v>3</x:v>
      </x:c>
      <x:c r="C23" s="4"/>
      <x:c r="D23" s="4" t="str">
        <x:f>Funnel!A7</x:f>
        <x:v>closed_won</x:v>
      </x:c>
      <x:c r="E23" s="4" t="n">
        <x:f>Funnel!C7</x:f>
        <x:v>30</x:v>
      </x:c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>
      <x:c r="A24" s="4" t="str">
        <x:v>High-risk renewals</x:v>
      </x:c>
      <x:c r="B24" s="4" t="n">
        <x:f>COUNTIFS(Renewals!F2:F16,"high")</x:f>
        <x:v>2</x:v>
      </x:c>
      <x:c r="C24" s="4"/>
      <x:c r="D24" s="4" t="str">
        <x:f>Funnel!A8</x:f>
        <x:v>paid</x:v>
      </x:c>
      <x:c r="E24" s="4" t="n">
        <x:f>Funnel!C8</x:f>
        <x:v>30</x:v>
      </x:c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>
      <x:c r="A25" s="4" t="str">
        <x:v>Due within seven days</x:v>
      </x:c>
      <x:c r="B25" s="4" t="n">
        <x:f>COUNTIFS(Renewals!F2:F16,"medium")</x:f>
        <x:v>3</x:v>
      </x:c>
      <x:c r="C25" s="4"/>
      <x:c r="D25" s="4" t="str">
        <x:f>Funnel!A9</x:f>
        <x:v>activated</x:v>
      </x:c>
      <x:c r="E25" s="4" t="n">
        <x:f>Funnel!C9</x:f>
        <x:v>30</x:v>
      </x:c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>
      <x:c r="A26" s="4"/>
      <x:c r="B26" s="4"/>
      <x:c r="C26" s="4"/>
      <x:c r="D26" s="4" t="str">
        <x:f>Funnel!A10</x:f>
        <x:v>renewed</x:v>
      </x:c>
      <x:c r="E26" s="4" t="n">
        <x:f>Funnel!C10</x:f>
        <x:v>6</x:v>
      </x:c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>
      <x:c r="A27" s="2" t="str">
        <x:v>Experiment decision</x:v>
      </x:c>
      <x:c r="B27" s="2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>
      <x:c r="A28" s="4" t="str">
        <x:v>Variant A cash/visitor (USD)</x:v>
      </x:c>
      <x:c r="B28" s="15" t="n">
        <x:f>Experiments!L2/100</x:f>
        <x:v>25.2</x:v>
      </x:c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</x:row>
    <x:row r="29">
      <x:c r="A29" s="4" t="str">
        <x:v>Variant B cash/visitor (USD)</x:v>
      </x:c>
      <x:c r="B29" s="15" t="n">
        <x:f>Experiments!L3/100</x:f>
        <x:v>12.6</x:v>
      </x:c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>
      <x:c r="A30" s="4" t="str">
        <x:v>B minus A (USD)</x:v>
      </x:c>
      <x:c r="B30" s="15" t="n">
        <x:f>B29-B28</x:f>
        <x:v>-12.6</x:v>
      </x:c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9" t="str">
        <x:v>Daily cash is event-date cash; campaign credit uses lead-creation attribution.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9" t="str">
        <x:v>Experiment cash interval includes zero. No rollout claim.</x:v>
      </x:c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</x:sheetData>
  <x:pageMargins left="0.7" right="0.7" top="0.75" bottom="0.75" header="0.3" footer="0.3"/>
  <x:drawing xmlns:r="http://schemas.openxmlformats.org/officeDocument/2006/relationships" r:id="R3cfc27c6292d4777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6" hidden="0" customWidth="1"/>
    <x:col min="8" max="8" width="20" hidden="0" customWidth="1"/>
    <x:col min="9" max="9" width="20" hidden="0" customWidth="1"/>
  </x:cols>
  <x:sheetData>
    <x:row r="1" ht="27" customHeight="1">
      <x:c r="A1" s="2" t="str">
        <x:v>day</x:v>
      </x:c>
      <x:c r="B1" s="2" t="str">
        <x:v>spend_cents</x:v>
      </x:c>
      <x:c r="C1" s="2" t="str">
        <x:v>leads</x:v>
      </x:c>
      <x:c r="D1" s="2" t="str">
        <x:v>mqls</x:v>
      </x:c>
      <x:c r="E1" s="2" t="str">
        <x:v>calls_booked</x:v>
      </x:c>
      <x:c r="F1" s="2" t="str">
        <x:v>booked_cents</x:v>
      </x:c>
      <x:c r="G1" s="2" t="str">
        <x:v>gross_collected_cents</x:v>
      </x:c>
      <x:c r="H1" s="2" t="str">
        <x:v>refunds_cents</x:v>
      </x:c>
      <x:c r="I1" s="2" t="str">
        <x:v>net_cash_cents</x:v>
      </x:c>
    </x:row>
    <x:row r="2" ht="22" customHeight="1">
      <x:c r="A2" s="5" t="n">
        <x:v>46181</x:v>
      </x:c>
      <x:c r="B2" s="6" t="n">
        <x:v>0</x:v>
      </x:c>
      <x:c r="C2" s="4" t="n">
        <x:v>4</x:v>
      </x:c>
      <x:c r="D2" s="4" t="n">
        <x:v>0</x:v>
      </x:c>
      <x:c r="E2" s="4" t="n">
        <x:v>0</x:v>
      </x:c>
      <x:c r="F2" s="6" t="n">
        <x:v>0</x:v>
      </x:c>
      <x:c r="G2" s="6" t="n">
        <x:v>0</x:v>
      </x:c>
      <x:c r="H2" s="6" t="n">
        <x:v>0</x:v>
      </x:c>
      <x:c r="I2" s="6" t="n">
        <x:v>0</x:v>
      </x:c>
    </x:row>
    <x:row r="3" ht="22" customHeight="1">
      <x:c r="A3" s="5" t="n">
        <x:v>46182</x:v>
      </x:c>
      <x:c r="B3" s="6" t="n">
        <x:v>0</x:v>
      </x:c>
      <x:c r="C3" s="4" t="n">
        <x:v>6</x:v>
      </x:c>
      <x:c r="D3" s="4" t="n">
        <x:v>0</x:v>
      </x:c>
      <x:c r="E3" s="4" t="n">
        <x:v>0</x:v>
      </x:c>
      <x:c r="F3" s="6" t="n">
        <x:v>0</x:v>
      </x:c>
      <x:c r="G3" s="6" t="n">
        <x:v>0</x:v>
      </x:c>
      <x:c r="H3" s="6" t="n">
        <x:v>0</x:v>
      </x:c>
      <x:c r="I3" s="6" t="n">
        <x:v>0</x:v>
      </x:c>
    </x:row>
    <x:row r="4" ht="22" customHeight="1">
      <x:c r="A4" s="5" t="n">
        <x:v>46183</x:v>
      </x:c>
      <x:c r="B4" s="6" t="n">
        <x:v>0</x:v>
      </x:c>
      <x:c r="C4" s="4" t="n">
        <x:v>6</x:v>
      </x:c>
      <x:c r="D4" s="4" t="n">
        <x:v>1</x:v>
      </x:c>
      <x:c r="E4" s="4" t="n">
        <x:v>0</x:v>
      </x:c>
      <x:c r="F4" s="6" t="n">
        <x:v>0</x:v>
      </x:c>
      <x:c r="G4" s="6" t="n">
        <x:v>0</x:v>
      </x:c>
      <x:c r="H4" s="6" t="n">
        <x:v>0</x:v>
      </x:c>
      <x:c r="I4" s="6" t="n">
        <x:v>0</x:v>
      </x:c>
    </x:row>
    <x:row r="5" ht="22" customHeight="1">
      <x:c r="A5" s="5" t="n">
        <x:v>46184</x:v>
      </x:c>
      <x:c r="B5" s="6" t="n">
        <x:v>0</x:v>
      </x:c>
      <x:c r="C5" s="4" t="n">
        <x:v>3</x:v>
      </x:c>
      <x:c r="D5" s="4" t="n">
        <x:v>4</x:v>
      </x:c>
      <x:c r="E5" s="4" t="n">
        <x:v>0</x:v>
      </x:c>
      <x:c r="F5" s="6" t="n">
        <x:v>0</x:v>
      </x:c>
      <x:c r="G5" s="6" t="n">
        <x:v>0</x:v>
      </x:c>
      <x:c r="H5" s="6" t="n">
        <x:v>0</x:v>
      </x:c>
      <x:c r="I5" s="6" t="n">
        <x:v>0</x:v>
      </x:c>
    </x:row>
    <x:row r="6" ht="22" customHeight="1">
      <x:c r="A6" s="5" t="n">
        <x:v>46185</x:v>
      </x:c>
      <x:c r="B6" s="6" t="n">
        <x:v>0</x:v>
      </x:c>
      <x:c r="C6" s="4" t="n">
        <x:v>4</x:v>
      </x:c>
      <x:c r="D6" s="4" t="n">
        <x:v>3</x:v>
      </x:c>
      <x:c r="E6" s="4" t="n">
        <x:v>0</x:v>
      </x:c>
      <x:c r="F6" s="6" t="n">
        <x:v>0</x:v>
      </x:c>
      <x:c r="G6" s="6" t="n">
        <x:v>0</x:v>
      </x:c>
      <x:c r="H6" s="6" t="n">
        <x:v>0</x:v>
      </x:c>
      <x:c r="I6" s="6" t="n">
        <x:v>0</x:v>
      </x:c>
    </x:row>
    <x:row r="7" ht="22" customHeight="1">
      <x:c r="A7" s="5" t="n">
        <x:v>46186</x:v>
      </x:c>
      <x:c r="B7" s="6" t="n">
        <x:v>0</x:v>
      </x:c>
      <x:c r="C7" s="4" t="n">
        <x:v>0</x:v>
      </x:c>
      <x:c r="D7" s="4" t="n">
        <x:v>1</x:v>
      </x:c>
      <x:c r="E7" s="4" t="n">
        <x:v>3</x:v>
      </x:c>
      <x:c r="F7" s="6" t="n">
        <x:v>0</x:v>
      </x:c>
      <x:c r="G7" s="6" t="n">
        <x:v>0</x:v>
      </x:c>
      <x:c r="H7" s="6" t="n">
        <x:v>0</x:v>
      </x:c>
      <x:c r="I7" s="6" t="n">
        <x:v>0</x:v>
      </x:c>
    </x:row>
    <x:row r="8" ht="22" customHeight="1">
      <x:c r="A8" s="5" t="n">
        <x:v>46187</x:v>
      </x:c>
      <x:c r="B8" s="6" t="n">
        <x:v>0</x:v>
      </x:c>
      <x:c r="C8" s="4" t="n">
        <x:v>3</x:v>
      </x:c>
      <x:c r="D8" s="4" t="n">
        <x:v>1</x:v>
      </x:c>
      <x:c r="E8" s="4" t="n">
        <x:v>0</x:v>
      </x:c>
      <x:c r="F8" s="6" t="n">
        <x:v>0</x:v>
      </x:c>
      <x:c r="G8" s="6" t="n">
        <x:v>0</x:v>
      </x:c>
      <x:c r="H8" s="6" t="n">
        <x:v>0</x:v>
      </x:c>
      <x:c r="I8" s="6" t="n">
        <x:v>0</x:v>
      </x:c>
    </x:row>
    <x:row r="9" ht="22" customHeight="1">
      <x:c r="A9" s="5" t="n">
        <x:v>46188</x:v>
      </x:c>
      <x:c r="B9" s="6" t="n">
        <x:v>12261</x:v>
      </x:c>
      <x:c r="C9" s="4" t="n">
        <x:v>1</x:v>
      </x:c>
      <x:c r="D9" s="4" t="n">
        <x:v>0</x:v>
      </x:c>
      <x:c r="E9" s="4" t="n">
        <x:v>1</x:v>
      </x:c>
      <x:c r="F9" s="6" t="n">
        <x:v>0</x:v>
      </x:c>
      <x:c r="G9" s="6" t="n">
        <x:v>0</x:v>
      </x:c>
      <x:c r="H9" s="6" t="n">
        <x:v>0</x:v>
      </x:c>
      <x:c r="I9" s="6" t="n">
        <x:v>0</x:v>
      </x:c>
    </x:row>
    <x:row r="10" ht="22" customHeight="1">
      <x:c r="A10" s="5" t="n">
        <x:v>46189</x:v>
      </x:c>
      <x:c r="B10" s="6" t="n">
        <x:v>12371</x:v>
      </x:c>
      <x:c r="C10" s="4" t="n">
        <x:v>3</x:v>
      </x:c>
      <x:c r="D10" s="4" t="n">
        <x:v>1</x:v>
      </x:c>
      <x:c r="E10" s="4" t="n">
        <x:v>1</x:v>
      </x:c>
      <x:c r="F10" s="6" t="n">
        <x:v>0</x:v>
      </x:c>
      <x:c r="G10" s="6" t="n">
        <x:v>0</x:v>
      </x:c>
      <x:c r="H10" s="6" t="n">
        <x:v>0</x:v>
      </x:c>
      <x:c r="I10" s="6" t="n">
        <x:v>0</x:v>
      </x:c>
    </x:row>
    <x:row r="11" ht="22" customHeight="1">
      <x:c r="A11" s="5" t="n">
        <x:v>46190</x:v>
      </x:c>
      <x:c r="B11" s="6" t="n">
        <x:v>18779</x:v>
      </x:c>
      <x:c r="C11" s="4" t="n">
        <x:v>0</x:v>
      </x:c>
      <x:c r="D11" s="4" t="n">
        <x:v>1</x:v>
      </x:c>
      <x:c r="E11" s="4" t="n">
        <x:v>0</x:v>
      </x:c>
      <x:c r="F11" s="6" t="n">
        <x:v>0</x:v>
      </x:c>
      <x:c r="G11" s="6" t="n">
        <x:v>0</x:v>
      </x:c>
      <x:c r="H11" s="6" t="n">
        <x:v>0</x:v>
      </x:c>
      <x:c r="I11" s="6" t="n">
        <x:v>0</x:v>
      </x:c>
    </x:row>
    <x:row r="12" ht="22" customHeight="1">
      <x:c r="A12" s="5" t="n">
        <x:v>46191</x:v>
      </x:c>
      <x:c r="B12" s="6" t="n">
        <x:v>17223</x:v>
      </x:c>
      <x:c r="C12" s="4" t="n">
        <x:v>2</x:v>
      </x:c>
      <x:c r="D12" s="4" t="n">
        <x:v>2</x:v>
      </x:c>
      <x:c r="E12" s="4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</x:row>
    <x:row r="13" ht="22" customHeight="1">
      <x:c r="A13" s="5" t="n">
        <x:v>46192</x:v>
      </x:c>
      <x:c r="B13" s="6" t="n">
        <x:v>13816</x:v>
      </x:c>
      <x:c r="C13" s="4" t="n">
        <x:v>2</x:v>
      </x:c>
      <x:c r="D13" s="4" t="n">
        <x:v>0</x:v>
      </x:c>
      <x:c r="E13" s="4" t="n">
        <x:v>0</x:v>
      </x:c>
      <x:c r="F13" s="6" t="n">
        <x:v>0</x:v>
      </x:c>
      <x:c r="G13" s="6" t="n">
        <x:v>0</x:v>
      </x:c>
      <x:c r="H13" s="6" t="n">
        <x:v>0</x:v>
      </x:c>
      <x:c r="I13" s="6" t="n">
        <x:v>0</x:v>
      </x:c>
    </x:row>
    <x:row r="14" ht="22" customHeight="1">
      <x:c r="A14" s="5" t="n">
        <x:v>46193</x:v>
      </x:c>
      <x:c r="B14" s="6" t="n">
        <x:v>12261</x:v>
      </x:c>
      <x:c r="C14" s="4" t="n">
        <x:v>0</x:v>
      </x:c>
      <x:c r="D14" s="4" t="n">
        <x:v>2</x:v>
      </x:c>
      <x:c r="E14" s="4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</x:row>
    <x:row r="15" ht="22" customHeight="1">
      <x:c r="A15" s="5" t="n">
        <x:v>46194</x:v>
      </x:c>
      <x:c r="B15" s="6" t="n">
        <x:v>12371</x:v>
      </x:c>
      <x:c r="C15" s="4" t="n">
        <x:v>3</x:v>
      </x:c>
      <x:c r="D15" s="4" t="n">
        <x:v>1</x:v>
      </x:c>
      <x:c r="E15" s="4" t="n">
        <x:v>0</x:v>
      </x:c>
      <x:c r="F15" s="6" t="n">
        <x:v>120000</x:v>
      </x:c>
      <x:c r="G15" s="6" t="n">
        <x:v>120000</x:v>
      </x:c>
      <x:c r="H15" s="6" t="n">
        <x:v>0</x:v>
      </x:c>
      <x:c r="I15" s="6" t="n">
        <x:v>120000</x:v>
      </x:c>
    </x:row>
    <x:row r="16" ht="22" customHeight="1">
      <x:c r="A16" s="5" t="n">
        <x:v>46195</x:v>
      </x:c>
      <x:c r="B16" s="6" t="n">
        <x:v>18779</x:v>
      </x:c>
      <x:c r="C16" s="4" t="n">
        <x:v>4</x:v>
      </x:c>
      <x:c r="D16" s="4" t="n">
        <x:v>0</x:v>
      </x:c>
      <x:c r="E16" s="4" t="n">
        <x:v>1</x:v>
      </x:c>
      <x:c r="F16" s="6" t="n">
        <x:v>0</x:v>
      </x:c>
      <x:c r="G16" s="6" t="n">
        <x:v>0</x:v>
      </x:c>
      <x:c r="H16" s="6" t="n">
        <x:v>0</x:v>
      </x:c>
      <x:c r="I16" s="6" t="n">
        <x:v>0</x:v>
      </x:c>
    </x:row>
    <x:row r="17" ht="22" customHeight="1">
      <x:c r="A17" s="5" t="n">
        <x:v>46196</x:v>
      </x:c>
      <x:c r="B17" s="6" t="n">
        <x:v>17223</x:v>
      </x:c>
      <x:c r="C17" s="4" t="n">
        <x:v>1</x:v>
      </x:c>
      <x:c r="D17" s="4" t="n">
        <x:v>2</x:v>
      </x:c>
      <x:c r="E17" s="4" t="n">
        <x:v>1</x:v>
      </x:c>
      <x:c r="F17" s="6" t="n">
        <x:v>75000</x:v>
      </x:c>
      <x:c r="G17" s="6" t="n">
        <x:v>75000</x:v>
      </x:c>
      <x:c r="H17" s="6" t="n">
        <x:v>0</x:v>
      </x:c>
      <x:c r="I17" s="6" t="n">
        <x:v>75000</x:v>
      </x:c>
    </x:row>
    <x:row r="18" ht="22" customHeight="1">
      <x:c r="A18" s="5" t="n">
        <x:v>46197</x:v>
      </x:c>
      <x:c r="B18" s="6" t="n">
        <x:v>13816</x:v>
      </x:c>
      <x:c r="C18" s="4" t="n">
        <x:v>1</x:v>
      </x:c>
      <x:c r="D18" s="4" t="n">
        <x:v>3</x:v>
      </x:c>
      <x:c r="E18" s="4" t="n">
        <x:v>0</x:v>
      </x:c>
      <x:c r="F18" s="6" t="n">
        <x:v>0</x:v>
      </x:c>
      <x:c r="G18" s="6" t="n">
        <x:v>0</x:v>
      </x:c>
      <x:c r="H18" s="6" t="n">
        <x:v>0</x:v>
      </x:c>
      <x:c r="I18" s="6" t="n">
        <x:v>0</x:v>
      </x:c>
    </x:row>
    <x:row r="19" ht="22" customHeight="1">
      <x:c r="A19" s="5" t="n">
        <x:v>46198</x:v>
      </x:c>
      <x:c r="B19" s="6" t="n">
        <x:v>12261</x:v>
      </x:c>
      <x:c r="C19" s="4" t="n">
        <x:v>2</x:v>
      </x:c>
      <x:c r="D19" s="4" t="n">
        <x:v>0</x:v>
      </x:c>
      <x:c r="E19" s="4" t="n">
        <x:v>1</x:v>
      </x:c>
      <x:c r="F19" s="6" t="n">
        <x:v>0</x:v>
      </x:c>
      <x:c r="G19" s="6" t="n">
        <x:v>0</x:v>
      </x:c>
      <x:c r="H19" s="6" t="n">
        <x:v>0</x:v>
      </x:c>
      <x:c r="I19" s="6" t="n">
        <x:v>0</x:v>
      </x:c>
    </x:row>
    <x:row r="20" ht="22" customHeight="1">
      <x:c r="A20" s="5" t="n">
        <x:v>46199</x:v>
      </x:c>
      <x:c r="B20" s="6" t="n">
        <x:v>12371</x:v>
      </x:c>
      <x:c r="C20" s="4" t="n">
        <x:v>5</x:v>
      </x:c>
      <x:c r="D20" s="4" t="n">
        <x:v>0</x:v>
      </x:c>
      <x:c r="E20" s="4" t="n">
        <x:v>2</x:v>
      </x:c>
      <x:c r="F20" s="6" t="n">
        <x:v>0</x:v>
      </x:c>
      <x:c r="G20" s="6" t="n">
        <x:v>0</x:v>
      </x:c>
      <x:c r="H20" s="6" t="n">
        <x:v>0</x:v>
      </x:c>
      <x:c r="I20" s="6" t="n">
        <x:v>0</x:v>
      </x:c>
    </x:row>
    <x:row r="21" ht="22" customHeight="1">
      <x:c r="A21" s="5" t="n">
        <x:v>46200</x:v>
      </x:c>
      <x:c r="B21" s="6" t="n">
        <x:v>18779</x:v>
      </x:c>
      <x:c r="C21" s="4" t="n">
        <x:v>0</x:v>
      </x:c>
      <x:c r="D21" s="4" t="n">
        <x:v>0</x:v>
      </x:c>
      <x:c r="E21" s="4" t="n">
        <x:v>0</x:v>
      </x:c>
      <x:c r="F21" s="6" t="n">
        <x:v>0</x:v>
      </x:c>
      <x:c r="G21" s="6" t="n">
        <x:v>0</x:v>
      </x:c>
      <x:c r="H21" s="6" t="n">
        <x:v>0</x:v>
      </x:c>
      <x:c r="I21" s="6" t="n">
        <x:v>0</x:v>
      </x:c>
    </x:row>
    <x:row r="22" ht="22" customHeight="1">
      <x:c r="A22" s="5" t="n">
        <x:v>46201</x:v>
      </x:c>
      <x:c r="B22" s="6" t="n">
        <x:v>17223</x:v>
      </x:c>
      <x:c r="C22" s="4" t="n">
        <x:v>3</x:v>
      </x:c>
      <x:c r="D22" s="4" t="n">
        <x:v>1</x:v>
      </x:c>
      <x:c r="E22" s="4" t="n">
        <x:v>0</x:v>
      </x:c>
      <x:c r="F22" s="6" t="n">
        <x:v>0</x:v>
      </x:c>
      <x:c r="G22" s="6" t="n">
        <x:v>0</x:v>
      </x:c>
      <x:c r="H22" s="6" t="n">
        <x:v>0</x:v>
      </x:c>
      <x:c r="I22" s="6" t="n">
        <x:v>0</x:v>
      </x:c>
    </x:row>
    <x:row r="23" ht="22" customHeight="1">
      <x:c r="A23" s="5" t="n">
        <x:v>46202</x:v>
      </x:c>
      <x:c r="B23" s="6" t="n">
        <x:v>13816</x:v>
      </x:c>
      <x:c r="C23" s="4" t="n">
        <x:v>0</x:v>
      </x:c>
      <x:c r="D23" s="4" t="n">
        <x:v>0</x:v>
      </x:c>
      <x:c r="E23" s="4" t="n">
        <x:v>0</x:v>
      </x:c>
      <x:c r="F23" s="6" t="n">
        <x:v>0</x:v>
      </x:c>
      <x:c r="G23" s="6" t="n">
        <x:v>0</x:v>
      </x:c>
      <x:c r="H23" s="6" t="n">
        <x:v>0</x:v>
      </x:c>
      <x:c r="I23" s="6" t="n">
        <x:v>0</x:v>
      </x:c>
    </x:row>
    <x:row r="24" ht="22" customHeight="1">
      <x:c r="A24" s="5" t="n">
        <x:v>46203</x:v>
      </x:c>
      <x:c r="B24" s="6" t="n">
        <x:v>12261</x:v>
      </x:c>
      <x:c r="C24" s="4" t="n">
        <x:v>0</x:v>
      </x:c>
      <x:c r="D24" s="4" t="n">
        <x:v>1</x:v>
      </x:c>
      <x:c r="E24" s="4" t="n">
        <x:v>0</x:v>
      </x:c>
      <x:c r="F24" s="6" t="n">
        <x:v>0</x:v>
      </x:c>
      <x:c r="G24" s="6" t="n">
        <x:v>0</x:v>
      </x:c>
      <x:c r="H24" s="6" t="n">
        <x:v>0</x:v>
      </x:c>
      <x:c r="I24" s="6" t="n">
        <x:v>0</x:v>
      </x:c>
    </x:row>
    <x:row r="25" ht="22" customHeight="1">
      <x:c r="A25" s="5" t="n">
        <x:v>46204</x:v>
      </x:c>
      <x:c r="B25" s="6" t="n">
        <x:v>12371</x:v>
      </x:c>
      <x:c r="C25" s="4" t="n">
        <x:v>4</x:v>
      </x:c>
      <x:c r="D25" s="4" t="n">
        <x:v>0</x:v>
      </x:c>
      <x:c r="E25" s="4" t="n">
        <x:v>0</x:v>
      </x:c>
      <x:c r="F25" s="6" t="n">
        <x:v>0</x:v>
      </x:c>
      <x:c r="G25" s="6" t="n">
        <x:v>0</x:v>
      </x:c>
      <x:c r="H25" s="6" t="n">
        <x:v>0</x:v>
      </x:c>
      <x:c r="I25" s="6" t="n">
        <x:v>0</x:v>
      </x:c>
    </x:row>
    <x:row r="26" ht="22" customHeight="1">
      <x:c r="A26" s="5" t="n">
        <x:v>46205</x:v>
      </x:c>
      <x:c r="B26" s="6" t="n">
        <x:v>18779</x:v>
      </x:c>
      <x:c r="C26" s="4" t="n">
        <x:v>3</x:v>
      </x:c>
      <x:c r="D26" s="4" t="n">
        <x:v>0</x:v>
      </x:c>
      <x:c r="E26" s="4" t="n">
        <x:v>0</x:v>
      </x:c>
      <x:c r="F26" s="6" t="n">
        <x:v>0</x:v>
      </x:c>
      <x:c r="G26" s="6" t="n">
        <x:v>0</x:v>
      </x:c>
      <x:c r="H26" s="6" t="n">
        <x:v>0</x:v>
      </x:c>
      <x:c r="I26" s="6" t="n">
        <x:v>0</x:v>
      </x:c>
    </x:row>
    <x:row r="27" ht="22" customHeight="1">
      <x:c r="A27" s="5" t="n">
        <x:v>46206</x:v>
      </x:c>
      <x:c r="B27" s="6" t="n">
        <x:v>17223</x:v>
      </x:c>
      <x:c r="C27" s="4" t="n">
        <x:v>1</x:v>
      </x:c>
      <x:c r="D27" s="4" t="n">
        <x:v>2</x:v>
      </x:c>
      <x:c r="E27" s="4" t="n">
        <x:v>0</x:v>
      </x:c>
      <x:c r="F27" s="6" t="n">
        <x:v>55000</x:v>
      </x:c>
      <x:c r="G27" s="6" t="n">
        <x:v>55000</x:v>
      </x:c>
      <x:c r="H27" s="6" t="n">
        <x:v>0</x:v>
      </x:c>
      <x:c r="I27" s="6" t="n">
        <x:v>55000</x:v>
      </x:c>
    </x:row>
    <x:row r="28" ht="22" customHeight="1">
      <x:c r="A28" s="5" t="n">
        <x:v>46207</x:v>
      </x:c>
      <x:c r="B28" s="6" t="n">
        <x:v>13816</x:v>
      </x:c>
      <x:c r="C28" s="4" t="n">
        <x:v>2</x:v>
      </x:c>
      <x:c r="D28" s="4" t="n">
        <x:v>3</x:v>
      </x:c>
      <x:c r="E28" s="4" t="n">
        <x:v>0</x:v>
      </x:c>
      <x:c r="F28" s="6" t="n">
        <x:v>45000</x:v>
      </x:c>
      <x:c r="G28" s="6" t="n">
        <x:v>45000</x:v>
      </x:c>
      <x:c r="H28" s="6" t="n">
        <x:v>0</x:v>
      </x:c>
      <x:c r="I28" s="6" t="n">
        <x:v>45000</x:v>
      </x:c>
    </x:row>
    <x:row r="29" ht="22" customHeight="1">
      <x:c r="A29" s="5" t="n">
        <x:v>46208</x:v>
      </x:c>
      <x:c r="B29" s="6" t="n">
        <x:v>12261</x:v>
      </x:c>
      <x:c r="C29" s="4" t="n">
        <x:v>3</x:v>
      </x:c>
      <x:c r="D29" s="4" t="n">
        <x:v>0</x:v>
      </x:c>
      <x:c r="E29" s="4" t="n">
        <x:v>2</x:v>
      </x:c>
      <x:c r="F29" s="6" t="n">
        <x:v>0</x:v>
      </x:c>
      <x:c r="G29" s="6" t="n">
        <x:v>0</x:v>
      </x:c>
      <x:c r="H29" s="6" t="n">
        <x:v>0</x:v>
      </x:c>
      <x:c r="I29" s="6" t="n">
        <x:v>0</x:v>
      </x:c>
    </x:row>
    <x:row r="30" ht="22" customHeight="1">
      <x:c r="A30" s="5" t="n">
        <x:v>46209</x:v>
      </x:c>
      <x:c r="B30" s="6" t="n">
        <x:v>12371</x:v>
      </x:c>
      <x:c r="C30" s="4" t="n">
        <x:v>4</x:v>
      </x:c>
      <x:c r="D30" s="4" t="n">
        <x:v>0</x:v>
      </x:c>
      <x:c r="E30" s="4" t="n">
        <x:v>2</x:v>
      </x:c>
      <x:c r="F30" s="6" t="n">
        <x:v>0</x:v>
      </x:c>
      <x:c r="G30" s="6" t="n">
        <x:v>0</x:v>
      </x:c>
      <x:c r="H30" s="6" t="n">
        <x:v>0</x:v>
      </x:c>
      <x:c r="I30" s="6" t="n">
        <x:v>0</x:v>
      </x:c>
    </x:row>
    <x:row r="31" ht="22" customHeight="1">
      <x:c r="A31" s="5" t="n">
        <x:v>46210</x:v>
      </x:c>
      <x:c r="B31" s="6" t="n">
        <x:v>18779</x:v>
      </x:c>
      <x:c r="C31" s="4" t="n">
        <x:v>2</x:v>
      </x:c>
      <x:c r="D31" s="4" t="n">
        <x:v>2</x:v>
      </x:c>
      <x:c r="E31" s="4" t="n">
        <x:v>0</x:v>
      </x:c>
      <x:c r="F31" s="6" t="n">
        <x:v>0</x:v>
      </x:c>
      <x:c r="G31" s="6" t="n">
        <x:v>0</x:v>
      </x:c>
      <x:c r="H31" s="6" t="n">
        <x:v>0</x:v>
      </x:c>
      <x:c r="I31" s="6" t="n">
        <x:v>0</x:v>
      </x:c>
    </x:row>
    <x:row r="32" ht="22" customHeight="1">
      <x:c r="A32" s="5" t="n">
        <x:v>46211</x:v>
      </x:c>
      <x:c r="B32" s="6" t="n">
        <x:v>17223</x:v>
      </x:c>
      <x:c r="C32" s="4" t="n">
        <x:v>6</x:v>
      </x:c>
      <x:c r="D32" s="4" t="n">
        <x:v>1</x:v>
      </x:c>
      <x:c r="E32" s="4" t="n">
        <x:v>0</x:v>
      </x:c>
      <x:c r="F32" s="6" t="n">
        <x:v>0</x:v>
      </x:c>
      <x:c r="G32" s="6" t="n">
        <x:v>0</x:v>
      </x:c>
      <x:c r="H32" s="6" t="n">
        <x:v>0</x:v>
      </x:c>
      <x:c r="I32" s="6" t="n">
        <x:v>0</x:v>
      </x:c>
    </x:row>
    <x:row r="33" ht="22" customHeight="1">
      <x:c r="A33" s="5" t="n">
        <x:v>46212</x:v>
      </x:c>
      <x:c r="B33" s="6" t="n">
        <x:v>13816</x:v>
      </x:c>
      <x:c r="C33" s="4" t="n">
        <x:v>5</x:v>
      </x:c>
      <x:c r="D33" s="4" t="n">
        <x:v>1</x:v>
      </x:c>
      <x:c r="E33" s="4" t="n">
        <x:v>1</x:v>
      </x:c>
      <x:c r="F33" s="6" t="n">
        <x:v>0</x:v>
      </x:c>
      <x:c r="G33" s="6" t="n">
        <x:v>0</x:v>
      </x:c>
      <x:c r="H33" s="6" t="n">
        <x:v>0</x:v>
      </x:c>
      <x:c r="I33" s="6" t="n">
        <x:v>0</x:v>
      </x:c>
    </x:row>
    <x:row r="34" ht="22" customHeight="1">
      <x:c r="A34" s="5" t="n">
        <x:v>46213</x:v>
      </x:c>
      <x:c r="B34" s="6" t="n">
        <x:v>12261</x:v>
      </x:c>
      <x:c r="C34" s="4" t="n">
        <x:v>2</x:v>
      </x:c>
      <x:c r="D34" s="4" t="n">
        <x:v>2</x:v>
      </x:c>
      <x:c r="E34" s="4" t="n">
        <x:v>1</x:v>
      </x:c>
      <x:c r="F34" s="6" t="n">
        <x:v>0</x:v>
      </x:c>
      <x:c r="G34" s="6" t="n">
        <x:v>0</x:v>
      </x:c>
      <x:c r="H34" s="6" t="n">
        <x:v>0</x:v>
      </x:c>
      <x:c r="I34" s="6" t="n">
        <x:v>0</x:v>
      </x:c>
    </x:row>
    <x:row r="35" ht="22" customHeight="1">
      <x:c r="A35" s="5" t="n">
        <x:v>46214</x:v>
      </x:c>
      <x:c r="B35" s="6" t="n">
        <x:v>12371</x:v>
      </x:c>
      <x:c r="C35" s="4" t="n">
        <x:v>3</x:v>
      </x:c>
      <x:c r="D35" s="4" t="n">
        <x:v>2</x:v>
      </x:c>
      <x:c r="E35" s="4" t="n">
        <x:v>0</x:v>
      </x:c>
      <x:c r="F35" s="6" t="n">
        <x:v>0</x:v>
      </x:c>
      <x:c r="G35" s="6" t="n">
        <x:v>0</x:v>
      </x:c>
      <x:c r="H35" s="6" t="n">
        <x:v>0</x:v>
      </x:c>
      <x:c r="I35" s="6" t="n">
        <x:v>0</x:v>
      </x:c>
    </x:row>
    <x:row r="36" ht="22" customHeight="1">
      <x:c r="A36" s="5" t="n">
        <x:v>46215</x:v>
      </x:c>
      <x:c r="B36" s="6" t="n">
        <x:v>18779</x:v>
      </x:c>
      <x:c r="C36" s="4" t="n">
        <x:v>1</x:v>
      </x:c>
      <x:c r="D36" s="4" t="n">
        <x:v>0</x:v>
      </x:c>
      <x:c r="E36" s="4" t="n">
        <x:v>1</x:v>
      </x:c>
      <x:c r="F36" s="6" t="n">
        <x:v>0</x:v>
      </x:c>
      <x:c r="G36" s="6" t="n">
        <x:v>0</x:v>
      </x:c>
      <x:c r="H36" s="6" t="n">
        <x:v>10000</x:v>
      </x:c>
      <x:c r="I36" s="6" t="n">
        <x:v>-10000</x:v>
      </x:c>
    </x:row>
    <x:row r="37" ht="22" customHeight="1">
      <x:c r="A37" s="5" t="n">
        <x:v>46216</x:v>
      </x:c>
      <x:c r="B37" s="6" t="n">
        <x:v>17223</x:v>
      </x:c>
      <x:c r="C37" s="4" t="n">
        <x:v>3</x:v>
      </x:c>
      <x:c r="D37" s="4" t="n">
        <x:v>2</x:v>
      </x:c>
      <x:c r="E37" s="4" t="n">
        <x:v>0</x:v>
      </x:c>
      <x:c r="F37" s="6" t="n">
        <x:v>45000</x:v>
      </x:c>
      <x:c r="G37" s="6" t="n">
        <x:v>45000</x:v>
      </x:c>
      <x:c r="H37" s="6" t="n">
        <x:v>0</x:v>
      </x:c>
      <x:c r="I37" s="6" t="n">
        <x:v>45000</x:v>
      </x:c>
    </x:row>
    <x:row r="38" ht="22" customHeight="1">
      <x:c r="A38" s="5" t="n">
        <x:v>46217</x:v>
      </x:c>
      <x:c r="B38" s="6" t="n">
        <x:v>13816</x:v>
      </x:c>
      <x:c r="C38" s="4" t="n">
        <x:v>3</x:v>
      </x:c>
      <x:c r="D38" s="4" t="n">
        <x:v>1</x:v>
      </x:c>
      <x:c r="E38" s="4" t="n">
        <x:v>0</x:v>
      </x:c>
      <x:c r="F38" s="6" t="n">
        <x:v>160000</x:v>
      </x:c>
      <x:c r="G38" s="6" t="n">
        <x:v>160000</x:v>
      </x:c>
      <x:c r="H38" s="6" t="n">
        <x:v>0</x:v>
      </x:c>
      <x:c r="I38" s="6" t="n">
        <x:v>160000</x:v>
      </x:c>
    </x:row>
    <x:row r="39" ht="22" customHeight="1">
      <x:c r="A39" s="5" t="n">
        <x:v>46218</x:v>
      </x:c>
      <x:c r="B39" s="6" t="n">
        <x:v>12261</x:v>
      </x:c>
      <x:c r="C39" s="4" t="n">
        <x:v>4</x:v>
      </x:c>
      <x:c r="D39" s="4" t="n">
        <x:v>2</x:v>
      </x:c>
      <x:c r="E39" s="4" t="n">
        <x:v>0</x:v>
      </x:c>
      <x:c r="F39" s="6" t="n">
        <x:v>0</x:v>
      </x:c>
      <x:c r="G39" s="6" t="n">
        <x:v>0</x:v>
      </x:c>
      <x:c r="H39" s="6" t="n">
        <x:v>0</x:v>
      </x:c>
      <x:c r="I39" s="6" t="n">
        <x:v>0</x:v>
      </x:c>
    </x:row>
    <x:row r="40" ht="22" customHeight="1">
      <x:c r="A40" s="5" t="n">
        <x:v>46219</x:v>
      </x:c>
      <x:c r="B40" s="6" t="n">
        <x:v>12371</x:v>
      </x:c>
      <x:c r="C40" s="4" t="n">
        <x:v>0</x:v>
      </x:c>
      <x:c r="D40" s="4" t="n">
        <x:v>1</x:v>
      </x:c>
      <x:c r="E40" s="4" t="n">
        <x:v>1</x:v>
      </x:c>
      <x:c r="F40" s="6" t="n">
        <x:v>0</x:v>
      </x:c>
      <x:c r="G40" s="6" t="n">
        <x:v>0</x:v>
      </x:c>
      <x:c r="H40" s="6" t="n">
        <x:v>0</x:v>
      </x:c>
      <x:c r="I40" s="6" t="n">
        <x:v>0</x:v>
      </x:c>
    </x:row>
    <x:row r="41" ht="22" customHeight="1">
      <x:c r="A41" s="5" t="n">
        <x:v>46220</x:v>
      </x:c>
      <x:c r="B41" s="6" t="n">
        <x:v>18779</x:v>
      </x:c>
      <x:c r="C41" s="4" t="n">
        <x:v>4</x:v>
      </x:c>
      <x:c r="D41" s="4" t="n">
        <x:v>3</x:v>
      </x:c>
      <x:c r="E41" s="4" t="n">
        <x:v>1</x:v>
      </x:c>
      <x:c r="F41" s="6" t="n">
        <x:v>55000</x:v>
      </x:c>
      <x:c r="G41" s="6" t="n">
        <x:v>55000</x:v>
      </x:c>
      <x:c r="H41" s="6" t="n">
        <x:v>0</x:v>
      </x:c>
      <x:c r="I41" s="6" t="n">
        <x:v>55000</x:v>
      </x:c>
    </x:row>
    <x:row r="42" ht="22" customHeight="1">
      <x:c r="A42" s="5" t="n">
        <x:v>46221</x:v>
      </x:c>
      <x:c r="B42" s="6" t="n">
        <x:v>17223</x:v>
      </x:c>
      <x:c r="C42" s="4" t="n">
        <x:v>3</x:v>
      </x:c>
      <x:c r="D42" s="4" t="n">
        <x:v>0</x:v>
      </x:c>
      <x:c r="E42" s="4" t="n">
        <x:v>0</x:v>
      </x:c>
      <x:c r="F42" s="6" t="n">
        <x:v>0</x:v>
      </x:c>
      <x:c r="G42" s="6" t="n">
        <x:v>0</x:v>
      </x:c>
      <x:c r="H42" s="6" t="n">
        <x:v>0</x:v>
      </x:c>
      <x:c r="I42" s="6" t="n">
        <x:v>0</x:v>
      </x:c>
    </x:row>
    <x:row r="43" ht="22" customHeight="1">
      <x:c r="A43" s="5" t="n">
        <x:v>46222</x:v>
      </x:c>
      <x:c r="B43" s="6" t="n">
        <x:v>13816</x:v>
      </x:c>
      <x:c r="C43" s="4" t="n">
        <x:v>3</x:v>
      </x:c>
      <x:c r="D43" s="4" t="n">
        <x:v>1</x:v>
      </x:c>
      <x:c r="E43" s="4" t="n">
        <x:v>1</x:v>
      </x:c>
      <x:c r="F43" s="6" t="n">
        <x:v>0</x:v>
      </x:c>
      <x:c r="G43" s="6" t="n">
        <x:v>0</x:v>
      </x:c>
      <x:c r="H43" s="6" t="n">
        <x:v>0</x:v>
      </x:c>
      <x:c r="I43" s="6" t="n">
        <x:v>0</x:v>
      </x:c>
    </x:row>
    <x:row r="44" ht="22" customHeight="1">
      <x:c r="A44" s="5" t="n">
        <x:v>46223</x:v>
      </x:c>
      <x:c r="B44" s="6" t="n">
        <x:v>12261</x:v>
      </x:c>
      <x:c r="C44" s="4" t="n">
        <x:v>4</x:v>
      </x:c>
      <x:c r="D44" s="4" t="n">
        <x:v>1</x:v>
      </x:c>
      <x:c r="E44" s="4" t="n">
        <x:v>0</x:v>
      </x:c>
      <x:c r="F44" s="6" t="n">
        <x:v>0</x:v>
      </x:c>
      <x:c r="G44" s="6" t="n">
        <x:v>0</x:v>
      </x:c>
      <x:c r="H44" s="6" t="n">
        <x:v>0</x:v>
      </x:c>
      <x:c r="I44" s="6" t="n">
        <x:v>0</x:v>
      </x:c>
    </x:row>
    <x:row r="45" ht="22" customHeight="1">
      <x:c r="A45" s="5" t="n">
        <x:v>46224</x:v>
      </x:c>
      <x:c r="B45" s="6" t="n">
        <x:v>12371</x:v>
      </x:c>
      <x:c r="C45" s="4" t="n">
        <x:v>4</x:v>
      </x:c>
      <x:c r="D45" s="4" t="n">
        <x:v>1</x:v>
      </x:c>
      <x:c r="E45" s="4" t="n">
        <x:v>1</x:v>
      </x:c>
      <x:c r="F45" s="6" t="n">
        <x:v>0</x:v>
      </x:c>
      <x:c r="G45" s="6" t="n">
        <x:v>0</x:v>
      </x:c>
      <x:c r="H45" s="6" t="n">
        <x:v>10000</x:v>
      </x:c>
      <x:c r="I45" s="6" t="n">
        <x:v>-10000</x:v>
      </x:c>
    </x:row>
    <x:row r="46" ht="22" customHeight="1">
      <x:c r="A46" s="5" t="n">
        <x:v>46225</x:v>
      </x:c>
      <x:c r="B46" s="6" t="n">
        <x:v>18779</x:v>
      </x:c>
      <x:c r="C46" s="4" t="n">
        <x:v>4</x:v>
      </x:c>
      <x:c r="D46" s="4" t="n">
        <x:v>1</x:v>
      </x:c>
      <x:c r="E46" s="4" t="n">
        <x:v>1</x:v>
      </x:c>
      <x:c r="F46" s="6" t="n">
        <x:v>0</x:v>
      </x:c>
      <x:c r="G46" s="6" t="n">
        <x:v>0</x:v>
      </x:c>
      <x:c r="H46" s="6" t="n">
        <x:v>0</x:v>
      </x:c>
      <x:c r="I46" s="6" t="n">
        <x:v>0</x:v>
      </x:c>
    </x:row>
    <x:row r="47" ht="22" customHeight="1">
      <x:c r="A47" s="5" t="n">
        <x:v>46226</x:v>
      </x:c>
      <x:c r="B47" s="6" t="n">
        <x:v>17223</x:v>
      </x:c>
      <x:c r="C47" s="4" t="n">
        <x:v>4</x:v>
      </x:c>
      <x:c r="D47" s="4" t="n">
        <x:v>1</x:v>
      </x:c>
      <x:c r="E47" s="4" t="n">
        <x:v>1</x:v>
      </x:c>
      <x:c r="F47" s="6" t="n">
        <x:v>0</x:v>
      </x:c>
      <x:c r="G47" s="6" t="n">
        <x:v>0</x:v>
      </x:c>
      <x:c r="H47" s="6" t="n">
        <x:v>0</x:v>
      </x:c>
      <x:c r="I47" s="6" t="n">
        <x:v>0</x:v>
      </x:c>
    </x:row>
    <x:row r="48" ht="22" customHeight="1">
      <x:c r="A48" s="5" t="n">
        <x:v>46227</x:v>
      </x:c>
      <x:c r="B48" s="6" t="n">
        <x:v>13816</x:v>
      </x:c>
      <x:c r="C48" s="4" t="n">
        <x:v>2</x:v>
      </x:c>
      <x:c r="D48" s="4" t="n">
        <x:v>1</x:v>
      </x:c>
      <x:c r="E48" s="4" t="n">
        <x:v>0</x:v>
      </x:c>
      <x:c r="F48" s="6" t="n">
        <x:v>75000</x:v>
      </x:c>
      <x:c r="G48" s="6" t="n">
        <x:v>75000</x:v>
      </x:c>
      <x:c r="H48" s="6" t="n">
        <x:v>0</x:v>
      </x:c>
      <x:c r="I48" s="6" t="n">
        <x:v>75000</x:v>
      </x:c>
    </x:row>
    <x:row r="49" ht="22" customHeight="1">
      <x:c r="A49" s="5" t="n">
        <x:v>46228</x:v>
      </x:c>
      <x:c r="B49" s="6" t="n">
        <x:v>12261</x:v>
      </x:c>
      <x:c r="C49" s="4" t="n">
        <x:v>5</x:v>
      </x:c>
      <x:c r="D49" s="4" t="n">
        <x:v>0</x:v>
      </x:c>
      <x:c r="E49" s="4" t="n">
        <x:v>0</x:v>
      </x:c>
      <x:c r="F49" s="6" t="n">
        <x:v>85000</x:v>
      </x:c>
      <x:c r="G49" s="6" t="n">
        <x:v>85000</x:v>
      </x:c>
      <x:c r="H49" s="6" t="n">
        <x:v>0</x:v>
      </x:c>
      <x:c r="I49" s="6" t="n">
        <x:v>85000</x:v>
      </x:c>
    </x:row>
    <x:row r="50" ht="22" customHeight="1">
      <x:c r="A50" s="5" t="n">
        <x:v>46229</x:v>
      </x:c>
      <x:c r="B50" s="6" t="n">
        <x:v>12371</x:v>
      </x:c>
      <x:c r="C50" s="4" t="n">
        <x:v>3</x:v>
      </x:c>
      <x:c r="D50" s="4" t="n">
        <x:v>1</x:v>
      </x:c>
      <x:c r="E50" s="4" t="n">
        <x:v>1</x:v>
      </x:c>
      <x:c r="F50" s="6" t="n">
        <x:v>0</x:v>
      </x:c>
      <x:c r="G50" s="6" t="n">
        <x:v>0</x:v>
      </x:c>
      <x:c r="H50" s="6" t="n">
        <x:v>0</x:v>
      </x:c>
      <x:c r="I50" s="6" t="n">
        <x:v>0</x:v>
      </x:c>
    </x:row>
    <x:row r="51" ht="22" customHeight="1">
      <x:c r="A51" s="5" t="n">
        <x:v>46230</x:v>
      </x:c>
      <x:c r="B51" s="6" t="n">
        <x:v>18779</x:v>
      </x:c>
      <x:c r="C51" s="4" t="n">
        <x:v>0</x:v>
      </x:c>
      <x:c r="D51" s="4" t="n">
        <x:v>1</x:v>
      </x:c>
      <x:c r="E51" s="4" t="n">
        <x:v>0</x:v>
      </x:c>
      <x:c r="F51" s="6" t="n">
        <x:v>0</x:v>
      </x:c>
      <x:c r="G51" s="6" t="n">
        <x:v>0</x:v>
      </x:c>
      <x:c r="H51" s="6" t="n">
        <x:v>0</x:v>
      </x:c>
      <x:c r="I51" s="6" t="n">
        <x:v>0</x:v>
      </x:c>
    </x:row>
    <x:row r="52" ht="22" customHeight="1">
      <x:c r="A52" s="5" t="n">
        <x:v>46231</x:v>
      </x:c>
      <x:c r="B52" s="6" t="n">
        <x:v>17223</x:v>
      </x:c>
      <x:c r="C52" s="4" t="n">
        <x:v>1</x:v>
      </x:c>
      <x:c r="D52" s="4" t="n">
        <x:v>2</x:v>
      </x:c>
      <x:c r="E52" s="4" t="n">
        <x:v>1</x:v>
      </x:c>
      <x:c r="F52" s="6" t="n">
        <x:v>0</x:v>
      </x:c>
      <x:c r="G52" s="6" t="n">
        <x:v>0</x:v>
      </x:c>
      <x:c r="H52" s="6" t="n">
        <x:v>0</x:v>
      </x:c>
      <x:c r="I52" s="6" t="n">
        <x:v>0</x:v>
      </x:c>
    </x:row>
    <x:row r="53" ht="22" customHeight="1">
      <x:c r="A53" s="5" t="n">
        <x:v>46232</x:v>
      </x:c>
      <x:c r="B53" s="6" t="n">
        <x:v>13815</x:v>
      </x:c>
      <x:c r="C53" s="4" t="n">
        <x:v>6</x:v>
      </x:c>
      <x:c r="D53" s="4" t="n">
        <x:v>0</x:v>
      </x:c>
      <x:c r="E53" s="4" t="n">
        <x:v>1</x:v>
      </x:c>
      <x:c r="F53" s="6" t="n">
        <x:v>75000</x:v>
      </x:c>
      <x:c r="G53" s="6" t="n">
        <x:v>75000</x:v>
      </x:c>
      <x:c r="H53" s="6" t="n">
        <x:v>0</x:v>
      </x:c>
      <x:c r="I53" s="6" t="n">
        <x:v>75000</x:v>
      </x:c>
    </x:row>
    <x:row r="54" ht="22" customHeight="1">
      <x:c r="A54" s="5" t="n">
        <x:v>46233</x:v>
      </x:c>
      <x:c r="B54" s="6" t="n">
        <x:v>12260</x:v>
      </x:c>
      <x:c r="C54" s="4" t="n">
        <x:v>1</x:v>
      </x:c>
      <x:c r="D54" s="4" t="n">
        <x:v>0</x:v>
      </x:c>
      <x:c r="E54" s="4" t="n">
        <x:v>2</x:v>
      </x:c>
      <x:c r="F54" s="6" t="n">
        <x:v>65000</x:v>
      </x:c>
      <x:c r="G54" s="6" t="n">
        <x:v>65000</x:v>
      </x:c>
      <x:c r="H54" s="6" t="n">
        <x:v>0</x:v>
      </x:c>
      <x:c r="I54" s="6" t="n">
        <x:v>65000</x:v>
      </x:c>
    </x:row>
    <x:row r="55" ht="22" customHeight="1">
      <x:c r="A55" s="5" t="n">
        <x:v>46234</x:v>
      </x:c>
      <x:c r="B55" s="6" t="n">
        <x:v>12369</x:v>
      </x:c>
      <x:c r="C55" s="4" t="n">
        <x:v>0</x:v>
      </x:c>
      <x:c r="D55" s="4" t="n">
        <x:v>1</x:v>
      </x:c>
      <x:c r="E55" s="4" t="n">
        <x:v>0</x:v>
      </x:c>
      <x:c r="F55" s="6" t="n">
        <x:v>75000</x:v>
      </x:c>
      <x:c r="G55" s="6" t="n">
        <x:v>75000</x:v>
      </x:c>
      <x:c r="H55" s="6" t="n">
        <x:v>0</x:v>
      </x:c>
      <x:c r="I55" s="6" t="n">
        <x:v>75000</x:v>
      </x:c>
    </x:row>
    <x:row r="56" ht="22" customHeight="1">
      <x:c r="A56" s="5" t="n">
        <x:v>46235</x:v>
      </x:c>
      <x:c r="B56" s="6" t="n">
        <x:v>18777</x:v>
      </x:c>
      <x:c r="C56" s="4" t="n">
        <x:v>6</x:v>
      </x:c>
      <x:c r="D56" s="4" t="n">
        <x:v>1</x:v>
      </x:c>
      <x:c r="E56" s="4" t="n">
        <x:v>0</x:v>
      </x:c>
      <x:c r="F56" s="6" t="n">
        <x:v>0</x:v>
      </x:c>
      <x:c r="G56" s="6" t="n">
        <x:v>0</x:v>
      </x:c>
      <x:c r="H56" s="6" t="n">
        <x:v>0</x:v>
      </x:c>
      <x:c r="I56" s="6" t="n">
        <x:v>0</x:v>
      </x:c>
    </x:row>
    <x:row r="57" ht="22" customHeight="1">
      <x:c r="A57" s="5" t="n">
        <x:v>46236</x:v>
      </x:c>
      <x:c r="B57" s="6" t="n">
        <x:v>17221</x:v>
      </x:c>
      <x:c r="C57" s="4" t="n">
        <x:v>8</x:v>
      </x:c>
      <x:c r="D57" s="4" t="n">
        <x:v>0</x:v>
      </x:c>
      <x:c r="E57" s="4" t="n">
        <x:v>1</x:v>
      </x:c>
      <x:c r="F57" s="6" t="n">
        <x:v>0</x:v>
      </x:c>
      <x:c r="G57" s="6" t="n">
        <x:v>0</x:v>
      </x:c>
      <x:c r="H57" s="6" t="n">
        <x:v>0</x:v>
      </x:c>
      <x:c r="I57" s="6" t="n">
        <x:v>0</x:v>
      </x:c>
    </x:row>
    <x:row r="58" ht="22" customHeight="1">
      <x:c r="A58" s="5" t="n">
        <x:v>46237</x:v>
      </x:c>
      <x:c r="B58" s="6" t="n">
        <x:v>13814</x:v>
      </x:c>
      <x:c r="C58" s="4" t="n">
        <x:v>0</x:v>
      </x:c>
      <x:c r="D58" s="4" t="n">
        <x:v>3</x:v>
      </x:c>
      <x:c r="E58" s="4" t="n">
        <x:v>0</x:v>
      </x:c>
      <x:c r="F58" s="6" t="n">
        <x:v>65000</x:v>
      </x:c>
      <x:c r="G58" s="6" t="n">
        <x:v>65000</x:v>
      </x:c>
      <x:c r="H58" s="6" t="n">
        <x:v>0</x:v>
      </x:c>
      <x:c r="I58" s="6" t="n">
        <x:v>65000</x:v>
      </x:c>
    </x:row>
    <x:row r="59" ht="22" customHeight="1">
      <x:c r="A59" s="5" t="n">
        <x:v>46238</x:v>
      </x:c>
      <x:c r="B59" s="6" t="n">
        <x:v>12259</x:v>
      </x:c>
      <x:c r="C59" s="4" t="n">
        <x:v>4</x:v>
      </x:c>
      <x:c r="D59" s="4" t="n">
        <x:v>6</x:v>
      </x:c>
      <x:c r="E59" s="4" t="n">
        <x:v>0</x:v>
      </x:c>
      <x:c r="F59" s="6" t="n">
        <x:v>0</x:v>
      </x:c>
      <x:c r="G59" s="6" t="n">
        <x:v>0</x:v>
      </x:c>
      <x:c r="H59" s="6" t="n">
        <x:v>0</x:v>
      </x:c>
      <x:c r="I59" s="6" t="n">
        <x:v>0</x:v>
      </x:c>
    </x:row>
    <x:row r="60" ht="22" customHeight="1">
      <x:c r="A60" s="5" t="n">
        <x:v>46239</x:v>
      </x:c>
      <x:c r="B60" s="6" t="n">
        <x:v>12369</x:v>
      </x:c>
      <x:c r="C60" s="4" t="n">
        <x:v>4</x:v>
      </x:c>
      <x:c r="D60" s="4" t="n">
        <x:v>0</x:v>
      </x:c>
      <x:c r="E60" s="4" t="n">
        <x:v>3</x:v>
      </x:c>
      <x:c r="F60" s="6" t="n">
        <x:v>45000</x:v>
      </x:c>
      <x:c r="G60" s="6" t="n">
        <x:v>45000</x:v>
      </x:c>
      <x:c r="H60" s="6" t="n">
        <x:v>0</x:v>
      </x:c>
      <x:c r="I60" s="6" t="n">
        <x:v>45000</x:v>
      </x:c>
    </x:row>
    <x:row r="61" ht="22" customHeight="1">
      <x:c r="A61" s="5" t="n">
        <x:v>46240</x:v>
      </x:c>
      <x:c r="B61" s="6" t="n">
        <x:v>18777</x:v>
      </x:c>
      <x:c r="C61" s="4" t="n">
        <x:v>5</x:v>
      </x:c>
      <x:c r="D61" s="4" t="n">
        <x:v>2</x:v>
      </x:c>
      <x:c r="E61" s="4" t="n">
        <x:v>5</x:v>
      </x:c>
      <x:c r="F61" s="6" t="n">
        <x:v>0</x:v>
      </x:c>
      <x:c r="G61" s="6" t="n">
        <x:v>0</x:v>
      </x:c>
      <x:c r="H61" s="6" t="n">
        <x:v>0</x:v>
      </x:c>
      <x:c r="I61" s="6" t="n">
        <x:v>0</x:v>
      </x:c>
    </x:row>
    <x:row r="62" ht="22" customHeight="1">
      <x:c r="A62" s="5" t="n">
        <x:v>46241</x:v>
      </x:c>
      <x:c r="B62" s="6" t="n">
        <x:v>17221</x:v>
      </x:c>
      <x:c r="C62" s="4" t="n">
        <x:v>0</x:v>
      </x:c>
      <x:c r="D62" s="4" t="n">
        <x:v>3</x:v>
      </x:c>
      <x:c r="E62" s="4" t="n">
        <x:v>0</x:v>
      </x:c>
      <x:c r="F62" s="6" t="n">
        <x:v>85000</x:v>
      </x:c>
      <x:c r="G62" s="6" t="n">
        <x:v>85000</x:v>
      </x:c>
      <x:c r="H62" s="6" t="n">
        <x:v>0</x:v>
      </x:c>
      <x:c r="I62" s="6" t="n">
        <x:v>85000</x:v>
      </x:c>
    </x:row>
    <x:row r="63" ht="22" customHeight="1">
      <x:c r="A63" s="5" t="n">
        <x:v>46242</x:v>
      </x:c>
      <x:c r="B63" s="6" t="n">
        <x:v>13814</x:v>
      </x:c>
      <x:c r="C63" s="4" t="n">
        <x:v>3</x:v>
      </x:c>
      <x:c r="D63" s="4" t="n">
        <x:v>2</x:v>
      </x:c>
      <x:c r="E63" s="4" t="n">
        <x:v>2</x:v>
      </x:c>
      <x:c r="F63" s="6" t="n">
        <x:v>0</x:v>
      </x:c>
      <x:c r="G63" s="6" t="n">
        <x:v>0</x:v>
      </x:c>
      <x:c r="H63" s="6" t="n">
        <x:v>0</x:v>
      </x:c>
      <x:c r="I63" s="6" t="n">
        <x:v>0</x:v>
      </x:c>
    </x:row>
    <x:row r="64" ht="22" customHeight="1">
      <x:c r="A64" s="5" t="n">
        <x:v>46243</x:v>
      </x:c>
      <x:c r="B64" s="6" t="n">
        <x:v>12259</x:v>
      </x:c>
      <x:c r="C64" s="4" t="n">
        <x:v>5</x:v>
      </x:c>
      <x:c r="D64" s="4" t="n">
        <x:v>0</x:v>
      </x:c>
      <x:c r="E64" s="4" t="n">
        <x:v>2</x:v>
      </x:c>
      <x:c r="F64" s="6" t="n">
        <x:v>0</x:v>
      </x:c>
      <x:c r="G64" s="6" t="n">
        <x:v>0</x:v>
      </x:c>
      <x:c r="H64" s="6" t="n">
        <x:v>0</x:v>
      </x:c>
      <x:c r="I64" s="6" t="n">
        <x:v>0</x:v>
      </x:c>
    </x:row>
    <x:row r="65" ht="22" customHeight="1">
      <x:c r="A65" s="5" t="n">
        <x:v>46244</x:v>
      </x:c>
      <x:c r="B65" s="6" t="n">
        <x:v>12369</x:v>
      </x:c>
      <x:c r="C65" s="4" t="n">
        <x:v>3</x:v>
      </x:c>
      <x:c r="D65" s="4" t="n">
        <x:v>0</x:v>
      </x:c>
      <x:c r="E65" s="4" t="n">
        <x:v>2</x:v>
      </x:c>
      <x:c r="F65" s="6" t="n">
        <x:v>0</x:v>
      </x:c>
      <x:c r="G65" s="6" t="n">
        <x:v>0</x:v>
      </x:c>
      <x:c r="H65" s="6" t="n">
        <x:v>0</x:v>
      </x:c>
      <x:c r="I65" s="6" t="n">
        <x:v>0</x:v>
      </x:c>
    </x:row>
    <x:row r="66" ht="22" customHeight="1">
      <x:c r="A66" s="5" t="n">
        <x:v>46245</x:v>
      </x:c>
      <x:c r="B66" s="6" t="n">
        <x:v>18777</x:v>
      </x:c>
      <x:c r="C66" s="4" t="n">
        <x:v>6</x:v>
      </x:c>
      <x:c r="D66" s="4" t="n">
        <x:v>2</x:v>
      </x:c>
      <x:c r="E66" s="4" t="n">
        <x:v>0</x:v>
      </x:c>
      <x:c r="F66" s="6" t="n">
        <x:v>0</x:v>
      </x:c>
      <x:c r="G66" s="6" t="n">
        <x:v>0</x:v>
      </x:c>
      <x:c r="H66" s="6" t="n">
        <x:v>0</x:v>
      </x:c>
      <x:c r="I66" s="6" t="n">
        <x:v>0</x:v>
      </x:c>
    </x:row>
    <x:row r="67" ht="22" customHeight="1">
      <x:c r="A67" s="5" t="n">
        <x:v>46246</x:v>
      </x:c>
      <x:c r="B67" s="6" t="n">
        <x:v>17221</x:v>
      </x:c>
      <x:c r="C67" s="4" t="n">
        <x:v>1</x:v>
      </x:c>
      <x:c r="D67" s="4" t="n">
        <x:v>0</x:v>
      </x:c>
      <x:c r="E67" s="4" t="n">
        <x:v>0</x:v>
      </x:c>
      <x:c r="F67" s="6" t="n">
        <x:v>0</x:v>
      </x:c>
      <x:c r="G67" s="6" t="n">
        <x:v>0</x:v>
      </x:c>
      <x:c r="H67" s="6" t="n">
        <x:v>0</x:v>
      </x:c>
      <x:c r="I67" s="6" t="n">
        <x:v>0</x:v>
      </x:c>
    </x:row>
    <x:row r="68" ht="22" customHeight="1">
      <x:c r="A68" s="5" t="n">
        <x:v>46247</x:v>
      </x:c>
      <x:c r="B68" s="6" t="n">
        <x:v>13814</x:v>
      </x:c>
      <x:c r="C68" s="4" t="n">
        <x:v>3</x:v>
      </x:c>
      <x:c r="D68" s="4" t="n">
        <x:v>2</x:v>
      </x:c>
      <x:c r="E68" s="4" t="n">
        <x:v>1</x:v>
      </x:c>
      <x:c r="F68" s="6" t="n">
        <x:v>0</x:v>
      </x:c>
      <x:c r="G68" s="6" t="n">
        <x:v>0</x:v>
      </x:c>
      <x:c r="H68" s="6" t="n">
        <x:v>10000</x:v>
      </x:c>
      <x:c r="I68" s="6" t="n">
        <x:v>-10000</x:v>
      </x:c>
    </x:row>
    <x:row r="69" ht="22" customHeight="1">
      <x:c r="A69" s="5" t="n">
        <x:v>46248</x:v>
      </x:c>
      <x:c r="B69" s="6" t="n">
        <x:v>12259</x:v>
      </x:c>
      <x:c r="C69" s="4" t="n">
        <x:v>2</x:v>
      </x:c>
      <x:c r="D69" s="4" t="n">
        <x:v>1</x:v>
      </x:c>
      <x:c r="E69" s="4" t="n">
        <x:v>0</x:v>
      </x:c>
      <x:c r="F69" s="6" t="n">
        <x:v>295000</x:v>
      </x:c>
      <x:c r="G69" s="6" t="n">
        <x:v>295000</x:v>
      </x:c>
      <x:c r="H69" s="6" t="n">
        <x:v>0</x:v>
      </x:c>
      <x:c r="I69" s="6" t="n">
        <x:v>295000</x:v>
      </x:c>
    </x:row>
    <x:row r="70" ht="22" customHeight="1">
      <x:c r="A70" s="5" t="n">
        <x:v>46249</x:v>
      </x:c>
      <x:c r="B70" s="6" t="n">
        <x:v>12369</x:v>
      </x:c>
      <x:c r="C70" s="4" t="n">
        <x:v>3</x:v>
      </x:c>
      <x:c r="D70" s="4" t="n">
        <x:v>0</x:v>
      </x:c>
      <x:c r="E70" s="4" t="n">
        <x:v>1</x:v>
      </x:c>
      <x:c r="F70" s="6" t="n">
        <x:v>0</x:v>
      </x:c>
      <x:c r="G70" s="6" t="n">
        <x:v>0</x:v>
      </x:c>
      <x:c r="H70" s="6" t="n">
        <x:v>0</x:v>
      </x:c>
      <x:c r="I70" s="6" t="n">
        <x:v>0</x:v>
      </x:c>
    </x:row>
    <x:row r="71" ht="22" customHeight="1">
      <x:c r="A71" s="5" t="n">
        <x:v>46250</x:v>
      </x:c>
      <x:c r="B71" s="6" t="n">
        <x:v>18777</x:v>
      </x:c>
      <x:c r="C71" s="4" t="n">
        <x:v>5</x:v>
      </x:c>
      <x:c r="D71" s="4" t="n">
        <x:v>2</x:v>
      </x:c>
      <x:c r="E71" s="4" t="n">
        <x:v>1</x:v>
      </x:c>
      <x:c r="F71" s="6" t="n">
        <x:v>0</x:v>
      </x:c>
      <x:c r="G71" s="6" t="n">
        <x:v>0</x:v>
      </x:c>
      <x:c r="H71" s="6" t="n">
        <x:v>0</x:v>
      </x:c>
      <x:c r="I71" s="6" t="n">
        <x:v>0</x:v>
      </x:c>
    </x:row>
    <x:row r="72" ht="22" customHeight="1">
      <x:c r="A72" s="5" t="n">
        <x:v>46251</x:v>
      </x:c>
      <x:c r="B72" s="6" t="n">
        <x:v>17221</x:v>
      </x:c>
      <x:c r="C72" s="4" t="n">
        <x:v>5</x:v>
      </x:c>
      <x:c r="D72" s="4" t="n">
        <x:v>0</x:v>
      </x:c>
      <x:c r="E72" s="4" t="n">
        <x:v>0</x:v>
      </x:c>
      <x:c r="F72" s="6" t="n">
        <x:v>65000</x:v>
      </x:c>
      <x:c r="G72" s="6" t="n">
        <x:v>65000</x:v>
      </x:c>
      <x:c r="H72" s="6" t="n">
        <x:v>0</x:v>
      </x:c>
      <x:c r="I72" s="6" t="n">
        <x:v>65000</x:v>
      </x:c>
    </x:row>
    <x:row r="73" ht="22" customHeight="1">
      <x:c r="A73" s="5" t="n">
        <x:v>46252</x:v>
      </x:c>
      <x:c r="B73" s="6" t="n">
        <x:v>13814</x:v>
      </x:c>
      <x:c r="C73" s="4" t="n">
        <x:v>1</x:v>
      </x:c>
      <x:c r="D73" s="4" t="n">
        <x:v>1</x:v>
      </x:c>
      <x:c r="E73" s="4" t="n">
        <x:v>1</x:v>
      </x:c>
      <x:c r="F73" s="6" t="n">
        <x:v>85000</x:v>
      </x:c>
      <x:c r="G73" s="6" t="n">
        <x:v>85000</x:v>
      </x:c>
      <x:c r="H73" s="6" t="n">
        <x:v>0</x:v>
      </x:c>
      <x:c r="I73" s="6" t="n">
        <x:v>85000</x:v>
      </x:c>
    </x:row>
    <x:row r="74" ht="22" customHeight="1">
      <x:c r="A74" s="5" t="n">
        <x:v>46253</x:v>
      </x:c>
      <x:c r="B74" s="6" t="n">
        <x:v>12259</x:v>
      </x:c>
      <x:c r="C74" s="4" t="n">
        <x:v>2</x:v>
      </x:c>
      <x:c r="D74" s="4" t="n">
        <x:v>2</x:v>
      </x:c>
      <x:c r="E74" s="4" t="n">
        <x:v>0</x:v>
      </x:c>
      <x:c r="F74" s="6" t="n">
        <x:v>0</x:v>
      </x:c>
      <x:c r="G74" s="6" t="n">
        <x:v>0</x:v>
      </x:c>
      <x:c r="H74" s="6" t="n">
        <x:v>0</x:v>
      </x:c>
      <x:c r="I74" s="6" t="n">
        <x:v>0</x:v>
      </x:c>
    </x:row>
    <x:row r="75" ht="22" customHeight="1">
      <x:c r="A75" s="5" t="n">
        <x:v>46254</x:v>
      </x:c>
      <x:c r="B75" s="6" t="n">
        <x:v>12369</x:v>
      </x:c>
      <x:c r="C75" s="4" t="n">
        <x:v>1</x:v>
      </x:c>
      <x:c r="D75" s="4" t="n">
        <x:v>0</x:v>
      </x:c>
      <x:c r="E75" s="4" t="n">
        <x:v>1</x:v>
      </x:c>
      <x:c r="F75" s="6" t="n">
        <x:v>0</x:v>
      </x:c>
      <x:c r="G75" s="6" t="n">
        <x:v>0</x:v>
      </x:c>
      <x:c r="H75" s="6" t="n">
        <x:v>0</x:v>
      </x:c>
      <x:c r="I75" s="6" t="n">
        <x:v>0</x:v>
      </x:c>
    </x:row>
    <x:row r="76" ht="22" customHeight="1">
      <x:c r="A76" s="5" t="n">
        <x:v>46255</x:v>
      </x:c>
      <x:c r="B76" s="6" t="n">
        <x:v>18777</x:v>
      </x:c>
      <x:c r="C76" s="4" t="n">
        <x:v>3</x:v>
      </x:c>
      <x:c r="D76" s="4" t="n">
        <x:v>1</x:v>
      </x:c>
      <x:c r="E76" s="4" t="n">
        <x:v>1</x:v>
      </x:c>
      <x:c r="F76" s="6" t="n">
        <x:v>0</x:v>
      </x:c>
      <x:c r="G76" s="6" t="n">
        <x:v>0</x:v>
      </x:c>
      <x:c r="H76" s="6" t="n">
        <x:v>0</x:v>
      </x:c>
      <x:c r="I76" s="6" t="n">
        <x:v>0</x:v>
      </x:c>
    </x:row>
    <x:row r="77" ht="22" customHeight="1">
      <x:c r="A77" s="5" t="n">
        <x:v>46256</x:v>
      </x:c>
      <x:c r="B77" s="6" t="n">
        <x:v>17221</x:v>
      </x:c>
      <x:c r="C77" s="4" t="n">
        <x:v>3</x:v>
      </x:c>
      <x:c r="D77" s="4" t="n">
        <x:v>1</x:v>
      </x:c>
      <x:c r="E77" s="4" t="n">
        <x:v>0</x:v>
      </x:c>
      <x:c r="F77" s="6" t="n">
        <x:v>0</x:v>
      </x:c>
      <x:c r="G77" s="6" t="n">
        <x:v>0</x:v>
      </x:c>
      <x:c r="H77" s="6" t="n">
        <x:v>20000</x:v>
      </x:c>
      <x:c r="I77" s="6" t="n">
        <x:v>-20000</x:v>
      </x:c>
    </x:row>
    <x:row r="78" ht="22" customHeight="1">
      <x:c r="A78" s="5" t="n">
        <x:v>46257</x:v>
      </x:c>
      <x:c r="B78" s="6" t="n">
        <x:v>13814</x:v>
      </x:c>
      <x:c r="C78" s="4" t="n">
        <x:v>2</x:v>
      </x:c>
      <x:c r="D78" s="4" t="n">
        <x:v>0</x:v>
      </x:c>
      <x:c r="E78" s="4" t="n">
        <x:v>1</x:v>
      </x:c>
      <x:c r="F78" s="6" t="n">
        <x:v>0</x:v>
      </x:c>
      <x:c r="G78" s="6" t="n">
        <x:v>0</x:v>
      </x:c>
      <x:c r="H78" s="6" t="n">
        <x:v>0</x:v>
      </x:c>
      <x:c r="I78" s="6" t="n">
        <x:v>0</x:v>
      </x:c>
    </x:row>
    <x:row r="79" ht="22" customHeight="1">
      <x:c r="A79" s="5" t="n">
        <x:v>46258</x:v>
      </x:c>
      <x:c r="B79" s="6" t="n">
        <x:v>12259</x:v>
      </x:c>
      <x:c r="C79" s="4" t="n">
        <x:v>4</x:v>
      </x:c>
      <x:c r="D79" s="4" t="n">
        <x:v>2</x:v>
      </x:c>
      <x:c r="E79" s="4" t="n">
        <x:v>1</x:v>
      </x:c>
      <x:c r="F79" s="6" t="n">
        <x:v>0</x:v>
      </x:c>
      <x:c r="G79" s="6" t="n">
        <x:v>0</x:v>
      </x:c>
      <x:c r="H79" s="6" t="n">
        <x:v>0</x:v>
      </x:c>
      <x:c r="I79" s="6" t="n">
        <x:v>0</x:v>
      </x:c>
    </x:row>
    <x:row r="80" ht="22" customHeight="1">
      <x:c r="A80" s="5" t="n">
        <x:v>46259</x:v>
      </x:c>
      <x:c r="B80" s="6" t="n">
        <x:v>12369</x:v>
      </x:c>
      <x:c r="C80" s="4" t="n">
        <x:v>3</x:v>
      </x:c>
      <x:c r="D80" s="4" t="n">
        <x:v>2</x:v>
      </x:c>
      <x:c r="E80" s="4" t="n">
        <x:v>0</x:v>
      </x:c>
      <x:c r="F80" s="6" t="n">
        <x:v>0</x:v>
      </x:c>
      <x:c r="G80" s="6" t="n">
        <x:v>0</x:v>
      </x:c>
      <x:c r="H80" s="6" t="n">
        <x:v>0</x:v>
      </x:c>
      <x:c r="I80" s="6" t="n">
        <x:v>0</x:v>
      </x:c>
    </x:row>
    <x:row r="81" ht="22" customHeight="1">
      <x:c r="A81" s="5" t="n">
        <x:v>46260</x:v>
      </x:c>
      <x:c r="B81" s="6" t="n">
        <x:v>18777</x:v>
      </x:c>
      <x:c r="C81" s="4" t="n">
        <x:v>4</x:v>
      </x:c>
      <x:c r="D81" s="4" t="n">
        <x:v>2</x:v>
      </x:c>
      <x:c r="E81" s="4" t="n">
        <x:v>1</x:v>
      </x:c>
      <x:c r="F81" s="6" t="n">
        <x:v>0</x:v>
      </x:c>
      <x:c r="G81" s="6" t="n">
        <x:v>0</x:v>
      </x:c>
      <x:c r="H81" s="6" t="n">
        <x:v>0</x:v>
      </x:c>
      <x:c r="I81" s="6" t="n">
        <x:v>0</x:v>
      </x:c>
    </x:row>
    <x:row r="82" ht="22" customHeight="1">
      <x:c r="A82" s="5" t="n">
        <x:v>46261</x:v>
      </x:c>
      <x:c r="B82" s="6" t="n">
        <x:v>17221</x:v>
      </x:c>
      <x:c r="C82" s="4" t="n">
        <x:v>2</x:v>
      </x:c>
      <x:c r="D82" s="4" t="n">
        <x:v>0</x:v>
      </x:c>
      <x:c r="E82" s="4" t="n">
        <x:v>2</x:v>
      </x:c>
      <x:c r="F82" s="6" t="n">
        <x:v>0</x:v>
      </x:c>
      <x:c r="G82" s="6" t="n">
        <x:v>0</x:v>
      </x:c>
      <x:c r="H82" s="6" t="n">
        <x:v>0</x:v>
      </x:c>
      <x:c r="I82" s="6" t="n">
        <x:v>0</x:v>
      </x:c>
    </x:row>
    <x:row r="83" ht="22" customHeight="1">
      <x:c r="A83" s="5" t="n">
        <x:v>46262</x:v>
      </x:c>
      <x:c r="B83" s="6" t="n">
        <x:v>13814</x:v>
      </x:c>
      <x:c r="C83" s="4" t="n">
        <x:v>3</x:v>
      </x:c>
      <x:c r="D83" s="4" t="n">
        <x:v>2</x:v>
      </x:c>
      <x:c r="E83" s="4" t="n">
        <x:v>2</x:v>
      </x:c>
      <x:c r="F83" s="6" t="n">
        <x:v>55000</x:v>
      </x:c>
      <x:c r="G83" s="6" t="n">
        <x:v>55000</x:v>
      </x:c>
      <x:c r="H83" s="6" t="n">
        <x:v>0</x:v>
      </x:c>
      <x:c r="I83" s="6" t="n">
        <x:v>55000</x:v>
      </x:c>
    </x:row>
    <x:row r="84" ht="22" customHeight="1">
      <x:c r="A84" s="5" t="n">
        <x:v>46263</x:v>
      </x:c>
      <x:c r="B84" s="6" t="n">
        <x:v>12259</x:v>
      </x:c>
      <x:c r="C84" s="4" t="n">
        <x:v>3</x:v>
      </x:c>
      <x:c r="D84" s="4" t="n">
        <x:v>0</x:v>
      </x:c>
      <x:c r="E84" s="4" t="n">
        <x:v>0</x:v>
      </x:c>
      <x:c r="F84" s="6" t="n">
        <x:v>0</x:v>
      </x:c>
      <x:c r="G84" s="6" t="n">
        <x:v>0</x:v>
      </x:c>
      <x:c r="H84" s="6" t="n">
        <x:v>0</x:v>
      </x:c>
      <x:c r="I84" s="6" t="n">
        <x:v>0</x:v>
      </x:c>
    </x:row>
    <x:row r="85" ht="22" customHeight="1">
      <x:c r="A85" s="5" t="n">
        <x:v>46264</x:v>
      </x:c>
      <x:c r="B85" s="6" t="n">
        <x:v>12369</x:v>
      </x:c>
      <x:c r="C85" s="4" t="n">
        <x:v>2</x:v>
      </x:c>
      <x:c r="D85" s="4" t="n">
        <x:v>1</x:v>
      </x:c>
      <x:c r="E85" s="4" t="n">
        <x:v>1</x:v>
      </x:c>
      <x:c r="F85" s="6" t="n">
        <x:v>0</x:v>
      </x:c>
      <x:c r="G85" s="6" t="n">
        <x:v>0</x:v>
      </x:c>
      <x:c r="H85" s="6" t="n">
        <x:v>0</x:v>
      </x:c>
      <x:c r="I85" s="6" t="n">
        <x:v>0</x:v>
      </x:c>
    </x:row>
    <x:row r="86" ht="22" customHeight="1">
      <x:c r="A86" s="5" t="n">
        <x:v>46265</x:v>
      </x:c>
      <x:c r="B86" s="6" t="n">
        <x:v>18777</x:v>
      </x:c>
      <x:c r="C86" s="4" t="n">
        <x:v>1</x:v>
      </x:c>
      <x:c r="D86" s="4" t="n">
        <x:v>2</x:v>
      </x:c>
      <x:c r="E86" s="4" t="n">
        <x:v>0</x:v>
      </x:c>
      <x:c r="F86" s="6" t="n">
        <x:v>0</x:v>
      </x:c>
      <x:c r="G86" s="6" t="n">
        <x:v>0</x:v>
      </x:c>
      <x:c r="H86" s="6" t="n">
        <x:v>0</x:v>
      </x:c>
      <x:c r="I86" s="6" t="n">
        <x:v>0</x:v>
      </x:c>
    </x:row>
    <x:row r="87" ht="22" customHeight="1">
      <x:c r="A87" s="5" t="n">
        <x:v>46266</x:v>
      </x:c>
      <x:c r="B87" s="6" t="n">
        <x:v>17221</x:v>
      </x:c>
      <x:c r="C87" s="4" t="n">
        <x:v>0</x:v>
      </x:c>
      <x:c r="D87" s="4" t="n">
        <x:v>2</x:v>
      </x:c>
      <x:c r="E87" s="4" t="n">
        <x:v>1</x:v>
      </x:c>
      <x:c r="F87" s="6" t="n">
        <x:v>0</x:v>
      </x:c>
      <x:c r="G87" s="6" t="n">
        <x:v>0</x:v>
      </x:c>
      <x:c r="H87" s="6" t="n">
        <x:v>0</x:v>
      </x:c>
      <x:c r="I87" s="6" t="n">
        <x:v>0</x:v>
      </x:c>
    </x:row>
    <x:row r="88" ht="22" customHeight="1">
      <x:c r="A88" s="5" t="n">
        <x:v>46267</x:v>
      </x:c>
      <x:c r="B88" s="6" t="n">
        <x:v>13814</x:v>
      </x:c>
      <x:c r="C88" s="4" t="n">
        <x:v>0</x:v>
      </x:c>
      <x:c r="D88" s="4" t="n">
        <x:v>1</x:v>
      </x:c>
      <x:c r="E88" s="4" t="n">
        <x:v>0</x:v>
      </x:c>
      <x:c r="F88" s="6" t="n">
        <x:v>0</x:v>
      </x:c>
      <x:c r="G88" s="6" t="n">
        <x:v>0</x:v>
      </x:c>
      <x:c r="H88" s="6" t="n">
        <x:v>0</x:v>
      </x:c>
      <x:c r="I88" s="6" t="n">
        <x:v>0</x:v>
      </x:c>
    </x:row>
    <x:row r="89" ht="22" customHeight="1">
      <x:c r="A89" s="5" t="n">
        <x:v>46268</x:v>
      </x:c>
      <x:c r="B89" s="6" t="n">
        <x:v>12258</x:v>
      </x:c>
      <x:c r="C89" s="4" t="n">
        <x:v>0</x:v>
      </x:c>
      <x:c r="D89" s="4" t="n">
        <x:v>0</x:v>
      </x:c>
      <x:c r="E89" s="4" t="n">
        <x:v>1</x:v>
      </x:c>
      <x:c r="F89" s="6" t="n">
        <x:v>55000</x:v>
      </x:c>
      <x:c r="G89" s="6" t="n">
        <x:v>55000</x:v>
      </x:c>
      <x:c r="H89" s="6" t="n">
        <x:v>0</x:v>
      </x:c>
      <x:c r="I89" s="6" t="n">
        <x:v>55000</x:v>
      </x:c>
    </x:row>
    <x:row r="90" ht="22" customHeight="1">
      <x:c r="A90" s="5" t="n">
        <x:v>46269</x:v>
      </x:c>
      <x:c r="B90" s="6" t="n">
        <x:v>12368</x:v>
      </x:c>
      <x:c r="C90" s="4" t="n">
        <x:v>0</x:v>
      </x:c>
      <x:c r="D90" s="4" t="n">
        <x:v>0</x:v>
      </x:c>
      <x:c r="E90" s="4" t="n">
        <x:v>1</x:v>
      </x:c>
      <x:c r="F90" s="6" t="n">
        <x:v>75000</x:v>
      </x:c>
      <x:c r="G90" s="6" t="n">
        <x:v>75000</x:v>
      </x:c>
      <x:c r="H90" s="6" t="n">
        <x:v>0</x:v>
      </x:c>
      <x:c r="I90" s="6" t="n">
        <x:v>75000</x:v>
      </x:c>
    </x:row>
    <x:row r="91" ht="22" customHeight="1">
      <x:c r="A91" s="5" t="n">
        <x:v>46270</x:v>
      </x:c>
      <x:c r="B91" s="6" t="n">
        <x:v>18776</x:v>
      </x:c>
      <x:c r="C91" s="4" t="n">
        <x:v>0</x:v>
      </x:c>
      <x:c r="D91" s="4" t="n">
        <x:v>0</x:v>
      </x:c>
      <x:c r="E91" s="4" t="n">
        <x:v>0</x:v>
      </x:c>
      <x:c r="F91" s="6" t="n">
        <x:v>0</x:v>
      </x:c>
      <x:c r="G91" s="6" t="n">
        <x:v>0</x:v>
      </x:c>
      <x:c r="H91" s="6" t="n">
        <x:v>0</x:v>
      </x:c>
      <x:c r="I91" s="6" t="n">
        <x:v>0</x:v>
      </x:c>
    </x:row>
    <x:row r="92" ht="22" customHeight="1">
      <x:c r="A92" s="5" t="n">
        <x:v>46271</x:v>
      </x:c>
      <x:c r="B92" s="6" t="n">
        <x:v>17220</x:v>
      </x:c>
      <x:c r="C92" s="4" t="n">
        <x:v>0</x:v>
      </x:c>
      <x:c r="D92" s="4" t="n">
        <x:v>0</x:v>
      </x:c>
      <x:c r="E92" s="4" t="n">
        <x:v>0</x:v>
      </x:c>
      <x:c r="F92" s="6" t="n">
        <x:v>0</x:v>
      </x:c>
      <x:c r="G92" s="6" t="n">
        <x:v>0</x:v>
      </x:c>
      <x:c r="H92" s="6" t="n">
        <x:v>0</x:v>
      </x:c>
      <x:c r="I92" s="6" t="n">
        <x:v>0</x:v>
      </x:c>
    </x:row>
    <x:row r="93" ht="22" customHeight="1">
      <x:c r="A93" s="5" t="n">
        <x:v>46272</x:v>
      </x:c>
      <x:c r="B93" s="6" t="n">
        <x:v>13813</x:v>
      </x:c>
      <x:c r="C93" s="4" t="n">
        <x:v>0</x:v>
      </x:c>
      <x:c r="D93" s="4" t="n">
        <x:v>0</x:v>
      </x:c>
      <x:c r="E93" s="4" t="n">
        <x:v>0</x:v>
      </x:c>
      <x:c r="F93" s="6" t="n">
        <x:v>0</x:v>
      </x:c>
      <x:c r="G93" s="6" t="n">
        <x:v>0</x:v>
      </x:c>
      <x:c r="H93" s="6" t="n">
        <x:v>0</x:v>
      </x:c>
      <x:c r="I93" s="6" t="n">
        <x:v>0</x:v>
      </x:c>
    </x:row>
    <x:row r="94" ht="22" customHeight="1">
      <x:c r="A94" s="5" t="n">
        <x:v>46273</x:v>
      </x:c>
      <x:c r="B94" s="6" t="n">
        <x:v>12258</x:v>
      </x:c>
      <x:c r="C94" s="4" t="n">
        <x:v>0</x:v>
      </x:c>
      <x:c r="D94" s="4" t="n">
        <x:v>0</x:v>
      </x:c>
      <x:c r="E94" s="4" t="n">
        <x:v>0</x:v>
      </x:c>
      <x:c r="F94" s="6" t="n">
        <x:v>0</x:v>
      </x:c>
      <x:c r="G94" s="6" t="n">
        <x:v>0</x:v>
      </x:c>
      <x:c r="H94" s="6" t="n">
        <x:v>0</x:v>
      </x:c>
      <x:c r="I94" s="6" t="n">
        <x:v>0</x:v>
      </x:c>
    </x:row>
    <x:row r="95" ht="22" customHeight="1">
      <x:c r="A95" s="5" t="n">
        <x:v>46274</x:v>
      </x:c>
      <x:c r="B95" s="6" t="n">
        <x:v>12368</x:v>
      </x:c>
      <x:c r="C95" s="4" t="n">
        <x:v>0</x:v>
      </x:c>
      <x:c r="D95" s="4" t="n">
        <x:v>0</x:v>
      </x:c>
      <x:c r="E95" s="4" t="n">
        <x:v>0</x:v>
      </x:c>
      <x:c r="F95" s="6" t="n">
        <x:v>85000</x:v>
      </x:c>
      <x:c r="G95" s="6" t="n">
        <x:v>85000</x:v>
      </x:c>
      <x:c r="H95" s="6" t="n">
        <x:v>0</x:v>
      </x:c>
      <x:c r="I95" s="6" t="n">
        <x:v>85000</x:v>
      </x:c>
    </x:row>
    <x:row r="96" ht="22" customHeight="1">
      <x:c r="A96" s="5" t="n">
        <x:v>46275</x:v>
      </x:c>
      <x:c r="B96" s="6" t="n">
        <x:v>18776</x:v>
      </x:c>
      <x:c r="C96" s="4" t="n">
        <x:v>0</x:v>
      </x:c>
      <x:c r="D96" s="4" t="n">
        <x:v>0</x:v>
      </x:c>
      <x:c r="E96" s="4" t="n">
        <x:v>0</x:v>
      </x:c>
      <x:c r="F96" s="6" t="n">
        <x:v>0</x:v>
      </x:c>
      <x:c r="G96" s="6" t="n">
        <x:v>0</x:v>
      </x:c>
      <x:c r="H96" s="6" t="n">
        <x:v>0</x:v>
      </x:c>
      <x:c r="I96" s="6" t="n">
        <x:v>0</x:v>
      </x:c>
    </x:row>
    <x:row r="97" ht="22" customHeight="1">
      <x:c r="A97" s="5" t="n">
        <x:v>46276</x:v>
      </x:c>
      <x:c r="B97" s="6" t="n">
        <x:v>17220</x:v>
      </x:c>
      <x:c r="C97" s="4" t="n">
        <x:v>0</x:v>
      </x:c>
      <x:c r="D97" s="4" t="n">
        <x:v>0</x:v>
      </x:c>
      <x:c r="E97" s="4" t="n">
        <x:v>0</x:v>
      </x:c>
      <x:c r="F97" s="6" t="n">
        <x:v>65000</x:v>
      </x:c>
      <x:c r="G97" s="6" t="n">
        <x:v>65000</x:v>
      </x:c>
      <x:c r="H97" s="6" t="n">
        <x:v>0</x:v>
      </x:c>
      <x:c r="I97" s="6" t="n">
        <x:v>65000</x:v>
      </x:c>
    </x:row>
    <x:row r="98" ht="22" customHeight="1">
      <x:c r="A98" s="5" t="n">
        <x:v>46277</x:v>
      </x:c>
      <x:c r="B98" s="6" t="n">
        <x:v>13813</x:v>
      </x:c>
      <x:c r="C98" s="4" t="n">
        <x:v>0</x:v>
      </x:c>
      <x:c r="D98" s="4" t="n">
        <x:v>0</x:v>
      </x:c>
      <x:c r="E98" s="4" t="n">
        <x:v>0</x:v>
      </x:c>
      <x:c r="F98" s="6" t="n">
        <x:v>45000</x:v>
      </x:c>
      <x:c r="G98" s="6" t="n">
        <x:v>45000</x:v>
      </x:c>
      <x:c r="H98" s="6" t="n">
        <x:v>0</x:v>
      </x:c>
      <x:c r="I98" s="6" t="n">
        <x:v>45000</x:v>
      </x:c>
    </x:row>
    <x:row r="99" ht="22" customHeight="1">
      <x:c r="A99" s="5" t="n">
        <x:v>46285</x:v>
      </x:c>
      <x:c r="B99" s="6" t="n">
        <x:v>0</x:v>
      </x:c>
      <x:c r="C99" s="4" t="n">
        <x:v>0</x:v>
      </x:c>
      <x:c r="D99" s="4" t="n">
        <x:v>0</x:v>
      </x:c>
      <x:c r="E99" s="4" t="n">
        <x:v>0</x:v>
      </x:c>
      <x:c r="F99" s="6" t="n">
        <x:v>0</x:v>
      </x:c>
      <x:c r="G99" s="6" t="n">
        <x:v>0</x:v>
      </x:c>
      <x:c r="H99" s="6" t="n">
        <x:v>10000</x:v>
      </x:c>
      <x:c r="I99" s="6" t="n">
        <x:v>-10000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7" customHeight="1">
      <x:c r="A1" s="2" t="str">
        <x:v>campaign_id</x:v>
      </x:c>
      <x:c r="B1" s="2" t="str">
        <x:v>source</x:v>
      </x:c>
      <x:c r="C1" s="2" t="str">
        <x:v>medium</x:v>
      </x:c>
      <x:c r="D1" s="2" t="str">
        <x:v>spend_cents</x:v>
      </x:c>
      <x:c r="E1" s="2" t="str">
        <x:v>leads</x:v>
      </x:c>
      <x:c r="F1" s="2" t="str">
        <x:v>mqls</x:v>
      </x:c>
      <x:c r="G1" s="2" t="str">
        <x:v>net_cash_cents</x:v>
      </x:c>
    </x:row>
    <x:row r="2" ht="22" customHeight="1">
      <x:c r="A2" s="4" t="str">
        <x:v>FB-Broad</x:v>
      </x:c>
      <x:c r="B2" s="4" t="str">
        <x:v>FB</x:v>
      </x:c>
      <x:c r="C2" s="4" t="str">
        <x:v>paid_social</x:v>
      </x:c>
      <x:c r="D2" s="6" t="n">
        <x:v>190000</x:v>
      </x:c>
      <x:c r="E2" s="4" t="n">
        <x:v>48</x:v>
      </x:c>
      <x:c r="F2" s="4" t="n">
        <x:v>20</x:v>
      </x:c>
      <x:c r="G2" s="6" t="n">
        <x:v>510000</x:v>
      </x:c>
    </x:row>
    <x:row r="3" ht="22" customHeight="1">
      <x:c r="A3" s="4" t="str">
        <x:v>newsletter</x:v>
      </x:c>
      <x:c r="B3" s="4" t="str">
        <x:v>newsletter</x:v>
      </x:c>
      <x:c r="C3" s="4" t="str">
        <x:v>owned_email</x:v>
      </x:c>
      <x:c r="D3" s="6" t="n">
        <x:v>0</x:v>
      </x:c>
      <x:c r="E3" s="4" t="n">
        <x:v>48</x:v>
      </x:c>
      <x:c r="F3" s="4" t="n">
        <x:v>20</x:v>
      </x:c>
      <x:c r="G3" s="6" t="n">
        <x:v>450000</x:v>
      </x:c>
    </x:row>
    <x:row r="4" ht="22" customHeight="1">
      <x:c r="A4" s="4" t="str">
        <x:v>youtube-guide</x:v>
      </x:c>
      <x:c r="B4" s="4" t="str">
        <x:v>youtube</x:v>
      </x:c>
      <x:c r="C4" s="4" t="str">
        <x:v>organic_video</x:v>
      </x:c>
      <x:c r="D4" s="6" t="n">
        <x:v>0</x:v>
      </x:c>
      <x:c r="E4" s="4" t="n">
        <x:v>48</x:v>
      </x:c>
      <x:c r="F4" s="4" t="n">
        <x:v>20</x:v>
      </x:c>
      <x:c r="G4" s="6" t="n">
        <x:v>390000</x:v>
      </x:c>
    </x:row>
    <x:row r="5" ht="22" customHeight="1">
      <x:c r="A5" s="4" t="str">
        <x:v>google-growth</x:v>
      </x:c>
      <x:c r="B5" s="4" t="str">
        <x:v>google</x:v>
      </x:c>
      <x:c r="C5" s="4" t="str">
        <x:v>paid_search</x:v>
      </x:c>
      <x:c r="D5" s="6" t="n">
        <x:v>530000</x:v>
      </x:c>
      <x:c r="E5" s="4" t="n">
        <x:v>48</x:v>
      </x:c>
      <x:c r="F5" s="4" t="n">
        <x:v>20</x:v>
      </x:c>
      <x:c r="G5" s="6" t="n">
        <x:v>330000</x:v>
      </x:c>
    </x:row>
    <x:row r="6" ht="22" customHeight="1">
      <x:c r="A6" s="4" t="str">
        <x:v>meta-founder</x:v>
      </x:c>
      <x:c r="B6" s="4" t="str">
        <x:v>meta</x:v>
      </x:c>
      <x:c r="C6" s="4" t="str">
        <x:v>paid_social</x:v>
      </x:c>
      <x:c r="D6" s="6" t="n">
        <x:v>620000</x:v>
      </x:c>
      <x:c r="E6" s="4" t="n">
        <x:v>48</x:v>
      </x:c>
      <x:c r="F6" s="4" t="n">
        <x:v>20</x:v>
      </x:c>
      <x:c r="G6" s="6" t="n">
        <x:v>210000</x:v>
      </x:c>
    </x:row>
    <x:row r="7" ht="22" customHeight="1">
      <x:c r="A7" s="4" t="str">
        <x:v>direct</x:v>
      </x:c>
      <x:c r="B7" s="4" t="str">
        <x:v>direct</x:v>
      </x:c>
      <x:c r="C7" s="4" t="str">
        <x:v>none</x:v>
      </x:c>
      <x:c r="D7" s="6" t="n">
        <x:v>0</x:v>
      </x:c>
      <x:c r="E7" s="4" t="n">
        <x:v>0</x:v>
      </x:c>
      <x:c r="F7" s="4" t="n">
        <x:v>0</x:v>
      </x:c>
      <x:c r="G7" s="6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3" hidden="0" customWidth="1"/>
  </x:cols>
  <x:sheetData>
    <x:row r="1" ht="27" customHeight="1">
      <x:c r="A1" s="2" t="str">
        <x:v>stage</x:v>
      </x:c>
      <x:c r="B1" s="2" t="str">
        <x:v>ordinal</x:v>
      </x:c>
      <x:c r="C1" s="2" t="str">
        <x:v>people</x:v>
      </x:c>
      <x:c r="D1" s="2" t="str">
        <x:v>from_previous_rate</x:v>
      </x:c>
    </x:row>
    <x:row r="2" ht="22" customHeight="1">
      <x:c r="A2" s="4" t="str">
        <x:v>lead</x:v>
      </x:c>
      <x:c r="B2" s="4" t="n">
        <x:v>1</x:v>
      </x:c>
      <x:c r="C2" s="4" t="n">
        <x:v>240</x:v>
      </x:c>
      <x:c r="D2" s="7"/>
    </x:row>
    <x:row r="3" ht="22" customHeight="1">
      <x:c r="A3" s="4" t="str">
        <x:v>mql</x:v>
      </x:c>
      <x:c r="B3" s="4" t="n">
        <x:v>2</x:v>
      </x:c>
      <x:c r="C3" s="4" t="n">
        <x:v>100</x:v>
      </x:c>
      <x:c r="D3" s="7" t="n">
        <x:v>0.4167</x:v>
      </x:c>
    </x:row>
    <x:row r="4" ht="22" customHeight="1">
      <x:c r="A4" s="4" t="str">
        <x:v>call_booked</x:v>
      </x:c>
      <x:c r="B4" s="4" t="n">
        <x:v>3</x:v>
      </x:c>
      <x:c r="C4" s="4" t="n">
        <x:v>60</x:v>
      </x:c>
      <x:c r="D4" s="7" t="n">
        <x:v>0.6</x:v>
      </x:c>
    </x:row>
    <x:row r="5" ht="22" customHeight="1">
      <x:c r="A5" s="4" t="str">
        <x:v>call_attended</x:v>
      </x:c>
      <x:c r="B5" s="4" t="n">
        <x:v>4</x:v>
      </x:c>
      <x:c r="C5" s="4" t="n">
        <x:v>40</x:v>
      </x:c>
      <x:c r="D5" s="7" t="n">
        <x:v>0.6667</x:v>
      </x:c>
    </x:row>
    <x:row r="6" ht="22" customHeight="1">
      <x:c r="A6" s="4" t="str">
        <x:v>opportunity</x:v>
      </x:c>
      <x:c r="B6" s="4" t="n">
        <x:v>5</x:v>
      </x:c>
      <x:c r="C6" s="4" t="n">
        <x:v>37</x:v>
      </x:c>
      <x:c r="D6" s="7" t="n">
        <x:v>0.925</x:v>
      </x:c>
    </x:row>
    <x:row r="7" ht="22" customHeight="1">
      <x:c r="A7" s="4" t="str">
        <x:v>closed_won</x:v>
      </x:c>
      <x:c r="B7" s="4" t="n">
        <x:v>6</x:v>
      </x:c>
      <x:c r="C7" s="4" t="n">
        <x:v>30</x:v>
      </x:c>
      <x:c r="D7" s="7" t="n">
        <x:v>0.7297</x:v>
      </x:c>
    </x:row>
    <x:row r="8" ht="22" customHeight="1">
      <x:c r="A8" s="4" t="str">
        <x:v>paid</x:v>
      </x:c>
      <x:c r="B8" s="4" t="n">
        <x:v>7</x:v>
      </x:c>
      <x:c r="C8" s="4" t="n">
        <x:v>30</x:v>
      </x:c>
      <x:c r="D8" s="7" t="n">
        <x:v>1</x:v>
      </x:c>
    </x:row>
    <x:row r="9" ht="22" customHeight="1">
      <x:c r="A9" s="4" t="str">
        <x:v>activated</x:v>
      </x:c>
      <x:c r="B9" s="4" t="n">
        <x:v>8</x:v>
      </x:c>
      <x:c r="C9" s="4" t="n">
        <x:v>30</x:v>
      </x:c>
      <x:c r="D9" s="7" t="n">
        <x:v>1</x:v>
      </x:c>
    </x:row>
    <x:row r="10" ht="22" customHeight="1">
      <x:c r="A10" s="4" t="str">
        <x:v>renewed</x:v>
      </x:c>
      <x:c r="B10" s="4" t="n">
        <x:v>9</x:v>
      </x:c>
      <x:c r="C10" s="4" t="n">
        <x:v>6</x:v>
      </x:c>
      <x:c r="D10" s="7" t="n">
        <x:v>0.2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0" hidden="0" customWidth="1"/>
  </x:cols>
  <x:sheetData>
    <x:row r="1" ht="27" customHeight="1">
      <x:c r="A1" s="2" t="str">
        <x:v>content_id</x:v>
      </x:c>
      <x:c r="B1" s="2" t="str">
        <x:v>title</x:v>
      </x:c>
      <x:c r="C1" s="2" t="str">
        <x:v>platform</x:v>
      </x:c>
      <x:c r="D1" s="2" t="str">
        <x:v>views</x:v>
      </x:c>
      <x:c r="E1" s="2" t="str">
        <x:v>clicks</x:v>
      </x:c>
      <x:c r="F1" s="2" t="str">
        <x:v>engaged_leads</x:v>
      </x:c>
      <x:c r="G1" s="2" t="str">
        <x:v>mqls</x:v>
      </x:c>
      <x:c r="H1" s="2" t="str">
        <x:v>calls_booked</x:v>
      </x:c>
      <x:c r="I1" s="2" t="str">
        <x:v>customers</x:v>
      </x:c>
      <x:c r="J1" s="2" t="str">
        <x:v>influenced_net_cash_cents</x:v>
      </x:c>
    </x:row>
    <x:row r="2" ht="22" customHeight="1">
      <x:c r="A2" s="4" t="str">
        <x:v>video-00</x:v>
      </x:c>
      <x:c r="B2" s="4" t="str">
        <x:v>Founder systems lesson 1</x:v>
      </x:c>
      <x:c r="C2" s="4" t="str">
        <x:v>youtube</x:v>
      </x:c>
      <x:c r="D2" s="4" t="n">
        <x:v>2000</x:v>
      </x:c>
      <x:c r="E2" s="4" t="n">
        <x:v>90</x:v>
      </x:c>
      <x:c r="F2" s="4" t="n">
        <x:v>8</x:v>
      </x:c>
      <x:c r="G2" s="4" t="n">
        <x:v>8</x:v>
      </x:c>
      <x:c r="H2" s="4" t="n">
        <x:v>8</x:v>
      </x:c>
      <x:c r="I2" s="4" t="n">
        <x:v>8</x:v>
      </x:c>
      <x:c r="J2" s="6" t="n">
        <x:v>500000</x:v>
      </x:c>
    </x:row>
    <x:row r="3" ht="22" customHeight="1">
      <x:c r="A3" s="4" t="str">
        <x:v>video-02</x:v>
      </x:c>
      <x:c r="B3" s="4" t="str">
        <x:v>Founder systems lesson 3</x:v>
      </x:c>
      <x:c r="C3" s="4" t="str">
        <x:v>youtube</x:v>
      </x:c>
      <x:c r="D3" s="4" t="n">
        <x:v>4500</x:v>
      </x:c>
      <x:c r="E3" s="4" t="n">
        <x:v>174</x:v>
      </x:c>
      <x:c r="F3" s="4" t="n">
        <x:v>8</x:v>
      </x:c>
      <x:c r="G3" s="4" t="n">
        <x:v>8</x:v>
      </x:c>
      <x:c r="H3" s="4" t="n">
        <x:v>8</x:v>
      </x:c>
      <x:c r="I3" s="4" t="n">
        <x:v>8</x:v>
      </x:c>
      <x:c r="J3" s="6" t="n">
        <x:v>490000</x:v>
      </x:c>
    </x:row>
    <x:row r="4" ht="22" customHeight="1">
      <x:c r="A4" s="4" t="str">
        <x:v>video-06</x:v>
      </x:c>
      <x:c r="B4" s="4" t="str">
        <x:v>Founder systems lesson 7</x:v>
      </x:c>
      <x:c r="C4" s="4" t="str">
        <x:v>youtube</x:v>
      </x:c>
      <x:c r="D4" s="4" t="n">
        <x:v>9500</x:v>
      </x:c>
      <x:c r="E4" s="4" t="n">
        <x:v>342</x:v>
      </x:c>
      <x:c r="F4" s="4" t="n">
        <x:v>7</x:v>
      </x:c>
      <x:c r="G4" s="4" t="n">
        <x:v>7</x:v>
      </x:c>
      <x:c r="H4" s="4" t="n">
        <x:v>7</x:v>
      </x:c>
      <x:c r="I4" s="4" t="n">
        <x:v>7</x:v>
      </x:c>
      <x:c r="J4" s="6" t="n">
        <x:v>455000</x:v>
      </x:c>
    </x:row>
    <x:row r="5" ht="22" customHeight="1">
      <x:c r="A5" s="4" t="str">
        <x:v>video-04</x:v>
      </x:c>
      <x:c r="B5" s="4" t="str">
        <x:v>Founder systems lesson 5</x:v>
      </x:c>
      <x:c r="C5" s="4" t="str">
        <x:v>youtube</x:v>
      </x:c>
      <x:c r="D5" s="4" t="n">
        <x:v>7000</x:v>
      </x:c>
      <x:c r="E5" s="4" t="n">
        <x:v>258</x:v>
      </x:c>
      <x:c r="F5" s="4" t="n">
        <x:v>7</x:v>
      </x:c>
      <x:c r="G5" s="4" t="n">
        <x:v>7</x:v>
      </x:c>
      <x:c r="H5" s="4" t="n">
        <x:v>7</x:v>
      </x:c>
      <x:c r="I5" s="4" t="n">
        <x:v>7</x:v>
      </x:c>
      <x:c r="J5" s="6" t="n">
        <x:v>445000</x:v>
      </x:c>
    </x:row>
    <x:row r="6" ht="22" customHeight="1">
      <x:c r="A6" s="4" t="str">
        <x:v>video-01</x:v>
      </x:c>
      <x:c r="B6" s="4" t="str">
        <x:v>Founder systems lesson 2</x:v>
      </x:c>
      <x:c r="C6" s="4" t="str">
        <x:v>youtube</x:v>
      </x:c>
      <x:c r="D6" s="4" t="n">
        <x:v>3250</x:v>
      </x:c>
      <x:c r="E6" s="4" t="n">
        <x:v>132</x:v>
      </x:c>
      <x:c r="F6" s="4" t="n">
        <x:v>8</x:v>
      </x:c>
      <x:c r="G6" s="4" t="n">
        <x:v>3</x:v>
      </x:c>
      <x:c r="H6" s="4" t="n">
        <x:v>3</x:v>
      </x:c>
      <x:c r="I6" s="4" t="n">
        <x:v>0</x:v>
      </x:c>
      <x:c r="J6" s="6" t="n">
        <x:v>0</x:v>
      </x:c>
    </x:row>
    <x:row r="7" ht="22" customHeight="1">
      <x:c r="A7" s="4" t="str">
        <x:v>video-03</x:v>
      </x:c>
      <x:c r="B7" s="4" t="str">
        <x:v>Founder systems lesson 4</x:v>
      </x:c>
      <x:c r="C7" s="4" t="str">
        <x:v>youtube</x:v>
      </x:c>
      <x:c r="D7" s="4" t="n">
        <x:v>5750</x:v>
      </x:c>
      <x:c r="E7" s="4" t="n">
        <x:v>216</x:v>
      </x:c>
      <x:c r="F7" s="4" t="n">
        <x:v>8</x:v>
      </x:c>
      <x:c r="G7" s="4" t="n">
        <x:v>3</x:v>
      </x:c>
      <x:c r="H7" s="4" t="n">
        <x:v>3</x:v>
      </x:c>
      <x:c r="I7" s="4" t="n">
        <x:v>0</x:v>
      </x:c>
      <x:c r="J7" s="6" t="n">
        <x:v>0</x:v>
      </x:c>
    </x:row>
    <x:row r="8" ht="22" customHeight="1">
      <x:c r="A8" s="4" t="str">
        <x:v>video-05</x:v>
      </x:c>
      <x:c r="B8" s="4" t="str">
        <x:v>Founder systems lesson 6</x:v>
      </x:c>
      <x:c r="C8" s="4" t="str">
        <x:v>youtube</x:v>
      </x:c>
      <x:c r="D8" s="4" t="n">
        <x:v>8250</x:v>
      </x:c>
      <x:c r="E8" s="4" t="n">
        <x:v>300</x:v>
      </x:c>
      <x:c r="F8" s="4" t="n">
        <x:v>7</x:v>
      </x:c>
      <x:c r="G8" s="4" t="n">
        <x:v>2</x:v>
      </x:c>
      <x:c r="H8" s="4" t="n">
        <x:v>2</x:v>
      </x:c>
      <x:c r="I8" s="4" t="n">
        <x:v>0</x:v>
      </x:c>
      <x:c r="J8" s="6" t="n">
        <x:v>0</x:v>
      </x:c>
    </x:row>
    <x:row r="9" ht="22" customHeight="1">
      <x:c r="A9" s="4" t="str">
        <x:v>video-07</x:v>
      </x:c>
      <x:c r="B9" s="4" t="str">
        <x:v>Founder systems lesson 8</x:v>
      </x:c>
      <x:c r="C9" s="4" t="str">
        <x:v>youtube</x:v>
      </x:c>
      <x:c r="D9" s="4" t="n">
        <x:v>10750</x:v>
      </x:c>
      <x:c r="E9" s="4" t="n">
        <x:v>384</x:v>
      </x:c>
      <x:c r="F9" s="4" t="n">
        <x:v>7</x:v>
      </x:c>
      <x:c r="G9" s="4" t="n">
        <x:v>2</x:v>
      </x:c>
      <x:c r="H9" s="4" t="n">
        <x:v>2</x:v>
      </x:c>
      <x:c r="I9" s="4" t="n">
        <x:v>0</x:v>
      </x:c>
      <x:c r="J9" s="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27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1" hidden="0" customWidth="1"/>
  </x:cols>
  <x:sheetData>
    <x:row r="1" ht="27" customHeight="1">
      <x:c r="A1" s="2" t="str">
        <x:v>experiment_id</x:v>
      </x:c>
      <x:c r="B1" s="2" t="str">
        <x:v>variant_id</x:v>
      </x:c>
      <x:c r="C1" s="2" t="str">
        <x:v>label</x:v>
      </x:c>
      <x:c r="D1" s="2" t="str">
        <x:v>cta_text</x:v>
      </x:c>
      <x:c r="E1" s="2" t="str">
        <x:v>visitors</x:v>
      </x:c>
      <x:c r="F1" s="2" t="str">
        <x:v>leads</x:v>
      </x:c>
      <x:c r="G1" s="2" t="str">
        <x:v>mqls</x:v>
      </x:c>
      <x:c r="H1" s="2" t="str">
        <x:v>customers</x:v>
      </x:c>
      <x:c r="I1" s="2" t="str">
        <x:v>net_cash_cents</x:v>
      </x:c>
      <x:c r="J1" s="2" t="str">
        <x:v>lead_rate</x:v>
      </x:c>
      <x:c r="K1" s="2" t="str">
        <x:v>mql_per_lead</x:v>
      </x:c>
      <x:c r="L1" s="2" t="str">
        <x:v>net_cash_per_visitor_cents</x:v>
      </x:c>
    </x:row>
    <x:row r="2" ht="22" customHeight="1">
      <x:c r="A2" s="4" t="str">
        <x:v>cta_growth_plan</x:v>
      </x:c>
      <x:c r="B2" s="4" t="str">
        <x:v>cta_a</x:v>
      </x:c>
      <x:c r="C2" s="4" t="str">
        <x:v>Book a strategy call</x:v>
      </x:c>
      <x:c r="D2" s="4" t="str">
        <x:v>Book a strategy call</x:v>
      </x:c>
      <x:c r="E2" s="4" t="n">
        <x:v>500</x:v>
      </x:c>
      <x:c r="F2" s="4" t="n">
        <x:v>100</x:v>
      </x:c>
      <x:c r="G2" s="4" t="n">
        <x:v>70</x:v>
      </x:c>
      <x:c r="H2" s="4" t="n">
        <x:v>20</x:v>
      </x:c>
      <x:c r="I2" s="6" t="n">
        <x:v>1260000</x:v>
      </x:c>
      <x:c r="J2" s="7" t="n">
        <x:v>0.2</x:v>
      </x:c>
      <x:c r="K2" s="7" t="n">
        <x:v>0.7</x:v>
      </x:c>
      <x:c r="L2" s="6" t="n">
        <x:v>2520</x:v>
      </x:c>
    </x:row>
    <x:row r="3" ht="22" customHeight="1">
      <x:c r="A3" s="4" t="str">
        <x:v>cta_growth_plan</x:v>
      </x:c>
      <x:c r="B3" s="4" t="str">
        <x:v>cta_b</x:v>
      </x:c>
      <x:c r="C3" s="4" t="str">
        <x:v>Get my growth plan</x:v>
      </x:c>
      <x:c r="D3" s="4" t="str">
        <x:v>Get my growth plan</x:v>
      </x:c>
      <x:c r="E3" s="4" t="n">
        <x:v>500</x:v>
      </x:c>
      <x:c r="F3" s="4" t="n">
        <x:v>140</x:v>
      </x:c>
      <x:c r="G3" s="4" t="n">
        <x:v>30</x:v>
      </x:c>
      <x:c r="H3" s="4" t="n">
        <x:v>10</x:v>
      </x:c>
      <x:c r="I3" s="6" t="n">
        <x:v>630000</x:v>
      </x:c>
      <x:c r="J3" s="7" t="n">
        <x:v>0.28</x:v>
      </x:c>
      <x:c r="K3" s="7" t="n">
        <x:v>0.2143</x:v>
      </x:c>
      <x:c r="L3" s="6" t="n">
        <x:v>1260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3" hidden="0" customWidth="1"/>
    <x:col min="4" max="4" width="20" hidden="0" customWidth="1"/>
    <x:col min="5" max="5" width="20" hidden="0" customWidth="1"/>
    <x:col min="6" max="6" width="27" hidden="0" customWidth="1"/>
    <x:col min="7" max="7" width="23" hidden="0" customWidth="1"/>
    <x:col min="8" max="8" width="20" hidden="0" customWidth="1"/>
    <x:col min="9" max="9" width="23" hidden="0" customWidth="1"/>
    <x:col min="10" max="10" width="24" hidden="0" customWidth="1"/>
  </x:cols>
  <x:sheetData>
    <x:row r="1" ht="27" customHeight="1">
      <x:c r="A1" s="2" t="str">
        <x:v>eligible_touches</x:v>
      </x:c>
      <x:c r="B1" s="2" t="str">
        <x:v>touches_with_utm</x:v>
      </x:c>
      <x:c r="C1" s="2" t="str">
        <x:v>registered_touches</x:v>
      </x:c>
      <x:c r="D1" s="2" t="str">
        <x:v>owned_contacts</x:v>
      </x:c>
      <x:c r="E1" s="2" t="str">
        <x:v>contacts</x:v>
      </x:c>
      <x:c r="F1" s="2" t="str">
        <x:v>duplicate_contact_rows</x:v>
      </x:c>
      <x:c r="G1" s="2" t="str">
        <x:v>unmatched_payments</x:v>
      </x:c>
      <x:c r="H1" s="2" t="str">
        <x:v>payments</x:v>
      </x:c>
      <x:c r="I1" s="2" t="str">
        <x:v>paid_contact_count</x:v>
      </x:c>
      <x:c r="J1" s="2" t="str">
        <x:v>valid_paid_journeys</x:v>
      </x:c>
    </x:row>
    <x:row r="2" ht="22" customHeight="1">
      <x:c r="A2" s="4" t="n">
        <x:v>335</x:v>
      </x:c>
      <x:c r="B2" s="4" t="n">
        <x:v>313</x:v>
      </x:c>
      <x:c r="C2" s="4" t="n">
        <x:v>268</x:v>
      </x:c>
      <x:c r="D2" s="4" t="n">
        <x:v>225</x:v>
      </x:c>
      <x:c r="E2" s="4" t="n">
        <x:v>240</x:v>
      </x:c>
      <x:c r="F2" s="4" t="n">
        <x:v>10</x:v>
      </x:c>
      <x:c r="G2" s="4" t="n">
        <x:v>1</x:v>
      </x:c>
      <x:c r="H2" s="4" t="n">
        <x:v>30</x:v>
      </x:c>
      <x:c r="I2" s="4" t="n">
        <x:v>30</x:v>
      </x:c>
      <x:c r="J2" s="4" t="n">
        <x:v>27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1" hidden="0" customWidth="1"/>
    <x:col min="4" max="4" width="21" hidden="0" customWidth="1"/>
    <x:col min="5" max="5" width="22" hidden="0" customWidth="1"/>
    <x:col min="6" max="6" width="21" hidden="0" customWidth="1"/>
    <x:col min="7" max="7" width="23" hidden="0" customWidth="1"/>
  </x:cols>
  <x:sheetData>
    <x:row r="1" ht="27" customHeight="1">
      <x:c r="A1" s="2" t="str">
        <x:v>legacy_contacts</x:v>
      </x:c>
      <x:c r="B1" s="2" t="str">
        <x:v>migrated_contacts</x:v>
      </x:c>
      <x:c r="C1" s="2" t="str">
        <x:v>missing_contacts</x:v>
      </x:c>
      <x:c r="D1" s="2" t="str">
        <x:v>owner_match_rate</x:v>
      </x:c>
      <x:c r="E1" s="2" t="str">
        <x:v>source_match_rate</x:v>
      </x:c>
      <x:c r="F1" s="2" t="str">
        <x:v>stage_match_rate</x:v>
      </x:c>
      <x:c r="G1" s="2" t="str">
        <x:v>duplicate_crm_rows</x:v>
      </x:c>
    </x:row>
    <x:row r="2" ht="22" customHeight="1">
      <x:c r="A2" s="4" t="n">
        <x:v>243</x:v>
      </x:c>
      <x:c r="B2" s="4" t="n">
        <x:v>240</x:v>
      </x:c>
      <x:c r="C2" s="4" t="n">
        <x:v>3</x:v>
      </x:c>
      <x:c r="D2" s="7" t="n">
        <x:v>0.9375</x:v>
      </x:c>
      <x:c r="E2" s="7" t="n">
        <x:v>0.9083</x:v>
      </x:c>
      <x:c r="F2" s="7" t="n">
        <x:v>1</x:v>
      </x:c>
      <x:c r="G2" s="4" t="n">
        <x:v>10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7" customHeight="1">
      <x:c r="A1" s="2" t="str">
        <x:v>subscription_id</x:v>
      </x:c>
      <x:c r="B1" s="2" t="str">
        <x:v>customer_id</x:v>
      </x:c>
      <x:c r="C1" s="2" t="str">
        <x:v>plan_id</x:v>
      </x:c>
      <x:c r="D1" s="2" t="str">
        <x:v>due_date</x:v>
      </x:c>
      <x:c r="E1" s="2" t="str">
        <x:v>failed_attempts</x:v>
      </x:c>
      <x:c r="F1" s="2" t="str">
        <x:v>risk_level</x:v>
      </x:c>
    </x:row>
    <x:row r="2" ht="22" customHeight="1">
      <x:c r="A2" s="4" t="str">
        <x:v>sub-00176</x:v>
      </x:c>
      <x:c r="B2" s="4" t="str">
        <x:v>c-00176</x:v>
      </x:c>
      <x:c r="C2" s="4" t="str">
        <x:v>founder_community</x:v>
      </x:c>
      <x:c r="D2" s="5" t="n">
        <x:v>46281</x:v>
      </x:c>
      <x:c r="E2" s="4" t="n">
        <x:v>0</x:v>
      </x:c>
      <x:c r="F2" s="4" t="str">
        <x:v>high</x:v>
      </x:c>
    </x:row>
    <x:row r="3" ht="22" customHeight="1">
      <x:c r="A3" s="4" t="str">
        <x:v>sub-00000</x:v>
      </x:c>
      <x:c r="B3" s="4" t="str">
        <x:v>c-00000</x:v>
      </x:c>
      <x:c r="C3" s="4" t="str">
        <x:v>founder_community</x:v>
      </x:c>
      <x:c r="D3" s="5" t="n">
        <x:v>46282</x:v>
      </x:c>
      <x:c r="E3" s="4" t="n">
        <x:v>1</x:v>
      </x:c>
      <x:c r="F3" s="4" t="str">
        <x:v>high</x:v>
      </x:c>
    </x:row>
    <x:row r="4" ht="22" customHeight="1">
      <x:c r="A4" s="4" t="str">
        <x:v>sub-00064</x:v>
      </x:c>
      <x:c r="B4" s="4" t="str">
        <x:v>c-00064</x:v>
      </x:c>
      <x:c r="C4" s="4" t="str">
        <x:v>founder_community</x:v>
      </x:c>
      <x:c r="D4" s="5" t="n">
        <x:v>46292</x:v>
      </x:c>
      <x:c r="E4" s="4" t="n">
        <x:v>0</x:v>
      </x:c>
      <x:c r="F4" s="4" t="str">
        <x:v>medium</x:v>
      </x:c>
    </x:row>
    <x:row r="5" ht="22" customHeight="1">
      <x:c r="A5" s="4" t="str">
        <x:v>sub-00208</x:v>
      </x:c>
      <x:c r="B5" s="4" t="str">
        <x:v>c-00208</x:v>
      </x:c>
      <x:c r="C5" s="4" t="str">
        <x:v>founder_community</x:v>
      </x:c>
      <x:c r="D5" s="5" t="n">
        <x:v>46292</x:v>
      </x:c>
      <x:c r="E5" s="4" t="n">
        <x:v>0</x:v>
      </x:c>
      <x:c r="F5" s="4" t="str">
        <x:v>medium</x:v>
      </x:c>
    </x:row>
    <x:row r="6" ht="22" customHeight="1">
      <x:c r="A6" s="4" t="str">
        <x:v>sub-00096</x:v>
      </x:c>
      <x:c r="B6" s="4" t="str">
        <x:v>c-00096</x:v>
      </x:c>
      <x:c r="C6" s="4" t="str">
        <x:v>founder_community</x:v>
      </x:c>
      <x:c r="D6" s="5" t="n">
        <x:v>46295</x:v>
      </x:c>
      <x:c r="E6" s="4" t="n">
        <x:v>0</x:v>
      </x:c>
      <x:c r="F6" s="4" t="str">
        <x:v>medium</x:v>
      </x:c>
    </x:row>
    <x:row r="7" ht="22" customHeight="1">
      <x:c r="A7" s="4" t="str">
        <x:v>sub-00048</x:v>
      </x:c>
      <x:c r="B7" s="4" t="str">
        <x:v>c-00048</x:v>
      </x:c>
      <x:c r="C7" s="4" t="str">
        <x:v>founder_community</x:v>
      </x:c>
      <x:c r="D7" s="5" t="n">
        <x:v>46302</x:v>
      </x:c>
      <x:c r="E7" s="4" t="n">
        <x:v>0</x:v>
      </x:c>
      <x:c r="F7" s="4" t="str">
        <x:v>not_due</x:v>
      </x:c>
    </x:row>
    <x:row r="8" ht="22" customHeight="1">
      <x:c r="A8" s="4" t="str">
        <x:v>sub-00144</x:v>
      </x:c>
      <x:c r="B8" s="4" t="str">
        <x:v>c-00144</x:v>
      </x:c>
      <x:c r="C8" s="4" t="str">
        <x:v>founder_community</x:v>
      </x:c>
      <x:c r="D8" s="5" t="n">
        <x:v>46303</x:v>
      </x:c>
      <x:c r="E8" s="4" t="n">
        <x:v>0</x:v>
      </x:c>
      <x:c r="F8" s="4" t="str">
        <x:v>not_due</x:v>
      </x:c>
    </x:row>
    <x:row r="9" ht="22" customHeight="1">
      <x:c r="A9" s="4" t="str">
        <x:v>sub-00192</x:v>
      </x:c>
      <x:c r="B9" s="4" t="str">
        <x:v>c-00192</x:v>
      </x:c>
      <x:c r="C9" s="4" t="str">
        <x:v>founder_community</x:v>
      </x:c>
      <x:c r="D9" s="5" t="n">
        <x:v>46312</x:v>
      </x:c>
      <x:c r="E9" s="4" t="n">
        <x:v>0</x:v>
      </x:c>
      <x:c r="F9" s="4" t="str">
        <x:v>not_due</x:v>
      </x:c>
    </x:row>
    <x:row r="10" ht="22" customHeight="1">
      <x:c r="A10" s="4" t="str">
        <x:v>sub-00080</x:v>
      </x:c>
      <x:c r="B10" s="4" t="str">
        <x:v>c-00080</x:v>
      </x:c>
      <x:c r="C10" s="4" t="str">
        <x:v>founder_community</x:v>
      </x:c>
      <x:c r="D10" s="5" t="n">
        <x:v>46314</x:v>
      </x:c>
      <x:c r="E10" s="4" t="n">
        <x:v>0</x:v>
      </x:c>
      <x:c r="F10" s="4" t="str">
        <x:v>not_due</x:v>
      </x:c>
    </x:row>
    <x:row r="11" ht="22" customHeight="1">
      <x:c r="A11" s="4" t="str">
        <x:v>sub-00224</x:v>
      </x:c>
      <x:c r="B11" s="4" t="str">
        <x:v>c-00224</x:v>
      </x:c>
      <x:c r="C11" s="4" t="str">
        <x:v>founder_community</x:v>
      </x:c>
      <x:c r="D11" s="5" t="n">
        <x:v>46316</x:v>
      </x:c>
      <x:c r="E11" s="4" t="n">
        <x:v>0</x:v>
      </x:c>
      <x:c r="F11" s="4" t="str">
        <x:v>not_due</x:v>
      </x:c>
    </x:row>
    <x:row r="12" ht="22" customHeight="1">
      <x:c r="A12" s="4" t="str">
        <x:v>sub-00016</x:v>
      </x:c>
      <x:c r="B12" s="4" t="str">
        <x:v>c-00016</x:v>
      </x:c>
      <x:c r="C12" s="4" t="str">
        <x:v>founder_community</x:v>
      </x:c>
      <x:c r="D12" s="5" t="n">
        <x:v>46323</x:v>
      </x:c>
      <x:c r="E12" s="4" t="n">
        <x:v>0</x:v>
      </x:c>
      <x:c r="F12" s="4" t="str">
        <x:v>not_due</x:v>
      </x:c>
    </x:row>
    <x:row r="13" ht="22" customHeight="1">
      <x:c r="A13" s="4" t="str">
        <x:v>sub-00112</x:v>
      </x:c>
      <x:c r="B13" s="4" t="str">
        <x:v>c-00112</x:v>
      </x:c>
      <x:c r="C13" s="4" t="str">
        <x:v>founder_community</x:v>
      </x:c>
      <x:c r="D13" s="5" t="n">
        <x:v>46323</x:v>
      </x:c>
      <x:c r="E13" s="4" t="n">
        <x:v>0</x:v>
      </x:c>
      <x:c r="F13" s="4" t="str">
        <x:v>not_due</x:v>
      </x:c>
    </x:row>
    <x:row r="14" ht="22" customHeight="1">
      <x:c r="A14" s="4" t="str">
        <x:v>sub-00160</x:v>
      </x:c>
      <x:c r="B14" s="4" t="str">
        <x:v>c-00160</x:v>
      </x:c>
      <x:c r="C14" s="4" t="str">
        <x:v>founder_community</x:v>
      </x:c>
      <x:c r="D14" s="5" t="n">
        <x:v>46323</x:v>
      </x:c>
      <x:c r="E14" s="4" t="n">
        <x:v>0</x:v>
      </x:c>
      <x:c r="F14" s="4" t="str">
        <x:v>not_due</x:v>
      </x:c>
    </x:row>
    <x:row r="15" ht="22" customHeight="1">
      <x:c r="A15" s="4" t="str">
        <x:v>sub-00032</x:v>
      </x:c>
      <x:c r="B15" s="4" t="str">
        <x:v>c-00032</x:v>
      </x:c>
      <x:c r="C15" s="4" t="str">
        <x:v>founder_community</x:v>
      </x:c>
      <x:c r="D15" s="5" t="n">
        <x:v>46326</x:v>
      </x:c>
      <x:c r="E15" s="4" t="n">
        <x:v>0</x:v>
      </x:c>
      <x:c r="F15" s="4" t="str">
        <x:v>not_due</x:v>
      </x:c>
    </x:row>
    <x:row r="16" ht="22" customHeight="1">
      <x:c r="A16" s="4" t="str">
        <x:v>sub-00128</x:v>
      </x:c>
      <x:c r="B16" s="4" t="str">
        <x:v>c-00128</x:v>
      </x:c>
      <x:c r="C16" s="4" t="str">
        <x:v>founder_community</x:v>
      </x:c>
      <x:c r="D16" s="5" t="n">
        <x:v>46344</x:v>
      </x:c>
      <x:c r="E16" s="4" t="n">
        <x:v>0</x:v>
      </x:c>
      <x:c r="F16" s="4" t="str">
        <x:v>not_due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24" hidden="0" customWidth="1"/>
  </x:cols>
  <x:sheetData>
    <x:row r="1" ht="27" customHeight="1">
      <x:c r="A1" s="2" t="str">
        <x:v>booked_cents</x:v>
      </x:c>
      <x:c r="B1" s="2" t="str">
        <x:v>gross_collected_cents</x:v>
      </x:c>
      <x:c r="C1" s="2" t="str">
        <x:v>refunds_cents</x:v>
      </x:c>
      <x:c r="D1" s="2" t="str">
        <x:v>net_collected_cents</x:v>
      </x:c>
    </x:row>
    <x:row r="2" ht="22" customHeight="1">
      <x:c r="A2" s="6" t="n">
        <x:v>1950000</x:v>
      </x:c>
      <x:c r="B2" s="6" t="n">
        <x:v>1950000</x:v>
      </x:c>
      <x:c r="C2" s="6" t="n">
        <x:v>60000</x:v>
      </x:c>
      <x:c r="D2" s="6" t="n">
        <x:v>1890000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</x:cols>
  <x:sheetData>
    <x:row r="1">
      <x:c r="A1" s="17" t="str">
        <x:v>Reconciliation checks</x:v>
      </x:c>
    </x:row>
    <x:row r="3">
      <x:c r="A3" s="2" t="str">
        <x:v>Check</x:v>
      </x:c>
      <x:c r="B3" s="2" t="str">
        <x:v>Difference (cents)</x:v>
      </x:c>
    </x:row>
    <x:row r="4">
      <x:c r="A4" t="str">
        <x:v>Gross − refunds − net</x:v>
      </x:c>
      <x:c r="B4" t="n">
        <x:f>Revenue!B2-Revenue!C2-Revenue!D2</x:f>
        <x:v>0</x:v>
      </x:c>
    </x:row>
    <x:row r="5">
      <x:c r="A5" t="str">
        <x:v>Campaign cash − net</x:v>
      </x:c>
      <x:c r="B5" t="n">
        <x:f>SUM(Campaigns!G2:G7)-Revenue!D2</x:f>
        <x:v>0</x:v>
      </x:c>
    </x:row>
    <x:row r="6">
      <x:c r="A6" t="str">
        <x:v>Daily net − revenue net</x:v>
      </x:c>
      <x:c r="B6" t="n">
        <x:f>SUM(Daily!I2:I99)-Revenue!D2</x:f>
        <x:v>0</x:v>
      </x:c>
    </x:row>
    <x:row r="8">
      <x:c r="A8" s="9" t="str">
        <x:v>Synthetic dbt marts. Zero means reconciled.</x:v>
      </x:c>
    </x:row>
  </x:sheetData>
  <x:pageMargins left="0.7" right="0.7" top="0.75" bottom="0.75" header="0.3" footer="0.3"/>
</x:worksheet>
</file>