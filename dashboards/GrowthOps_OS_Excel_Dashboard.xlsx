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Period analysis" sheetId="3" state="visible" r:id="rId3"/>
    <sheet name="Marketing KPIs" sheetId="4" state="visible" r:id="rId4"/>
    <sheet name="Weekly trends" sheetId="5" state="visible" r:id="rId5"/>
    <sheet name="Daily" sheetId="6" state="visible" r:id="rId6"/>
    <sheet name="Campaigns" sheetId="7" state="visible" r:id="rId7"/>
    <sheet name="Funnel" sheetId="8" state="visible" r:id="rId8"/>
    <sheet name="Revenue" sheetId="9" state="visible" r:id="rId9"/>
    <sheet name="Bridge" sheetId="10" state="visible" r:id="rId10"/>
    <sheet name="Platforms" sheetId="11" state="visible" r:id="rId11"/>
    <sheet name="Content" sheetId="12" state="visible" r:id="rId12"/>
    <sheet name="Quality" sheetId="13" state="visible" r:id="rId13"/>
    <sheet name="Migration" sheetId="14" state="visible" r:id="rId14"/>
    <sheet name="Experiment" sheetId="15" state="visible" r:id="rId15"/>
    <sheet name="Renewals" sheetId="16" state="visible" r:id="rId16"/>
    <sheet name="Paid daily" sheetId="17" state="visible" r:id="rId17"/>
    <sheet name="Email" sheetId="18" state="visible" r:id="rId18"/>
    <sheet name="Links" sheetId="19" state="visible" r:id="rId19"/>
    <sheet name="Audit" sheetId="20" state="visible" r:id="rId20"/>
    <sheet name="Definitions" sheetId="21" state="visible" r:id="rId21"/>
  </sheets>
  <definedNames>
    <definedName name="StartDate">'Period analysis'!$B$4</definedName>
    <definedName name="EndDate">'Period analysis'!$B$5</definedName>
    <definedName name="PaidPlatform">'Period analysis'!$G$4</definedName>
    <definedName name="EmailType">'Period analysis'!$G$5</definedName>
    <definedName name="PlatformCriteria">'Period analysis'!$H$4</definedName>
    <definedName name="EmailTypeCriteria">'Period analysis'!$H$5</definedName>
    <definedName name="_xlnm._FilterDatabase" localSheetId="5" hidden="1">'Daily'!$A$1:$J$453</definedName>
    <definedName name="_xlnm._FilterDatabase" localSheetId="6" hidden="1">'Campaigns'!$A$1:$H$13</definedName>
    <definedName name="_xlnm._FilterDatabase" localSheetId="7" hidden="1">'Funnel'!$A$1:$D$10</definedName>
    <definedName name="_xlnm._FilterDatabase" localSheetId="8" hidden="1">'Revenue'!$A$1:$D$2</definedName>
    <definedName name="_xlnm._FilterDatabase" localSheetId="9" hidden="1">'Bridge'!$A$1:$D$9</definedName>
    <definedName name="_xlnm._FilterDatabase" localSheetId="10" hidden="1">'Platforms'!$A$1:$E$4</definedName>
    <definedName name="_xlnm._FilterDatabase" localSheetId="11" hidden="1">'Content'!$A$1:$K$31</definedName>
    <definedName name="_xlnm._FilterDatabase" localSheetId="12" hidden="1">'Quality'!$A$1:$J$2</definedName>
    <definedName name="_xlnm._FilterDatabase" localSheetId="13" hidden="1">'Migration'!$A$1:$G$2</definedName>
    <definedName name="_xlnm._FilterDatabase" localSheetId="14" hidden="1">'Experiment'!$A$1:$L$3</definedName>
    <definedName name="_xlnm._FilterDatabase" localSheetId="15" hidden="1">'Renewals'!$A$1:$F$145</definedName>
    <definedName name="_xlnm._FilterDatabase" localSheetId="16" hidden="1">'Paid daily'!$A$1:$J$2479</definedName>
    <definedName name="_xlnm._FilterDatabase" localSheetId="17" hidden="1">'Email'!$A$1:$S$150</definedName>
    <definedName name="_xlnm._FilterDatabase" localSheetId="18" hidden="1">'Links'!$A$1:$J$10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&quot;$&quot;#,##0"/>
    <numFmt numFmtId="166" formatCode="&quot;$&quot;#,##0.00"/>
    <numFmt numFmtId="167" formatCode="0.00&quot;×&quot;"/>
    <numFmt numFmtId="168" formatCode="0.0%"/>
    <numFmt numFmtId="169" formatCode="+0%;-0%;0%"/>
    <numFmt numFmtId="170" formatCode="0.000%"/>
  </numFmts>
  <fonts count="16">
    <font>
      <name val="Calibri"/>
      <family val="2"/>
      <color theme="1"/>
      <sz val="11"/>
      <scheme val="minor"/>
    </font>
    <font>
      <b val="1"/>
      <color rgb="000B0B0B"/>
    </font>
    <font>
      <b val="1"/>
      <color rgb="000B0B0B"/>
      <sz val="18"/>
    </font>
    <font>
      <i val="1"/>
      <color rgb="0052514E"/>
    </font>
    <font>
      <b val="1"/>
      <color rgb="0052514E"/>
    </font>
    <font>
      <b val="1"/>
    </font>
    <font>
      <b val="1"/>
      <color rgb="00E34948"/>
    </font>
    <font>
      <b val="1"/>
      <sz val="16"/>
    </font>
    <font>
      <i val="1"/>
      <color rgb="00A0A09C"/>
    </font>
    <font>
      <b val="1"/>
      <sz val="14"/>
    </font>
    <font>
      <b val="1"/>
      <color rgb="002A78D6"/>
    </font>
    <font>
      <b val="1"/>
      <sz val="13"/>
    </font>
    <font>
      <b val="1"/>
      <color rgb="000B0B0B"/>
      <sz val="20"/>
    </font>
    <font>
      <color rgb="002A78D6"/>
      <u val="single"/>
    </font>
    <font>
      <color rgb="0052514E"/>
    </font>
    <font>
      <name val="Consolas"/>
      <color rgb="000B0B0B"/>
    </font>
  </fonts>
  <fills count="4">
    <fill>
      <patternFill/>
    </fill>
    <fill>
      <patternFill patternType="gray125"/>
    </fill>
    <fill>
      <patternFill patternType="solid">
        <fgColor rgb="00EAF2FC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164" fontId="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5" fillId="2" borderId="0" pivotButton="0" quotePrefix="0" xfId="0"/>
    <xf numFmtId="165" fontId="0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6" fillId="0" borderId="0" pivotButton="0" quotePrefix="0" xfId="0"/>
    <xf numFmtId="167" fontId="6" fillId="0" borderId="0" pivotButton="0" quotePrefix="0" xfId="0"/>
    <xf numFmtId="168" fontId="0" fillId="0" borderId="0" pivotButton="0" quotePrefix="0" xfId="0"/>
    <xf numFmtId="0" fontId="7" fillId="0" borderId="0" applyAlignment="1" pivotButton="0" quotePrefix="0" xfId="0">
      <alignment vertical="center"/>
    </xf>
    <xf numFmtId="164" fontId="0" fillId="3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0" fontId="8" fillId="0" borderId="0" pivotButton="0" quotePrefix="0" xfId="0"/>
    <xf numFmtId="169" fontId="0" fillId="0" borderId="0" pivotButton="0" quotePrefix="0" xfId="0"/>
    <xf numFmtId="0" fontId="10" fillId="0" borderId="0" pivotButton="0" quotePrefix="0" xfId="0"/>
    <xf numFmtId="10" fontId="0" fillId="0" borderId="0" pivotButton="0" quotePrefix="0" xfId="0"/>
    <xf numFmtId="170" fontId="0" fillId="0" borderId="0" pivotButton="0" quotePrefix="0" xfId="0"/>
    <xf numFmtId="9" fontId="0" fillId="0" borderId="0" pivotButton="0" quotePrefix="0" xfId="0"/>
    <xf numFmtId="0" fontId="5" fillId="2" borderId="0" applyAlignment="1" pivotButton="0" quotePrefix="0" xfId="0">
      <alignment vertical="center" wrapText="1"/>
    </xf>
    <xf numFmtId="165" fontId="5" fillId="0" borderId="0" pivotButton="0" quotePrefix="0" xfId="0"/>
    <xf numFmtId="3" fontId="5" fillId="0" borderId="0" pivotButton="0" quotePrefix="0" xfId="0"/>
    <xf numFmtId="0" fontId="1" fillId="2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E34948"/>
      </font>
    </dxf>
    <dxf>
      <font>
        <color rgb="00E34948"/>
      </font>
      <fill>
        <patternFill patternType="solid">
          <fgColor rgb="00FBE3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Self-reported vs warehouse ROAS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'Dashboard'!H3</f>
            </strRef>
          </tx>
          <spPr>
            <a:solidFill>
              <a:srgbClr val="EB6834"/>
            </a:solidFill>
            <a:ln>
              <a:prstDash val="solid"/>
            </a:ln>
          </spPr>
          <cat>
            <numRef>
              <f>'Dashboard'!$G$4:$G$6</f>
            </numRef>
          </cat>
          <val>
            <numRef>
              <f>'Dashboard'!$H$4:$H$6</f>
            </numRef>
          </val>
        </ser>
        <ser>
          <idx val="1"/>
          <order val="1"/>
          <tx>
            <strRef>
              <f>'Dashboard'!I3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'Dashboard'!$G$4:$G$6</f>
            </numRef>
          </cat>
          <val>
            <numRef>
              <f>'Dashboard'!$I$4:$I$6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net cash (USD), 26 weeks to the selected end date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trends'!I5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'Weekly trends'!$A$6:$A$31</f>
            </numRef>
          </cat>
          <val>
            <numRef>
              <f>'Weekly trends'!$I$6:$I$31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 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</a:t>
                </a:r>
              </a:p>
            </rich>
          </tx>
        </title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per booked call by platform (USD)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'Marketing KPIs'!$A$30:$A$32</f>
            </numRef>
          </cat>
          <val>
            <numRef>
              <f>'Marketing KPIs'!$I$30:$I$32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CPL (USD)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trends'!$A$6:$A$31</f>
            </numRef>
          </cat>
          <val>
            <numRef>
              <f>'Weekly trends'!$D$6:$D$31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 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.0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human open rate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trends'!$A$6:$A$31</f>
            </numRef>
          </cat>
          <val>
            <numRef>
              <f>'Weekly trends'!$H$6:$H$31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 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net cash (USD)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'Weekly trends'!$A$6:$A$31</f>
            </numRef>
          </cat>
          <val>
            <numRef>
              <f>'Weekly trends'!$I$6:$I$31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 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Relationship Type="http://schemas.openxmlformats.org/officeDocument/2006/relationships/chart" Target="/xl/charts/chart6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Period analysis'!A1" TargetMode="External" Id="rId2" /><Relationship Type="http://schemas.openxmlformats.org/officeDocument/2006/relationships/hyperlink" Target="#'Marketing KPIs'!A1" TargetMode="External" Id="rId3" /><Relationship Type="http://schemas.openxmlformats.org/officeDocument/2006/relationships/hyperlink" Target="#'Weekly trends'!A1" TargetMode="External" Id="rId4" /><Relationship Type="http://schemas.openxmlformats.org/officeDocument/2006/relationships/hyperlink" Target="#'Daily'!A1" TargetMode="External" Id="rId5" /><Relationship Type="http://schemas.openxmlformats.org/officeDocument/2006/relationships/hyperlink" Target="#'Campaigns'!A1" TargetMode="External" Id="rId6" /><Relationship Type="http://schemas.openxmlformats.org/officeDocument/2006/relationships/hyperlink" Target="#'Funnel'!A1" TargetMode="External" Id="rId7" /><Relationship Type="http://schemas.openxmlformats.org/officeDocument/2006/relationships/hyperlink" Target="#'Revenue'!A1" TargetMode="External" Id="rId8" /><Relationship Type="http://schemas.openxmlformats.org/officeDocument/2006/relationships/hyperlink" Target="#'Bridge'!A1" TargetMode="External" Id="rId9" /><Relationship Type="http://schemas.openxmlformats.org/officeDocument/2006/relationships/hyperlink" Target="#'Platforms'!A1" TargetMode="External" Id="rId10" /><Relationship Type="http://schemas.openxmlformats.org/officeDocument/2006/relationships/hyperlink" Target="#'Content'!A1" TargetMode="External" Id="rId11" /><Relationship Type="http://schemas.openxmlformats.org/officeDocument/2006/relationships/hyperlink" Target="#'Quality'!A1" TargetMode="External" Id="rId12" /><Relationship Type="http://schemas.openxmlformats.org/officeDocument/2006/relationships/hyperlink" Target="#'Migration'!A1" TargetMode="External" Id="rId13" /><Relationship Type="http://schemas.openxmlformats.org/officeDocument/2006/relationships/hyperlink" Target="#'Experiment'!A1" TargetMode="External" Id="rId14" /><Relationship Type="http://schemas.openxmlformats.org/officeDocument/2006/relationships/hyperlink" Target="#'Renewals'!A1" TargetMode="External" Id="rId15" /><Relationship Type="http://schemas.openxmlformats.org/officeDocument/2006/relationships/hyperlink" Target="#'Paid daily'!A1" TargetMode="External" Id="rId16" /><Relationship Type="http://schemas.openxmlformats.org/officeDocument/2006/relationships/hyperlink" Target="#'Email'!A1" TargetMode="External" Id="rId17" /><Relationship Type="http://schemas.openxmlformats.org/officeDocument/2006/relationships/hyperlink" Target="#'Links'!A1" TargetMode="External" Id="rId18" /><Relationship Type="http://schemas.openxmlformats.org/officeDocument/2006/relationships/hyperlink" Target="#'Audit'!A1" TargetMode="External" Id="rId19" /><Relationship Type="http://schemas.openxmlformats.org/officeDocument/2006/relationships/hyperlink" Target="#'Definitions'!A1" TargetMode="External" Id="rId20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2A78D6"/>
    <outlinePr summaryBelow="1" summaryRight="1"/>
    <pageSetUpPr fitToPage="1"/>
  </sheetPr>
  <dimension ref="A1:B39"/>
  <sheetViews>
    <sheetView workbookViewId="0">
      <selection activeCell="A1" sqref="A1"/>
    </sheetView>
  </sheetViews>
  <sheetFormatPr baseColWidth="8" defaultRowHeight="15"/>
  <cols>
    <col width="26" customWidth="1" min="1" max="1"/>
    <col width="90" customWidth="1" min="2" max="2"/>
  </cols>
  <sheetData>
    <row r="1">
      <c r="A1" s="1" t="inlineStr">
        <is>
          <t>GrowthOps OS: Excel dashboard</t>
        </is>
      </c>
      <c r="B1" s="2" t="n"/>
    </row>
    <row r="2">
      <c r="A2" s="3" t="inlineStr">
        <is>
          <t>Synthetic portfolio case (ScaleLab, a coaching business). Every number is a formula over the verified dbt marts on the grey data sheets; nothing is typed in.</t>
        </is>
      </c>
      <c r="B2" s="2" t="n"/>
    </row>
    <row r="4">
      <c r="A4" s="4" t="inlineStr">
        <is>
          <t>Data through</t>
        </is>
      </c>
      <c r="B4" s="5">
        <f>Dashboard!H1</f>
        <v/>
      </c>
    </row>
    <row r="5">
      <c r="A5" s="4" t="inlineStr">
        <is>
          <t>Reconciliation</t>
        </is>
      </c>
      <c r="B5">
        <f>IF(Audit!B17,"✓ All 13 checks pass","✗ See Audit")</f>
        <v/>
      </c>
    </row>
    <row r="6">
      <c r="A6" s="4" t="inlineStr">
        <is>
          <t>Selected window</t>
        </is>
      </c>
      <c r="B6">
        <f>TEXT(StartDate,"yyyy-mm-dd")&amp;" to "&amp;TEXT(EndDate,"yyyy-mm-dd")</f>
        <v/>
      </c>
    </row>
    <row r="7">
      <c r="A7" s="4" t="inlineStr">
        <is>
          <t>Filters</t>
        </is>
      </c>
      <c r="B7">
        <f>"Paid platform: "&amp;PaidPlatform&amp;" · email type: "&amp;EmailType</f>
        <v/>
      </c>
    </row>
    <row r="9">
      <c r="A9" s="6" t="inlineStr">
        <is>
          <t>How to use it</t>
        </is>
      </c>
    </row>
    <row r="10">
      <c r="A10" t="inlineStr">
        <is>
          <t>1. On Period analysis, change the yellow cells: start and end date, paid platform, email type.</t>
        </is>
      </c>
    </row>
    <row r="11">
      <c r="A11" t="inlineStr">
        <is>
          <t>2. Marketing KPIs and Weekly trends recalculate; the Dashboard shows all-time totals and the bridge.</t>
        </is>
      </c>
    </row>
    <row r="12">
      <c r="A12" t="inlineStr">
        <is>
          <t>3. Check Audit: every difference must be zero (it is also shown above).</t>
        </is>
      </c>
    </row>
    <row r="13">
      <c r="A13" t="inlineStr">
        <is>
          <t>4. Definitions has the governed metric catalog. Sheets are locked (no password) so formulas stay intact; filters and sorting still work on the data sheets.</t>
        </is>
      </c>
    </row>
    <row r="15">
      <c r="A15" s="6" t="inlineStr">
        <is>
          <t>Sheets</t>
        </is>
      </c>
    </row>
    <row r="16">
      <c r="A16" s="7" t="inlineStr">
        <is>
          <t>Dashboard</t>
        </is>
      </c>
      <c r="B16" s="8" t="inlineStr">
        <is>
          <t>All-time KPIs, CRM-to-cash bridge, funnel, platform ROAS, weekly net cash</t>
        </is>
      </c>
    </row>
    <row r="17">
      <c r="A17" s="7" t="inlineStr">
        <is>
          <t>Period analysis</t>
        </is>
      </c>
      <c r="B17" s="8" t="inlineStr">
        <is>
          <t>The inputs, plus the selected window against the one before it</t>
        </is>
      </c>
    </row>
    <row r="18">
      <c r="A18" s="7" t="inlineStr">
        <is>
          <t>Marketing KPIs</t>
        </is>
      </c>
      <c r="B18" s="8" t="inlineStr">
        <is>
          <t>CPL, cost per MQL and booked call, CTR, email rates; channel mix; email by type</t>
        </is>
      </c>
    </row>
    <row r="19">
      <c r="A19" s="7" t="inlineStr">
        <is>
          <t>Weekly trends</t>
        </is>
      </c>
      <c r="B19" s="8" t="inlineStr">
        <is>
          <t>26 weeks of paid, email and cash, with a CPL anomaly flag</t>
        </is>
      </c>
    </row>
    <row r="20">
      <c r="A20" s="7" t="inlineStr">
        <is>
          <t>Daily</t>
        </is>
      </c>
      <c r="B20" s="8" t="inlineStr">
        <is>
          <t>Data: one dbt mart, as exported</t>
        </is>
      </c>
    </row>
    <row r="21">
      <c r="A21" s="7" t="inlineStr">
        <is>
          <t>Campaigns</t>
        </is>
      </c>
      <c r="B21" s="8" t="inlineStr">
        <is>
          <t>Data: one dbt mart, as exported</t>
        </is>
      </c>
    </row>
    <row r="22">
      <c r="A22" s="7" t="inlineStr">
        <is>
          <t>Funnel</t>
        </is>
      </c>
      <c r="B22" s="8" t="inlineStr">
        <is>
          <t>Data: one dbt mart, as exported</t>
        </is>
      </c>
    </row>
    <row r="23">
      <c r="A23" s="7" t="inlineStr">
        <is>
          <t>Revenue</t>
        </is>
      </c>
      <c r="B23" s="8" t="inlineStr">
        <is>
          <t>Data: one dbt mart, as exported</t>
        </is>
      </c>
    </row>
    <row r="24">
      <c r="A24" s="7" t="inlineStr">
        <is>
          <t>Bridge</t>
        </is>
      </c>
      <c r="B24" s="8" t="inlineStr">
        <is>
          <t>Data: one dbt mart, as exported</t>
        </is>
      </c>
    </row>
    <row r="25">
      <c r="A25" s="7" t="inlineStr">
        <is>
          <t>Platforms</t>
        </is>
      </c>
      <c r="B25" s="8" t="inlineStr">
        <is>
          <t>Data: one dbt mart, as exported</t>
        </is>
      </c>
    </row>
    <row r="26">
      <c r="A26" s="7" t="inlineStr">
        <is>
          <t>Content</t>
        </is>
      </c>
      <c r="B26" s="8" t="inlineStr">
        <is>
          <t>Data: one dbt mart, as exported</t>
        </is>
      </c>
    </row>
    <row r="27">
      <c r="A27" s="7" t="inlineStr">
        <is>
          <t>Quality</t>
        </is>
      </c>
      <c r="B27" s="8" t="inlineStr">
        <is>
          <t>Data: one dbt mart, as exported</t>
        </is>
      </c>
    </row>
    <row r="28">
      <c r="A28" s="7" t="inlineStr">
        <is>
          <t>Migration</t>
        </is>
      </c>
      <c r="B28" s="8" t="inlineStr">
        <is>
          <t>Data: one dbt mart, as exported</t>
        </is>
      </c>
    </row>
    <row r="29">
      <c r="A29" s="7" t="inlineStr">
        <is>
          <t>Experiment</t>
        </is>
      </c>
      <c r="B29" s="8" t="inlineStr">
        <is>
          <t>Data: one dbt mart, as exported</t>
        </is>
      </c>
    </row>
    <row r="30">
      <c r="A30" s="7" t="inlineStr">
        <is>
          <t>Renewals</t>
        </is>
      </c>
      <c r="B30" s="8" t="inlineStr">
        <is>
          <t>Data: one dbt mart, as exported</t>
        </is>
      </c>
    </row>
    <row r="31">
      <c r="A31" s="7" t="inlineStr">
        <is>
          <t>Paid daily</t>
        </is>
      </c>
      <c r="B31" s="8" t="inlineStr">
        <is>
          <t>Data: one dbt mart, as exported</t>
        </is>
      </c>
    </row>
    <row r="32">
      <c r="A32" s="7" t="inlineStr">
        <is>
          <t>Email</t>
        </is>
      </c>
      <c r="B32" s="8" t="inlineStr">
        <is>
          <t>Data: one dbt mart, as exported</t>
        </is>
      </c>
    </row>
    <row r="33">
      <c r="A33" s="7" t="inlineStr">
        <is>
          <t>Links</t>
        </is>
      </c>
      <c r="B33" s="8" t="inlineStr">
        <is>
          <t>Data: one dbt mart, as exported</t>
        </is>
      </c>
    </row>
    <row r="34">
      <c r="A34" s="7" t="inlineStr">
        <is>
          <t>Audit</t>
        </is>
      </c>
      <c r="B34" s="8" t="inlineStr">
        <is>
          <t>Reconciliation checks that must all equal zero</t>
        </is>
      </c>
    </row>
    <row r="35">
      <c r="A35" s="7" t="inlineStr">
        <is>
          <t>Definitions</t>
        </is>
      </c>
      <c r="B35" s="8" t="inlineStr">
        <is>
          <t>Metric catalog copied from docs/metric-catalog.md</t>
        </is>
      </c>
    </row>
    <row r="37">
      <c r="A37" s="6" t="inlineStr">
        <is>
          <t>Refresh</t>
        </is>
      </c>
    </row>
    <row r="38">
      <c r="A38" s="9" t="inlineStr">
        <is>
          <t>python -m growthops.export_bi --refresh-pbip &amp;&amp; python -m growthops.export_excel</t>
        </is>
      </c>
    </row>
    <row r="39">
      <c r="A39" s="10" t="inlineStr">
        <is>
          <t>CI rebuilds the workbook and fails if the committed file differs.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hyperlinks>
    <hyperlink xmlns:r="http://schemas.openxmlformats.org/officeDocument/2006/relationships" ref="A16" r:id="rId1"/>
    <hyperlink xmlns:r="http://schemas.openxmlformats.org/officeDocument/2006/relationships" ref="A17" r:id="rId2"/>
    <hyperlink xmlns:r="http://schemas.openxmlformats.org/officeDocument/2006/relationships" ref="A18" r:id="rId3"/>
    <hyperlink xmlns:r="http://schemas.openxmlformats.org/officeDocument/2006/relationships" ref="A19" r:id="rId4"/>
    <hyperlink xmlns:r="http://schemas.openxmlformats.org/officeDocument/2006/relationships" ref="A20" r:id="rId5"/>
    <hyperlink xmlns:r="http://schemas.openxmlformats.org/officeDocument/2006/relationships" ref="A21" r:id="rId6"/>
    <hyperlink xmlns:r="http://schemas.openxmlformats.org/officeDocument/2006/relationships" ref="A22" r:id="rId7"/>
    <hyperlink xmlns:r="http://schemas.openxmlformats.org/officeDocument/2006/relationships" ref="A23" r:id="rId8"/>
    <hyperlink xmlns:r="http://schemas.openxmlformats.org/officeDocument/2006/relationships" ref="A24" r:id="rId9"/>
    <hyperlink xmlns:r="http://schemas.openxmlformats.org/officeDocument/2006/relationships" ref="A25" r:id="rId10"/>
    <hyperlink xmlns:r="http://schemas.openxmlformats.org/officeDocument/2006/relationships" ref="A26" r:id="rId11"/>
    <hyperlink xmlns:r="http://schemas.openxmlformats.org/officeDocument/2006/relationships" ref="A27" r:id="rId12"/>
    <hyperlink xmlns:r="http://schemas.openxmlformats.org/officeDocument/2006/relationships" ref="A28" r:id="rId13"/>
    <hyperlink xmlns:r="http://schemas.openxmlformats.org/officeDocument/2006/relationships" ref="A29" r:id="rId14"/>
    <hyperlink xmlns:r="http://schemas.openxmlformats.org/officeDocument/2006/relationships" ref="A30" r:id="rId15"/>
    <hyperlink xmlns:r="http://schemas.openxmlformats.org/officeDocument/2006/relationships" ref="A31" r:id="rId16"/>
    <hyperlink xmlns:r="http://schemas.openxmlformats.org/officeDocument/2006/relationships" ref="A32" r:id="rId17"/>
    <hyperlink xmlns:r="http://schemas.openxmlformats.org/officeDocument/2006/relationships" ref="A33" r:id="rId18"/>
    <hyperlink xmlns:r="http://schemas.openxmlformats.org/officeDocument/2006/relationships" ref="A34" r:id="rId19"/>
    <hyperlink xmlns:r="http://schemas.openxmlformats.org/officeDocument/2006/relationships" ref="A35" r:id="rId20"/>
  </hyperlinks>
  <pageMargins left="0.75" right="0.75" top="1" bottom="1" header="0.5" footer="0.5"/>
  <pageSetup orientation="landscape" fitToHeight="0" fitToWidth="1"/>
  <headerFooter>
    <oddHeader/>
    <oddFooter>&amp;LGrowthOps OS · synthetic data&amp;R&amp;A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 fitToPage="1"/>
  </sheetPr>
  <dimension ref="A1:I22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32" customWidth="1" min="4" max="4"/>
    <col width="16" customWidth="1" min="5" max="5"/>
    <col width="14" customWidth="1" min="6" max="6"/>
    <col width="18" customWidth="1" min="7" max="7"/>
    <col width="18" customWidth="1" min="8" max="8"/>
    <col width="18" customWidth="1" min="9" max="9"/>
  </cols>
  <sheetData>
    <row r="1">
      <c r="A1" s="11" t="inlineStr">
        <is>
          <t>ScaleLab GrowthOps: executive dashboard</t>
        </is>
      </c>
      <c r="B1" s="2" t="n"/>
      <c r="C1" s="2" t="n"/>
      <c r="D1" s="2" t="n"/>
      <c r="E1" s="2" t="n"/>
      <c r="F1" s="2" t="n"/>
      <c r="G1" s="12" t="inlineStr">
        <is>
          <t>Data through</t>
        </is>
      </c>
      <c r="H1" s="13">
        <f>MAX(Daily!$A$2:$A$453)</f>
        <v/>
      </c>
      <c r="I1" s="2" t="n"/>
    </row>
    <row r="2">
      <c r="A2" s="3" t="inlineStr">
        <is>
          <t>Synthetic portfolio case · USD · all records from the verified dbt marts · formulas only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14" t="inlineStr">
        <is>
          <t>Metric</t>
        </is>
      </c>
      <c r="B3" s="14" t="inlineStr">
        <is>
          <t>Value</t>
        </is>
      </c>
      <c r="D3" s="14" t="inlineStr">
        <is>
          <t>CRM → cash bridge</t>
        </is>
      </c>
      <c r="E3" s="14" t="inlineStr">
        <is>
          <t>USD</t>
        </is>
      </c>
      <c r="G3" s="14" t="inlineStr">
        <is>
          <t>Platform</t>
        </is>
      </c>
      <c r="H3" s="14" t="inlineStr">
        <is>
          <t>Self-reported ROAS</t>
        </is>
      </c>
      <c r="I3" s="14" t="inlineStr">
        <is>
          <t>Warehouse ROAS</t>
        </is>
      </c>
    </row>
    <row r="4">
      <c r="A4" t="inlineStr">
        <is>
          <t>Net collected cash</t>
        </is>
      </c>
      <c r="B4" s="15">
        <f>Revenue!D2/100</f>
        <v/>
      </c>
      <c r="D4" t="inlineStr">
        <is>
          <t>CRM closed-won deal value</t>
        </is>
      </c>
      <c r="E4" s="15">
        <f>Bridge!D2/100</f>
        <v/>
      </c>
      <c r="G4">
        <f>Platforms!A2</f>
        <v/>
      </c>
      <c r="H4" s="16">
        <f>IF(Platforms!B2=0,0,Platforms!D2/Platforms!B2)</f>
        <v/>
      </c>
      <c r="I4" s="16">
        <f>IF(Platforms!B2=0,0,Platforms!E2/Platforms!B2)</f>
        <v/>
      </c>
    </row>
    <row r="5">
      <c r="A5" t="inlineStr">
        <is>
          <t>Gross collected</t>
        </is>
      </c>
      <c r="B5" s="15">
        <f>Revenue!B2/100</f>
        <v/>
      </c>
      <c r="D5" t="inlineStr">
        <is>
          <t>Duplicate deals from migration</t>
        </is>
      </c>
      <c r="E5" s="15">
        <f>Bridge!D3/100</f>
        <v/>
      </c>
      <c r="G5">
        <f>Platforms!A3</f>
        <v/>
      </c>
      <c r="H5" s="16">
        <f>IF(Platforms!B3=0,0,Platforms!D3/Platforms!B3)</f>
        <v/>
      </c>
      <c r="I5" s="16">
        <f>IF(Platforms!B3=0,0,Platforms!E3/Platforms!B3)</f>
        <v/>
      </c>
    </row>
    <row r="6">
      <c r="A6" t="inlineStr">
        <is>
          <t>Refunds</t>
        </is>
      </c>
      <c r="B6" s="15">
        <f>Revenue!C2/100</f>
        <v/>
      </c>
      <c r="D6" t="inlineStr">
        <is>
          <t>Booked but not yet collected</t>
        </is>
      </c>
      <c r="E6" s="15">
        <f>Bridge!D4/100</f>
        <v/>
      </c>
      <c r="G6">
        <f>Platforms!A4</f>
        <v/>
      </c>
      <c r="H6" s="16">
        <f>IF(Platforms!B4=0,0,Platforms!D4/Platforms!B4)</f>
        <v/>
      </c>
      <c r="I6" s="16">
        <f>IF(Platforms!B4=0,0,Platforms!E4/Platforms!B4)</f>
        <v/>
      </c>
    </row>
    <row r="7">
      <c r="A7" t="inlineStr">
        <is>
          <t>CRM closed-won (booked)</t>
        </is>
      </c>
      <c r="B7" s="15">
        <f>Revenue!A2/100</f>
        <v/>
      </c>
      <c r="D7" t="inlineStr">
        <is>
          <t>Payments with lost deal link</t>
        </is>
      </c>
      <c r="E7" s="15">
        <f>Bridge!D5/100</f>
        <v/>
      </c>
    </row>
    <row r="8">
      <c r="A8" t="inlineStr">
        <is>
          <t>Paid spend</t>
        </is>
      </c>
      <c r="B8" s="15">
        <f>SUM(Campaigns!$D$2:$D$13)/100</f>
        <v/>
      </c>
      <c r="D8" t="inlineStr">
        <is>
          <t>Subscription renewals</t>
        </is>
      </c>
      <c r="E8" s="15">
        <f>Bridge!D6/100</f>
        <v/>
      </c>
    </row>
    <row r="9">
      <c r="A9" t="inlineStr">
        <is>
          <t>Paid leads</t>
        </is>
      </c>
      <c r="B9" s="17">
        <f>SUMIFS(Campaigns!$E$2:$E$13,Campaigns!$C$2:$C$13,"paid_social")+SUMIFS(Campaigns!$E$2:$E$13,Campaigns!$C$2:$C$13,"paid_search")</f>
        <v/>
      </c>
      <c r="D9" t="inlineStr">
        <is>
          <t>Gross collected</t>
        </is>
      </c>
      <c r="E9" s="15">
        <f>Bridge!D7/100</f>
        <v/>
      </c>
    </row>
    <row r="10">
      <c r="A10" t="inlineStr">
        <is>
          <t>Cost per paid lead</t>
        </is>
      </c>
      <c r="B10" s="18">
        <f>IF(B9=0,"n.a.",B8/B9)</f>
        <v/>
      </c>
      <c r="D10" t="inlineStr">
        <is>
          <t>Refunds</t>
        </is>
      </c>
      <c r="E10" s="15">
        <f>Bridge!D8/100</f>
        <v/>
      </c>
    </row>
    <row r="11">
      <c r="A11" t="inlineStr">
        <is>
          <t>Paid net cash (lead creation)</t>
        </is>
      </c>
      <c r="B11" s="15">
        <f>(SUMIFS(Campaigns!$H$2:$H$13,Campaigns!$C$2:$C$13,"paid_social")+SUMIFS(Campaigns!$H$2:$H$13,Campaigns!$C$2:$C$13,"paid_search"))/100</f>
        <v/>
      </c>
      <c r="D11" t="inlineStr">
        <is>
          <t>Net collected cash</t>
        </is>
      </c>
      <c r="E11" s="15">
        <f>Bridge!D9/100</f>
        <v/>
      </c>
    </row>
    <row r="12">
      <c r="A12" t="inlineStr">
        <is>
          <t>Net cash ROAS</t>
        </is>
      </c>
      <c r="B12" s="19">
        <f>IF(B8=0,"n.a.",B11/B8)</f>
        <v/>
      </c>
    </row>
    <row r="13">
      <c r="A13" t="inlineStr">
        <is>
          <t>Ad platforms claim</t>
        </is>
      </c>
      <c r="B13" s="15">
        <f>SUM(Platforms!$D$2:$D$4)/100</f>
        <v/>
      </c>
      <c r="D13" s="14" t="inlineStr">
        <is>
          <t>Funnel stage (people)</t>
        </is>
      </c>
      <c r="E13" s="14" t="inlineStr">
        <is>
          <t>People</t>
        </is>
      </c>
      <c r="F13" s="14" t="inlineStr">
        <is>
          <t>From previous</t>
        </is>
      </c>
    </row>
    <row r="14">
      <c r="A14" s="20" t="inlineStr">
        <is>
          <t>Platform claims ÷ net collected cash</t>
        </is>
      </c>
      <c r="B14" s="21">
        <f>IF(B4=0,"n.a.",B13/B4)</f>
        <v/>
      </c>
      <c r="D14">
        <f>Funnel!A2</f>
        <v/>
      </c>
      <c r="E14" s="17">
        <f>Funnel!C2</f>
        <v/>
      </c>
      <c r="F14" s="22">
        <f>IF(Funnel!D2="","",Funnel!D2)</f>
        <v/>
      </c>
    </row>
    <row r="15">
      <c r="A15" t="inlineStr">
        <is>
          <t>Renewals at high risk (failed card)</t>
        </is>
      </c>
      <c r="B15">
        <f>COUNTIF(Renewals!$F$2:$F$145,"high")</f>
        <v/>
      </c>
      <c r="D15">
        <f>Funnel!A3</f>
        <v/>
      </c>
      <c r="E15" s="17">
        <f>Funnel!C3</f>
        <v/>
      </c>
      <c r="F15" s="22">
        <f>IF(Funnel!D3="","",Funnel!D3)</f>
        <v/>
      </c>
    </row>
    <row r="16">
      <c r="A16" t="inlineStr">
        <is>
          <t>Renewals at medium risk (due soon)</t>
        </is>
      </c>
      <c r="B16">
        <f>COUNTIF(Renewals!$F$2:$F$145,"medium")</f>
        <v/>
      </c>
      <c r="D16">
        <f>Funnel!A4</f>
        <v/>
      </c>
      <c r="E16" s="17">
        <f>Funnel!C4</f>
        <v/>
      </c>
      <c r="F16" s="22">
        <f>IF(Funnel!D4="","",Funnel!D4)</f>
        <v/>
      </c>
    </row>
    <row r="17">
      <c r="A17" s="4" t="inlineStr">
        <is>
          <t>Reconciliation checks</t>
        </is>
      </c>
      <c r="B17">
        <f>IF(Audit!B17,"✓ All 13 checks pass","✗ See Audit")</f>
        <v/>
      </c>
      <c r="D17">
        <f>Funnel!A5</f>
        <v/>
      </c>
      <c r="E17" s="17">
        <f>Funnel!C5</f>
        <v/>
      </c>
      <c r="F17" s="22">
        <f>IF(Funnel!D5="","",Funnel!D5)</f>
        <v/>
      </c>
    </row>
    <row r="18">
      <c r="D18">
        <f>Funnel!A6</f>
        <v/>
      </c>
      <c r="E18" s="17">
        <f>Funnel!C6</f>
        <v/>
      </c>
      <c r="F18" s="22">
        <f>IF(Funnel!D6="","",Funnel!D6)</f>
        <v/>
      </c>
    </row>
    <row r="19">
      <c r="D19">
        <f>Funnel!A7</f>
        <v/>
      </c>
      <c r="E19" s="17">
        <f>Funnel!C7</f>
        <v/>
      </c>
      <c r="F19" s="22">
        <f>IF(Funnel!D7="","",Funnel!D7)</f>
        <v/>
      </c>
    </row>
    <row r="20">
      <c r="D20">
        <f>Funnel!A8</f>
        <v/>
      </c>
      <c r="E20" s="17">
        <f>Funnel!C8</f>
        <v/>
      </c>
      <c r="F20" s="22">
        <f>IF(Funnel!D8="","",Funnel!D8)</f>
        <v/>
      </c>
    </row>
    <row r="21">
      <c r="D21">
        <f>Funnel!A9</f>
        <v/>
      </c>
      <c r="E21" s="17">
        <f>Funnel!C9</f>
        <v/>
      </c>
      <c r="F21" s="22">
        <f>IF(Funnel!D9="","",Funnel!D9)</f>
        <v/>
      </c>
    </row>
    <row r="22">
      <c r="D22">
        <f>Funnel!A10</f>
        <v/>
      </c>
      <c r="E22" s="17">
        <f>Funnel!C10</f>
        <v/>
      </c>
      <c r="F22" s="22">
        <f>IF(Funnel!D10="","",Funnel!D10)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conditionalFormatting sqref="E14:E22">
    <cfRule type="dataBar" priority="1">
      <dataBar showValue="1">
        <cfvo type="num" val="0"/>
        <cfvo type="max"/>
        <color rgb="002A78D6"/>
      </dataBar>
    </cfRule>
  </conditionalFormatting>
  <pageMargins left="0.75" right="0.75" top="1" bottom="1" header="0.5" footer="0.5"/>
  <pageSetup orientation="landscape" fitToHeight="0" fitToWidth="1"/>
  <headerFooter>
    <oddHeader/>
    <oddFooter>&amp;LGrowthOps OS · synthetic data&amp;R&amp;A ·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A78D6"/>
    <outlinePr summaryBelow="1" summaryRight="1"/>
    <pageSetUpPr fitToPage="1"/>
  </sheetPr>
  <dimension ref="A1:H1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6" max="6"/>
    <col width="16" customWidth="1" min="7" max="7"/>
  </cols>
  <sheetData>
    <row r="1">
      <c r="A1" s="23" t="inlineStr">
        <is>
          <t>Period analysis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Edit the yellow dates; every value compares the window with the equally long window before it.</t>
        </is>
      </c>
      <c r="B2" s="2" t="n"/>
      <c r="C2" s="2" t="n"/>
      <c r="D2" s="2" t="n"/>
      <c r="E2" s="2" t="n"/>
      <c r="F2" s="2" t="n"/>
      <c r="G2" s="2" t="n"/>
      <c r="H2" s="2" t="n"/>
    </row>
    <row r="4">
      <c r="A4" t="inlineStr">
        <is>
          <t>Start date</t>
        </is>
      </c>
      <c r="B4" s="24" t="n">
        <v>46284</v>
      </c>
      <c r="F4" t="inlineStr">
        <is>
          <t>Paid platform</t>
        </is>
      </c>
      <c r="G4" s="25" t="inlineStr">
        <is>
          <t>All</t>
        </is>
      </c>
      <c r="H4" s="26">
        <f>IF(G4="All","*",G4)</f>
        <v/>
      </c>
    </row>
    <row r="5">
      <c r="A5" t="inlineStr">
        <is>
          <t>End date</t>
        </is>
      </c>
      <c r="B5" s="24" t="n">
        <v>46290</v>
      </c>
      <c r="F5" t="inlineStr">
        <is>
          <t>Email type</t>
        </is>
      </c>
      <c r="G5" s="25" t="inlineStr">
        <is>
          <t>All</t>
        </is>
      </c>
      <c r="H5" s="26">
        <f>IF(G5="All","*",G5)</f>
        <v/>
      </c>
    </row>
    <row r="6">
      <c r="A6" t="inlineStr">
        <is>
          <t>Days in window</t>
        </is>
      </c>
      <c r="B6">
        <f>B5-B4+1</f>
        <v/>
      </c>
      <c r="F6" s="10" t="inlineStr">
        <is>
          <t>Filters apply to Marketing KPIs and Weekly trends; the table below covers all channels.</t>
        </is>
      </c>
    </row>
    <row r="8">
      <c r="A8" s="14" t="inlineStr">
        <is>
          <t>Metric</t>
        </is>
      </c>
      <c r="B8" s="14" t="inlineStr">
        <is>
          <t>Selected window</t>
        </is>
      </c>
      <c r="C8" s="14" t="inlineStr">
        <is>
          <t>Prior window</t>
        </is>
      </c>
      <c r="D8" s="14" t="inlineStr">
        <is>
          <t>Change</t>
        </is>
      </c>
      <c r="E8" s="14" t="n"/>
      <c r="F8" s="14" t="n"/>
      <c r="G8" s="14" t="n"/>
      <c r="H8" s="14" t="n"/>
    </row>
    <row r="9">
      <c r="A9" t="inlineStr">
        <is>
          <t>Spend (USD)</t>
        </is>
      </c>
      <c r="B9" s="15">
        <f>SUMIFS(Daily!$B$2:$B$453,Daily!$A$2:$A$453,"&gt;="&amp;$B$4,Daily!$A$2:$A$453,"&lt;="&amp;$B$5)/100</f>
        <v/>
      </c>
      <c r="C9" s="15">
        <f>SUMIFS(Daily!$B$2:$B$453,Daily!$A$2:$A$453,"&gt;="&amp;($B$4-$B$6),Daily!$A$2:$A$453,"&lt;="&amp;($B$4-1))/100</f>
        <v/>
      </c>
      <c r="D9" s="27">
        <f>IF(C9=0,"n.a.",B9/C9-1)</f>
        <v/>
      </c>
    </row>
    <row r="10">
      <c r="A10" t="inlineStr">
        <is>
          <t>Leads</t>
        </is>
      </c>
      <c r="B10" s="17">
        <f>SUMIFS(Daily!$C$2:$C$453,Daily!$A$2:$A$453,"&gt;="&amp;$B$4,Daily!$A$2:$A$453,"&lt;="&amp;$B$5)/1</f>
        <v/>
      </c>
      <c r="C10" s="17">
        <f>SUMIFS(Daily!$C$2:$C$453,Daily!$A$2:$A$453,"&gt;="&amp;($B$4-$B$6),Daily!$A$2:$A$453,"&lt;="&amp;($B$4-1))/1</f>
        <v/>
      </c>
      <c r="D10" s="27">
        <f>IF(C10=0,"n.a.",B10/C10-1)</f>
        <v/>
      </c>
    </row>
    <row r="11">
      <c r="A11" t="inlineStr">
        <is>
          <t>MQLs</t>
        </is>
      </c>
      <c r="B11" s="17">
        <f>SUMIFS(Daily!$D$2:$D$453,Daily!$A$2:$A$453,"&gt;="&amp;$B$4,Daily!$A$2:$A$453,"&lt;="&amp;$B$5)/1</f>
        <v/>
      </c>
      <c r="C11" s="17">
        <f>SUMIFS(Daily!$D$2:$D$453,Daily!$A$2:$A$453,"&gt;="&amp;($B$4-$B$6),Daily!$A$2:$A$453,"&lt;="&amp;($B$4-1))/1</f>
        <v/>
      </c>
      <c r="D11" s="27">
        <f>IF(C11=0,"n.a.",B11/C11-1)</f>
        <v/>
      </c>
    </row>
    <row r="12">
      <c r="A12" t="inlineStr">
        <is>
          <t>Calls booked</t>
        </is>
      </c>
      <c r="B12" s="17">
        <f>SUMIFS(Daily!$E$2:$E$453,Daily!$A$2:$A$453,"&gt;="&amp;$B$4,Daily!$A$2:$A$453,"&lt;="&amp;$B$5)/1</f>
        <v/>
      </c>
      <c r="C12" s="17">
        <f>SUMIFS(Daily!$E$2:$E$453,Daily!$A$2:$A$453,"&gt;="&amp;($B$4-$B$6),Daily!$A$2:$A$453,"&lt;="&amp;($B$4-1))/1</f>
        <v/>
      </c>
      <c r="D12" s="27">
        <f>IF(C12=0,"n.a.",B12/C12-1)</f>
        <v/>
      </c>
    </row>
    <row r="13">
      <c r="A13" t="inlineStr">
        <is>
          <t>Deals won</t>
        </is>
      </c>
      <c r="B13" s="17">
        <f>SUMIFS(Daily!$F$2:$F$453,Daily!$A$2:$A$453,"&gt;="&amp;$B$4,Daily!$A$2:$A$453,"&lt;="&amp;$B$5)/1</f>
        <v/>
      </c>
      <c r="C13" s="17">
        <f>SUMIFS(Daily!$F$2:$F$453,Daily!$A$2:$A$453,"&gt;="&amp;($B$4-$B$6),Daily!$A$2:$A$453,"&lt;="&amp;($B$4-1))/1</f>
        <v/>
      </c>
      <c r="D13" s="27">
        <f>IF(C13=0,"n.a.",B13/C13-1)</f>
        <v/>
      </c>
    </row>
    <row r="14">
      <c r="A14" t="inlineStr">
        <is>
          <t>Net cash (USD)</t>
        </is>
      </c>
      <c r="B14" s="15">
        <f>SUMIFS(Daily!$J$2:$J$453,Daily!$A$2:$A$453,"&gt;="&amp;$B$4,Daily!$A$2:$A$453,"&lt;="&amp;$B$5)/100</f>
        <v/>
      </c>
      <c r="C14" s="15">
        <f>SUMIFS(Daily!$J$2:$J$453,Daily!$A$2:$A$453,"&gt;="&amp;($B$4-$B$6),Daily!$A$2:$A$453,"&lt;="&amp;($B$4-1))/100</f>
        <v/>
      </c>
      <c r="D14" s="27">
        <f>IF(C14=0,"n.a.",B14/C14-1)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conditionalFormatting sqref="D9:D14">
    <cfRule type="cellIs" priority="1" operator="lessThan" dxfId="0">
      <formula>0</formula>
    </cfRule>
  </conditionalFormatting>
  <dataValidations count="3">
    <dataValidation sqref="B4:B5" showDropDown="0" showInputMessage="0" showErrorMessage="1" allowBlank="0" errorTitle="Date outside the data" error="Pick a date inside the data range shown on the Daily sheet." type="date" operator="between">
      <formula1>MIN(Daily!$A$2:$A$453)</formula1>
      <formula2>MAX(Daily!$A$2:$A$453)</formula2>
    </dataValidation>
    <dataValidation sqref="G4" showDropDown="0" showInputMessage="0" showErrorMessage="1" allowBlank="0" errorTitle="Not an option" error="Pick one of: All,google,linkedin,meta" type="list">
      <formula1>"All,google,linkedin,meta"</formula1>
    </dataValidation>
    <dataValidation sqref="G5" showDropDown="0" showInputMessage="0" showErrorMessage="1" allowBlank="0" errorTitle="Not an option" error="Pick one of: All,newsletter,nurture,promo,webinar_invite" type="list">
      <formula1>"All,newsletter,nurture,promo,webinar_invite"</formula1>
    </dataValidation>
  </dataValidations>
  <pageMargins left="0.75" right="0.75" top="1" bottom="1" header="0.5" footer="0.5"/>
  <pageSetup orientation="landscape" fitToHeight="0" fitToWidth="1"/>
  <headerFooter>
    <oddHeader/>
    <oddFooter>&amp;LGrowthOps OS · synthetic data&amp;R&amp;A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A78D6"/>
    <outlinePr summaryBelow="1" summaryRight="1"/>
    <pageSetUpPr fitToPage="1"/>
  </sheetPr>
  <dimension ref="A1:J42"/>
  <sheetViews>
    <sheetView workbookViewId="0">
      <selection activeCell="A1" sqref="A1"/>
    </sheetView>
  </sheetViews>
  <sheetFormatPr baseColWidth="8" defaultRowHeight="15"/>
  <cols>
    <col width="44" customWidth="1" min="1" max="1"/>
    <col width="17" customWidth="1" min="2" max="2"/>
    <col width="17" customWidth="1" min="3" max="3"/>
    <col width="17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3" t="inlineStr">
        <is>
          <t>Marketing KPIs for the selected window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Window dates come from the yellow cells on Period analysis. Activity basis: events are dated when they happened and credited to the campaign that created the lead.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28">
        <f>"Window "&amp;TEXT(StartDate,"yyyy-mm-dd")&amp;" to "&amp;TEXT(EndDate,"yyyy-mm-dd")&amp;" · paid platform: "&amp;PaidPlatform&amp;" · email type: "&amp;EmailType</f>
        <v/>
      </c>
    </row>
    <row r="4">
      <c r="A4" s="14" t="inlineStr">
        <is>
          <t>Metric</t>
        </is>
      </c>
      <c r="B4" s="14" t="inlineStr">
        <is>
          <t>Selected window</t>
        </is>
      </c>
      <c r="C4" s="14" t="inlineStr">
        <is>
          <t>Prior window</t>
        </is>
      </c>
      <c r="D4" s="14" t="inlineStr">
        <is>
          <t>Change</t>
        </is>
      </c>
    </row>
    <row r="5">
      <c r="A5" t="inlineStr">
        <is>
          <t>Paid spend (USD)</t>
        </is>
      </c>
      <c r="B5" s="15">
        <f>SUMIFS('Paid daily'!$D$2:$D$2479,'Paid daily'!$A$2:$A$2479,"&gt;="&amp;StartDate,'Paid daily'!$A$2:$A$2479,"&lt;="&amp;EndDate,'Paid daily'!$C$2:$C$2479,PlatformCriteria)/100</f>
        <v/>
      </c>
      <c r="C5" s="15">
        <f>SUMIFS('Paid daily'!$D$2:$D$2479,'Paid daily'!$A$2:$A$2479,"&gt;="&amp;(StartDate-(EndDate-StartDate+1)),'Paid daily'!$A$2:$A$2479,"&lt;="&amp;(StartDate-1),'Paid daily'!$C$2:$C$2479,PlatformCriteria)/100</f>
        <v/>
      </c>
      <c r="D5" s="27">
        <f>IFERROR(B5/C5-1,"n.a.")</f>
        <v/>
      </c>
    </row>
    <row r="6">
      <c r="A6" t="inlineStr">
        <is>
          <t>Paid leads</t>
        </is>
      </c>
      <c r="B6" s="17">
        <f>SUMIFS('Paid daily'!$G$2:$G$2479,'Paid daily'!$A$2:$A$2479,"&gt;="&amp;StartDate,'Paid daily'!$A$2:$A$2479,"&lt;="&amp;EndDate,'Paid daily'!$C$2:$C$2479,PlatformCriteria)</f>
        <v/>
      </c>
      <c r="C6" s="17">
        <f>SUMIFS('Paid daily'!$G$2:$G$2479,'Paid daily'!$A$2:$A$2479,"&gt;="&amp;(StartDate-(EndDate-StartDate+1)),'Paid daily'!$A$2:$A$2479,"&lt;="&amp;(StartDate-1),'Paid daily'!$C$2:$C$2479,PlatformCriteria)</f>
        <v/>
      </c>
      <c r="D6" s="27">
        <f>IFERROR(B6/C6-1,"n.a.")</f>
        <v/>
      </c>
    </row>
    <row r="7">
      <c r="A7" t="inlineStr">
        <is>
          <t>CPL (USD)</t>
        </is>
      </c>
      <c r="B7" s="18">
        <f>IFERROR(B5/B6,"n.a.")</f>
        <v/>
      </c>
      <c r="C7" s="18">
        <f>IFERROR(C5/C6,"n.a.")</f>
        <v/>
      </c>
      <c r="D7" s="27">
        <f>IFERROR(B7/C7-1,"n.a.")</f>
        <v/>
      </c>
    </row>
    <row r="8">
      <c r="A8" t="inlineStr">
        <is>
          <t>Paid MQLs</t>
        </is>
      </c>
      <c r="B8" s="17">
        <f>SUMIFS('Paid daily'!$H$2:$H$2479,'Paid daily'!$A$2:$A$2479,"&gt;="&amp;StartDate,'Paid daily'!$A$2:$A$2479,"&lt;="&amp;EndDate,'Paid daily'!$C$2:$C$2479,PlatformCriteria)</f>
        <v/>
      </c>
      <c r="C8" s="17">
        <f>SUMIFS('Paid daily'!$H$2:$H$2479,'Paid daily'!$A$2:$A$2479,"&gt;="&amp;(StartDate-(EndDate-StartDate+1)),'Paid daily'!$A$2:$A$2479,"&lt;="&amp;(StartDate-1),'Paid daily'!$C$2:$C$2479,PlatformCriteria)</f>
        <v/>
      </c>
      <c r="D8" s="27">
        <f>IFERROR(B8/C8-1,"n.a.")</f>
        <v/>
      </c>
    </row>
    <row r="9">
      <c r="A9" t="inlineStr">
        <is>
          <t>Cost per MQL (USD)</t>
        </is>
      </c>
      <c r="B9" s="18">
        <f>IFERROR(B5/B8,"n.a.")</f>
        <v/>
      </c>
      <c r="C9" s="18">
        <f>IFERROR(C5/C8,"n.a.")</f>
        <v/>
      </c>
      <c r="D9" s="27">
        <f>IFERROR(B9/C9-1,"n.a.")</f>
        <v/>
      </c>
    </row>
    <row r="10">
      <c r="A10" t="inlineStr">
        <is>
          <t>Calls booked (paid)</t>
        </is>
      </c>
      <c r="B10" s="17">
        <f>SUMIFS('Paid daily'!$I$2:$I$2479,'Paid daily'!$A$2:$A$2479,"&gt;="&amp;StartDate,'Paid daily'!$A$2:$A$2479,"&lt;="&amp;EndDate,'Paid daily'!$C$2:$C$2479,PlatformCriteria)</f>
        <v/>
      </c>
      <c r="C10" s="17">
        <f>SUMIFS('Paid daily'!$I$2:$I$2479,'Paid daily'!$A$2:$A$2479,"&gt;="&amp;(StartDate-(EndDate-StartDate+1)),'Paid daily'!$A$2:$A$2479,"&lt;="&amp;(StartDate-1),'Paid daily'!$C$2:$C$2479,PlatformCriteria)</f>
        <v/>
      </c>
      <c r="D10" s="27">
        <f>IFERROR(B10/C10-1,"n.a.")</f>
        <v/>
      </c>
    </row>
    <row r="11">
      <c r="A11" t="inlineStr">
        <is>
          <t>Cost per booked call (USD)</t>
        </is>
      </c>
      <c r="B11" s="18">
        <f>IFERROR(B5/B10,"n.a.")</f>
        <v/>
      </c>
      <c r="C11" s="18">
        <f>IFERROR(C5/C10,"n.a.")</f>
        <v/>
      </c>
      <c r="D11" s="27">
        <f>IFERROR(B11/C11-1,"n.a.")</f>
        <v/>
      </c>
    </row>
    <row r="12">
      <c r="A12" t="inlineStr">
        <is>
          <t>Impressions</t>
        </is>
      </c>
      <c r="B12" s="17">
        <f>SUMIFS('Paid daily'!$E$2:$E$2479,'Paid daily'!$A$2:$A$2479,"&gt;="&amp;StartDate,'Paid daily'!$A$2:$A$2479,"&lt;="&amp;EndDate,'Paid daily'!$C$2:$C$2479,PlatformCriteria)</f>
        <v/>
      </c>
      <c r="C12" s="17">
        <f>SUMIFS('Paid daily'!$E$2:$E$2479,'Paid daily'!$A$2:$A$2479,"&gt;="&amp;(StartDate-(EndDate-StartDate+1)),'Paid daily'!$A$2:$A$2479,"&lt;="&amp;(StartDate-1),'Paid daily'!$C$2:$C$2479,PlatformCriteria)</f>
        <v/>
      </c>
      <c r="D12" s="27">
        <f>IFERROR(B12/C12-1,"n.a.")</f>
        <v/>
      </c>
    </row>
    <row r="13">
      <c r="A13" t="inlineStr">
        <is>
          <t>CPM (USD)</t>
        </is>
      </c>
      <c r="B13" s="18">
        <f>IFERROR(B5*1000/B12,"n.a.")</f>
        <v/>
      </c>
      <c r="C13" s="18">
        <f>IFERROR(C5*1000/C12,"n.a.")</f>
        <v/>
      </c>
      <c r="D13" s="27">
        <f>IFERROR(B13/C13-1,"n.a.")</f>
        <v/>
      </c>
    </row>
    <row r="14">
      <c r="A14" t="inlineStr">
        <is>
          <t>Ad clicks</t>
        </is>
      </c>
      <c r="B14" s="17">
        <f>SUMIFS('Paid daily'!$F$2:$F$2479,'Paid daily'!$A$2:$A$2479,"&gt;="&amp;StartDate,'Paid daily'!$A$2:$A$2479,"&lt;="&amp;EndDate,'Paid daily'!$C$2:$C$2479,PlatformCriteria)</f>
        <v/>
      </c>
      <c r="C14" s="17">
        <f>SUMIFS('Paid daily'!$F$2:$F$2479,'Paid daily'!$A$2:$A$2479,"&gt;="&amp;(StartDate-(EndDate-StartDate+1)),'Paid daily'!$A$2:$A$2479,"&lt;="&amp;(StartDate-1),'Paid daily'!$C$2:$C$2479,PlatformCriteria)</f>
        <v/>
      </c>
      <c r="D14" s="27">
        <f>IFERROR(B14/C14-1,"n.a.")</f>
        <v/>
      </c>
    </row>
    <row r="15">
      <c r="A15" t="inlineStr">
        <is>
          <t>CTR</t>
        </is>
      </c>
      <c r="B15" s="29">
        <f>IFERROR(B14/B12,"n.a.")</f>
        <v/>
      </c>
      <c r="C15" s="29">
        <f>IFERROR(C14/C12,"n.a.")</f>
        <v/>
      </c>
      <c r="D15" s="27">
        <f>IFERROR(B15/C15-1,"n.a.")</f>
        <v/>
      </c>
    </row>
    <row r="16">
      <c r="A16" t="inlineStr">
        <is>
          <t>CPC (USD)</t>
        </is>
      </c>
      <c r="B16" s="18">
        <f>IFERROR(B5/B14,"n.a.")</f>
        <v/>
      </c>
      <c r="C16" s="18">
        <f>IFERROR(C5/C14,"n.a.")</f>
        <v/>
      </c>
      <c r="D16" s="27">
        <f>IFERROR(B16/C16-1,"n.a.")</f>
        <v/>
      </c>
    </row>
    <row r="17">
      <c r="A17" t="inlineStr">
        <is>
          <t>Emails delivered</t>
        </is>
      </c>
      <c r="B17" s="17">
        <f>SUMIFS(Email!$G$2:$G$150,Email!$B$2:$B$150,"&gt;="&amp;StartDate,Email!$B$2:$B$150,"&lt;="&amp;EndDate,Email!$C$2:$C$150,EmailTypeCriteria)</f>
        <v/>
      </c>
      <c r="C17" s="17">
        <f>SUMIFS(Email!$G$2:$G$150,Email!$B$2:$B$150,"&gt;="&amp;(StartDate-(EndDate-StartDate+1)),Email!$B$2:$B$150,"&lt;="&amp;(StartDate-1),Email!$C$2:$C$150,EmailTypeCriteria)</f>
        <v/>
      </c>
      <c r="D17" s="27">
        <f>IFERROR(B17/C17-1,"n.a.")</f>
        <v/>
      </c>
    </row>
    <row r="18">
      <c r="A18" t="inlineStr">
        <is>
          <t>Human open rate</t>
        </is>
      </c>
      <c r="B18" s="22">
        <f>IFERROR(SUMIFS(Email!$K$2:$K$150,Email!$B$2:$B$150,"&gt;="&amp;StartDate,Email!$B$2:$B$150,"&lt;="&amp;EndDate,Email!$C$2:$C$150,EmailTypeCriteria)/B17,"n.a.")</f>
        <v/>
      </c>
      <c r="C18" s="22">
        <f>IFERROR(SUMIFS(Email!$K$2:$K$150,Email!$B$2:$B$150,"&gt;="&amp;(StartDate-(EndDate-StartDate+1)),Email!$B$2:$B$150,"&lt;="&amp;(StartDate-1),Email!$C$2:$C$150,EmailTypeCriteria)/C17,"n.a.")</f>
        <v/>
      </c>
      <c r="D18" s="27">
        <f>IFERROR(B18/C18-1,"n.a.")</f>
        <v/>
      </c>
    </row>
    <row r="19">
      <c r="A19" t="inlineStr">
        <is>
          <t>Email click rate</t>
        </is>
      </c>
      <c r="B19" s="29">
        <f>IFERROR(SUMIFS(Email!$L$2:$L$150,Email!$B$2:$B$150,"&gt;="&amp;StartDate,Email!$B$2:$B$150,"&lt;="&amp;EndDate,Email!$C$2:$C$150,EmailTypeCriteria)/B17,"n.a.")</f>
        <v/>
      </c>
      <c r="C19" s="29">
        <f>IFERROR(SUMIFS(Email!$L$2:$L$150,Email!$B$2:$B$150,"&gt;="&amp;(StartDate-(EndDate-StartDate+1)),Email!$B$2:$B$150,"&lt;="&amp;(StartDate-1),Email!$C$2:$C$150,EmailTypeCriteria)/C17,"n.a.")</f>
        <v/>
      </c>
      <c r="D19" s="27">
        <f>IFERROR(B19/C19-1,"n.a.")</f>
        <v/>
      </c>
    </row>
    <row r="20">
      <c r="A20" t="inlineStr">
        <is>
          <t>Bounce rate</t>
        </is>
      </c>
      <c r="B20" s="29">
        <f>IFERROR(SUMIFS(Email!$H$2:$H$150,Email!$B$2:$B$150,"&gt;="&amp;StartDate,Email!$B$2:$B$150,"&lt;="&amp;EndDate,Email!$C$2:$C$150,EmailTypeCriteria)/SUMIFS(Email!$F$2:$F$150,Email!$B$2:$B$150,"&gt;="&amp;StartDate,Email!$B$2:$B$150,"&lt;="&amp;EndDate,Email!$C$2:$C$150,EmailTypeCriteria),"n.a.")</f>
        <v/>
      </c>
      <c r="C20" s="29">
        <f>IFERROR(SUMIFS(Email!$H$2:$H$150,Email!$B$2:$B$150,"&gt;="&amp;(StartDate-(EndDate-StartDate+1)),Email!$B$2:$B$150,"&lt;="&amp;(StartDate-1),Email!$C$2:$C$150,EmailTypeCriteria)/SUMIFS(Email!$F$2:$F$150,Email!$B$2:$B$150,"&gt;="&amp;(StartDate-(EndDate-StartDate+1)),Email!$B$2:$B$150,"&lt;="&amp;(StartDate-1),Email!$C$2:$C$150,EmailTypeCriteria),"n.a.")</f>
        <v/>
      </c>
      <c r="D20" s="27">
        <f>IFERROR(B20/C20-1,"n.a.")</f>
        <v/>
      </c>
    </row>
    <row r="21">
      <c r="A21" t="inlineStr">
        <is>
          <t>Complaint rate</t>
        </is>
      </c>
      <c r="B21" s="30">
        <f>IFERROR(SUMIFS(Email!$N$2:$N$150,Email!$B$2:$B$150,"&gt;="&amp;StartDate,Email!$B$2:$B$150,"&lt;="&amp;EndDate,Email!$C$2:$C$150,EmailTypeCriteria)/B17,"n.a.")</f>
        <v/>
      </c>
      <c r="C21" s="30">
        <f>IFERROR(SUMIFS(Email!$N$2:$N$150,Email!$B$2:$B$150,"&gt;="&amp;(StartDate-(EndDate-StartDate+1)),Email!$B$2:$B$150,"&lt;="&amp;(StartDate-1),Email!$C$2:$C$150,EmailTypeCriteria)/C17,"n.a.")</f>
        <v/>
      </c>
      <c r="D21" s="27">
        <f>IFERROR(B21/C21-1,"n.a.")</f>
        <v/>
      </c>
    </row>
    <row r="23">
      <c r="A23" t="inlineStr">
        <is>
          <t>Short links with UTM defects (all time)</t>
        </is>
      </c>
      <c r="B23">
        <f>SUMPRODUCT(((Links!$F$2:$F$10=TRUE)+(Links!$G$2:$G$10=TRUE)+(Links!$H$2:$H$10=TRUE)&gt;0)*1)</f>
        <v/>
      </c>
    </row>
    <row r="24">
      <c r="A24" t="inlineStr">
        <is>
          <t>Share of last-30-day link clicks on defective links</t>
        </is>
      </c>
      <c r="B24" s="31">
        <f>IFERROR(SUMPRODUCT(((Links!$F$2:$F$10=TRUE)+(Links!$G$2:$G$10=TRUE)+(Links!$H$2:$H$10=TRUE)&gt;0)*Links!$J$2:$J$10)/SUM(Links!$J$2:$J$10),"n.a.")</f>
        <v/>
      </c>
    </row>
    <row r="26">
      <c r="A26" s="10" t="inlineStr">
        <is>
          <t>Email bounce above 2% or complaints above 0.1% turn red. Cash lags leads, so no window ROAS here.</t>
        </is>
      </c>
    </row>
    <row r="28">
      <c r="A28" s="6" t="inlineStr">
        <is>
          <t>Paid channel mix, selected window (every platform, whatever the filter)</t>
        </is>
      </c>
    </row>
    <row r="29" ht="30" customHeight="1">
      <c r="A29" s="32" t="inlineStr">
        <is>
          <t>Platform</t>
        </is>
      </c>
      <c r="B29" s="32" t="inlineStr">
        <is>
          <t>Spend (USD)</t>
        </is>
      </c>
      <c r="C29" s="32" t="inlineStr">
        <is>
          <t>Share of spend</t>
        </is>
      </c>
      <c r="D29" s="32" t="inlineStr">
        <is>
          <t>Leads</t>
        </is>
      </c>
      <c r="E29" s="32" t="inlineStr">
        <is>
          <t>CPL (USD)</t>
        </is>
      </c>
      <c r="F29" s="32" t="inlineStr">
        <is>
          <t>MQLs</t>
        </is>
      </c>
      <c r="G29" s="32" t="inlineStr">
        <is>
          <t>Cost per MQL (USD)</t>
        </is>
      </c>
      <c r="H29" s="32" t="inlineStr">
        <is>
          <t>Calls booked</t>
        </is>
      </c>
      <c r="I29" s="32" t="inlineStr">
        <is>
          <t>Cost per booked call (USD)</t>
        </is>
      </c>
      <c r="J29" s="32" t="inlineStr">
        <is>
          <t>CTR</t>
        </is>
      </c>
    </row>
    <row r="30">
      <c r="A30" t="inlineStr">
        <is>
          <t>google</t>
        </is>
      </c>
      <c r="B30" s="15">
        <f>SUMIFS('Paid daily'!$D$2:$D$2479,'Paid daily'!$A$2:$A$2479,"&gt;="&amp;StartDate,'Paid daily'!$A$2:$A$2479,"&lt;="&amp;EndDate,'Paid daily'!$C$2:$C$2479,$A30)/100</f>
        <v/>
      </c>
      <c r="C30" s="31">
        <f>IFERROR(B30/B$33,"n.a.")</f>
        <v/>
      </c>
      <c r="D30" s="17">
        <f>SUMIFS('Paid daily'!$G$2:$G$2479,'Paid daily'!$A$2:$A$2479,"&gt;="&amp;StartDate,'Paid daily'!$A$2:$A$2479,"&lt;="&amp;EndDate,'Paid daily'!$C$2:$C$2479,$A30)</f>
        <v/>
      </c>
      <c r="E30" s="18">
        <f>IFERROR(B30/D30,"n.a.")</f>
        <v/>
      </c>
      <c r="F30" s="17">
        <f>SUMIFS('Paid daily'!$H$2:$H$2479,'Paid daily'!$A$2:$A$2479,"&gt;="&amp;StartDate,'Paid daily'!$A$2:$A$2479,"&lt;="&amp;EndDate,'Paid daily'!$C$2:$C$2479,$A30)</f>
        <v/>
      </c>
      <c r="G30" s="18">
        <f>IFERROR(B30/F30,"n.a.")</f>
        <v/>
      </c>
      <c r="H30" s="17">
        <f>SUMIFS('Paid daily'!$I$2:$I$2479,'Paid daily'!$A$2:$A$2479,"&gt;="&amp;StartDate,'Paid daily'!$A$2:$A$2479,"&lt;="&amp;EndDate,'Paid daily'!$C$2:$C$2479,$A30)</f>
        <v/>
      </c>
      <c r="I30" s="18">
        <f>IFERROR(B30/H30,"n.a.")</f>
        <v/>
      </c>
      <c r="J30" s="29">
        <f>IFERROR(SUMIFS('Paid daily'!$F$2:$F$2479,'Paid daily'!$A$2:$A$2479,"&gt;="&amp;StartDate,'Paid daily'!$A$2:$A$2479,"&lt;="&amp;EndDate,'Paid daily'!$C$2:$C$2479,$A30)/SUMIFS('Paid daily'!$E$2:$E$2479,'Paid daily'!$A$2:$A$2479,"&gt;="&amp;StartDate,'Paid daily'!$A$2:$A$2479,"&lt;="&amp;EndDate,'Paid daily'!$C$2:$C$2479,$A30),"n.a.")</f>
        <v/>
      </c>
    </row>
    <row r="31">
      <c r="A31" t="inlineStr">
        <is>
          <t>linkedin</t>
        </is>
      </c>
      <c r="B31" s="15">
        <f>SUMIFS('Paid daily'!$D$2:$D$2479,'Paid daily'!$A$2:$A$2479,"&gt;="&amp;StartDate,'Paid daily'!$A$2:$A$2479,"&lt;="&amp;EndDate,'Paid daily'!$C$2:$C$2479,$A31)/100</f>
        <v/>
      </c>
      <c r="C31" s="31">
        <f>IFERROR(B31/B$33,"n.a.")</f>
        <v/>
      </c>
      <c r="D31" s="17">
        <f>SUMIFS('Paid daily'!$G$2:$G$2479,'Paid daily'!$A$2:$A$2479,"&gt;="&amp;StartDate,'Paid daily'!$A$2:$A$2479,"&lt;="&amp;EndDate,'Paid daily'!$C$2:$C$2479,$A31)</f>
        <v/>
      </c>
      <c r="E31" s="18">
        <f>IFERROR(B31/D31,"n.a.")</f>
        <v/>
      </c>
      <c r="F31" s="17">
        <f>SUMIFS('Paid daily'!$H$2:$H$2479,'Paid daily'!$A$2:$A$2479,"&gt;="&amp;StartDate,'Paid daily'!$A$2:$A$2479,"&lt;="&amp;EndDate,'Paid daily'!$C$2:$C$2479,$A31)</f>
        <v/>
      </c>
      <c r="G31" s="18">
        <f>IFERROR(B31/F31,"n.a.")</f>
        <v/>
      </c>
      <c r="H31" s="17">
        <f>SUMIFS('Paid daily'!$I$2:$I$2479,'Paid daily'!$A$2:$A$2479,"&gt;="&amp;StartDate,'Paid daily'!$A$2:$A$2479,"&lt;="&amp;EndDate,'Paid daily'!$C$2:$C$2479,$A31)</f>
        <v/>
      </c>
      <c r="I31" s="18">
        <f>IFERROR(B31/H31,"n.a.")</f>
        <v/>
      </c>
      <c r="J31" s="29">
        <f>IFERROR(SUMIFS('Paid daily'!$F$2:$F$2479,'Paid daily'!$A$2:$A$2479,"&gt;="&amp;StartDate,'Paid daily'!$A$2:$A$2479,"&lt;="&amp;EndDate,'Paid daily'!$C$2:$C$2479,$A31)/SUMIFS('Paid daily'!$E$2:$E$2479,'Paid daily'!$A$2:$A$2479,"&gt;="&amp;StartDate,'Paid daily'!$A$2:$A$2479,"&lt;="&amp;EndDate,'Paid daily'!$C$2:$C$2479,$A31),"n.a.")</f>
        <v/>
      </c>
    </row>
    <row r="32">
      <c r="A32" t="inlineStr">
        <is>
          <t>meta</t>
        </is>
      </c>
      <c r="B32" s="15">
        <f>SUMIFS('Paid daily'!$D$2:$D$2479,'Paid daily'!$A$2:$A$2479,"&gt;="&amp;StartDate,'Paid daily'!$A$2:$A$2479,"&lt;="&amp;EndDate,'Paid daily'!$C$2:$C$2479,$A32)/100</f>
        <v/>
      </c>
      <c r="C32" s="31">
        <f>IFERROR(B32/B$33,"n.a.")</f>
        <v/>
      </c>
      <c r="D32" s="17">
        <f>SUMIFS('Paid daily'!$G$2:$G$2479,'Paid daily'!$A$2:$A$2479,"&gt;="&amp;StartDate,'Paid daily'!$A$2:$A$2479,"&lt;="&amp;EndDate,'Paid daily'!$C$2:$C$2479,$A32)</f>
        <v/>
      </c>
      <c r="E32" s="18">
        <f>IFERROR(B32/D32,"n.a.")</f>
        <v/>
      </c>
      <c r="F32" s="17">
        <f>SUMIFS('Paid daily'!$H$2:$H$2479,'Paid daily'!$A$2:$A$2479,"&gt;="&amp;StartDate,'Paid daily'!$A$2:$A$2479,"&lt;="&amp;EndDate,'Paid daily'!$C$2:$C$2479,$A32)</f>
        <v/>
      </c>
      <c r="G32" s="18">
        <f>IFERROR(B32/F32,"n.a.")</f>
        <v/>
      </c>
      <c r="H32" s="17">
        <f>SUMIFS('Paid daily'!$I$2:$I$2479,'Paid daily'!$A$2:$A$2479,"&gt;="&amp;StartDate,'Paid daily'!$A$2:$A$2479,"&lt;="&amp;EndDate,'Paid daily'!$C$2:$C$2479,$A32)</f>
        <v/>
      </c>
      <c r="I32" s="18">
        <f>IFERROR(B32/H32,"n.a.")</f>
        <v/>
      </c>
      <c r="J32" s="29">
        <f>IFERROR(SUMIFS('Paid daily'!$F$2:$F$2479,'Paid daily'!$A$2:$A$2479,"&gt;="&amp;StartDate,'Paid daily'!$A$2:$A$2479,"&lt;="&amp;EndDate,'Paid daily'!$C$2:$C$2479,$A32)/SUMIFS('Paid daily'!$E$2:$E$2479,'Paid daily'!$A$2:$A$2479,"&gt;="&amp;StartDate,'Paid daily'!$A$2:$A$2479,"&lt;="&amp;EndDate,'Paid daily'!$C$2:$C$2479,$A32),"n.a.")</f>
        <v/>
      </c>
    </row>
    <row r="33">
      <c r="A33" s="4" t="inlineStr">
        <is>
          <t>Total</t>
        </is>
      </c>
      <c r="B33" s="33">
        <f>SUM(B30:B32)</f>
        <v/>
      </c>
      <c r="C33" s="31">
        <f>IFERROR(B33/B$33,"n.a.")</f>
        <v/>
      </c>
      <c r="D33" s="34">
        <f>SUM(D30:D32)</f>
        <v/>
      </c>
      <c r="E33" s="18">
        <f>IFERROR(B33/D33,"n.a.")</f>
        <v/>
      </c>
      <c r="F33" s="34">
        <f>SUM(F30:F32)</f>
        <v/>
      </c>
      <c r="G33" s="18">
        <f>IFERROR(B33/F33,"n.a.")</f>
        <v/>
      </c>
      <c r="H33" s="34">
        <f>SUM(H30:H32)</f>
        <v/>
      </c>
      <c r="I33" s="18">
        <f>IFERROR(B33/H33,"n.a.")</f>
        <v/>
      </c>
      <c r="J33" s="29">
        <f>IFERROR(SUMIFS('Paid daily'!$F$2:$F$2479,'Paid daily'!$A$2:$A$2479,"&gt;="&amp;StartDate,'Paid daily'!$A$2:$A$2479,"&lt;="&amp;EndDate,'Paid daily'!$C$2:$C$2479,"*")/SUMIFS('Paid daily'!$E$2:$E$2479,'Paid daily'!$A$2:$A$2479,"&gt;="&amp;StartDate,'Paid daily'!$A$2:$A$2479,"&lt;="&amp;EndDate,'Paid daily'!$C$2:$C$2479,"*"),"n.a.")</f>
        <v/>
      </c>
    </row>
    <row r="36">
      <c r="A36" s="6" t="inlineStr">
        <is>
          <t>Email by type, selected window (every type, whatever the filter)</t>
        </is>
      </c>
    </row>
    <row r="37" ht="30" customHeight="1">
      <c r="A37" s="32" t="inlineStr">
        <is>
          <t>Email type</t>
        </is>
      </c>
      <c r="B37" s="32" t="inlineStr">
        <is>
          <t>Delivered</t>
        </is>
      </c>
      <c r="C37" s="32" t="inlineStr">
        <is>
          <t>Human open rate</t>
        </is>
      </c>
      <c r="D37" s="32" t="inlineStr">
        <is>
          <t>Click rate</t>
        </is>
      </c>
      <c r="E37" s="32" t="inlineStr">
        <is>
          <t>Click-to-open rate</t>
        </is>
      </c>
      <c r="F37" s="32" t="inlineStr">
        <is>
          <t>Bounce rate</t>
        </is>
      </c>
      <c r="G37" s="32" t="inlineStr">
        <is>
          <t>Complaint rate</t>
        </is>
      </c>
      <c r="H37" s="32" t="inlineStr">
        <is>
          <t>Unsubscribes</t>
        </is>
      </c>
    </row>
    <row r="38">
      <c r="A38" t="inlineStr">
        <is>
          <t>newsletter</t>
        </is>
      </c>
      <c r="B38" s="17">
        <f>SUMIFS(Email!$G$2:$G$150,Email!$B$2:$B$150,"&gt;="&amp;StartDate,Email!$B$2:$B$150,"&lt;="&amp;EndDate,Email!$C$2:$C$150,$A38)</f>
        <v/>
      </c>
      <c r="C38" s="22">
        <f>IFERROR(SUMIFS(Email!$K$2:$K$150,Email!$B$2:$B$150,"&gt;="&amp;StartDate,Email!$B$2:$B$150,"&lt;="&amp;EndDate,Email!$C$2:$C$150,$A38)/B38,"n.a.")</f>
        <v/>
      </c>
      <c r="D38" s="29">
        <f>IFERROR(SUMIFS(Email!$L$2:$L$150,Email!$B$2:$B$150,"&gt;="&amp;StartDate,Email!$B$2:$B$150,"&lt;="&amp;EndDate,Email!$C$2:$C$150,$A38)/B38,"n.a.")</f>
        <v/>
      </c>
      <c r="E38" s="22">
        <f>IFERROR(SUMIFS(Email!$L$2:$L$150,Email!$B$2:$B$150,"&gt;="&amp;StartDate,Email!$B$2:$B$150,"&lt;="&amp;EndDate,Email!$C$2:$C$150,$A38)/SUMIFS(Email!$K$2:$K$150,Email!$B$2:$B$150,"&gt;="&amp;StartDate,Email!$B$2:$B$150,"&lt;="&amp;EndDate,Email!$C$2:$C$150,$A38),"n.a.")</f>
        <v/>
      </c>
      <c r="F38" s="29">
        <f>IFERROR(SUMIFS(Email!$H$2:$H$150,Email!$B$2:$B$150,"&gt;="&amp;StartDate,Email!$B$2:$B$150,"&lt;="&amp;EndDate,Email!$C$2:$C$150,$A38)/SUMIFS(Email!$F$2:$F$150,Email!$B$2:$B$150,"&gt;="&amp;StartDate,Email!$B$2:$B$150,"&lt;="&amp;EndDate,Email!$C$2:$C$150,$A38),"n.a.")</f>
        <v/>
      </c>
      <c r="G38" s="30">
        <f>IFERROR(SUMIFS(Email!$N$2:$N$150,Email!$B$2:$B$150,"&gt;="&amp;StartDate,Email!$B$2:$B$150,"&lt;="&amp;EndDate,Email!$C$2:$C$150,$A38)/B38,"n.a.")</f>
        <v/>
      </c>
      <c r="H38" s="17">
        <f>SUMIFS(Email!$M$2:$M$150,Email!$B$2:$B$150,"&gt;="&amp;StartDate,Email!$B$2:$B$150,"&lt;="&amp;EndDate,Email!$C$2:$C$150,$A38)</f>
        <v/>
      </c>
    </row>
    <row r="39">
      <c r="A39" t="inlineStr">
        <is>
          <t>nurture</t>
        </is>
      </c>
      <c r="B39" s="17">
        <f>SUMIFS(Email!$G$2:$G$150,Email!$B$2:$B$150,"&gt;="&amp;StartDate,Email!$B$2:$B$150,"&lt;="&amp;EndDate,Email!$C$2:$C$150,$A39)</f>
        <v/>
      </c>
      <c r="C39" s="22">
        <f>IFERROR(SUMIFS(Email!$K$2:$K$150,Email!$B$2:$B$150,"&gt;="&amp;StartDate,Email!$B$2:$B$150,"&lt;="&amp;EndDate,Email!$C$2:$C$150,$A39)/B39,"n.a.")</f>
        <v/>
      </c>
      <c r="D39" s="29">
        <f>IFERROR(SUMIFS(Email!$L$2:$L$150,Email!$B$2:$B$150,"&gt;="&amp;StartDate,Email!$B$2:$B$150,"&lt;="&amp;EndDate,Email!$C$2:$C$150,$A39)/B39,"n.a.")</f>
        <v/>
      </c>
      <c r="E39" s="22">
        <f>IFERROR(SUMIFS(Email!$L$2:$L$150,Email!$B$2:$B$150,"&gt;="&amp;StartDate,Email!$B$2:$B$150,"&lt;="&amp;EndDate,Email!$C$2:$C$150,$A39)/SUMIFS(Email!$K$2:$K$150,Email!$B$2:$B$150,"&gt;="&amp;StartDate,Email!$B$2:$B$150,"&lt;="&amp;EndDate,Email!$C$2:$C$150,$A39),"n.a.")</f>
        <v/>
      </c>
      <c r="F39" s="29">
        <f>IFERROR(SUMIFS(Email!$H$2:$H$150,Email!$B$2:$B$150,"&gt;="&amp;StartDate,Email!$B$2:$B$150,"&lt;="&amp;EndDate,Email!$C$2:$C$150,$A39)/SUMIFS(Email!$F$2:$F$150,Email!$B$2:$B$150,"&gt;="&amp;StartDate,Email!$B$2:$B$150,"&lt;="&amp;EndDate,Email!$C$2:$C$150,$A39),"n.a.")</f>
        <v/>
      </c>
      <c r="G39" s="30">
        <f>IFERROR(SUMIFS(Email!$N$2:$N$150,Email!$B$2:$B$150,"&gt;="&amp;StartDate,Email!$B$2:$B$150,"&lt;="&amp;EndDate,Email!$C$2:$C$150,$A39)/B39,"n.a.")</f>
        <v/>
      </c>
      <c r="H39" s="17">
        <f>SUMIFS(Email!$M$2:$M$150,Email!$B$2:$B$150,"&gt;="&amp;StartDate,Email!$B$2:$B$150,"&lt;="&amp;EndDate,Email!$C$2:$C$150,$A39)</f>
        <v/>
      </c>
    </row>
    <row r="40">
      <c r="A40" t="inlineStr">
        <is>
          <t>promo</t>
        </is>
      </c>
      <c r="B40" s="17">
        <f>SUMIFS(Email!$G$2:$G$150,Email!$B$2:$B$150,"&gt;="&amp;StartDate,Email!$B$2:$B$150,"&lt;="&amp;EndDate,Email!$C$2:$C$150,$A40)</f>
        <v/>
      </c>
      <c r="C40" s="22">
        <f>IFERROR(SUMIFS(Email!$K$2:$K$150,Email!$B$2:$B$150,"&gt;="&amp;StartDate,Email!$B$2:$B$150,"&lt;="&amp;EndDate,Email!$C$2:$C$150,$A40)/B40,"n.a.")</f>
        <v/>
      </c>
      <c r="D40" s="29">
        <f>IFERROR(SUMIFS(Email!$L$2:$L$150,Email!$B$2:$B$150,"&gt;="&amp;StartDate,Email!$B$2:$B$150,"&lt;="&amp;EndDate,Email!$C$2:$C$150,$A40)/B40,"n.a.")</f>
        <v/>
      </c>
      <c r="E40" s="22">
        <f>IFERROR(SUMIFS(Email!$L$2:$L$150,Email!$B$2:$B$150,"&gt;="&amp;StartDate,Email!$B$2:$B$150,"&lt;="&amp;EndDate,Email!$C$2:$C$150,$A40)/SUMIFS(Email!$K$2:$K$150,Email!$B$2:$B$150,"&gt;="&amp;StartDate,Email!$B$2:$B$150,"&lt;="&amp;EndDate,Email!$C$2:$C$150,$A40),"n.a.")</f>
        <v/>
      </c>
      <c r="F40" s="29">
        <f>IFERROR(SUMIFS(Email!$H$2:$H$150,Email!$B$2:$B$150,"&gt;="&amp;StartDate,Email!$B$2:$B$150,"&lt;="&amp;EndDate,Email!$C$2:$C$150,$A40)/SUMIFS(Email!$F$2:$F$150,Email!$B$2:$B$150,"&gt;="&amp;StartDate,Email!$B$2:$B$150,"&lt;="&amp;EndDate,Email!$C$2:$C$150,$A40),"n.a.")</f>
        <v/>
      </c>
      <c r="G40" s="30">
        <f>IFERROR(SUMIFS(Email!$N$2:$N$150,Email!$B$2:$B$150,"&gt;="&amp;StartDate,Email!$B$2:$B$150,"&lt;="&amp;EndDate,Email!$C$2:$C$150,$A40)/B40,"n.a.")</f>
        <v/>
      </c>
      <c r="H40" s="17">
        <f>SUMIFS(Email!$M$2:$M$150,Email!$B$2:$B$150,"&gt;="&amp;StartDate,Email!$B$2:$B$150,"&lt;="&amp;EndDate,Email!$C$2:$C$150,$A40)</f>
        <v/>
      </c>
    </row>
    <row r="41">
      <c r="A41" t="inlineStr">
        <is>
          <t>webinar_invite</t>
        </is>
      </c>
      <c r="B41" s="17">
        <f>SUMIFS(Email!$G$2:$G$150,Email!$B$2:$B$150,"&gt;="&amp;StartDate,Email!$B$2:$B$150,"&lt;="&amp;EndDate,Email!$C$2:$C$150,$A41)</f>
        <v/>
      </c>
      <c r="C41" s="22">
        <f>IFERROR(SUMIFS(Email!$K$2:$K$150,Email!$B$2:$B$150,"&gt;="&amp;StartDate,Email!$B$2:$B$150,"&lt;="&amp;EndDate,Email!$C$2:$C$150,$A41)/B41,"n.a.")</f>
        <v/>
      </c>
      <c r="D41" s="29">
        <f>IFERROR(SUMIFS(Email!$L$2:$L$150,Email!$B$2:$B$150,"&gt;="&amp;StartDate,Email!$B$2:$B$150,"&lt;="&amp;EndDate,Email!$C$2:$C$150,$A41)/B41,"n.a.")</f>
        <v/>
      </c>
      <c r="E41" s="22">
        <f>IFERROR(SUMIFS(Email!$L$2:$L$150,Email!$B$2:$B$150,"&gt;="&amp;StartDate,Email!$B$2:$B$150,"&lt;="&amp;EndDate,Email!$C$2:$C$150,$A41)/SUMIFS(Email!$K$2:$K$150,Email!$B$2:$B$150,"&gt;="&amp;StartDate,Email!$B$2:$B$150,"&lt;="&amp;EndDate,Email!$C$2:$C$150,$A41),"n.a.")</f>
        <v/>
      </c>
      <c r="F41" s="29">
        <f>IFERROR(SUMIFS(Email!$H$2:$H$150,Email!$B$2:$B$150,"&gt;="&amp;StartDate,Email!$B$2:$B$150,"&lt;="&amp;EndDate,Email!$C$2:$C$150,$A41)/SUMIFS(Email!$F$2:$F$150,Email!$B$2:$B$150,"&gt;="&amp;StartDate,Email!$B$2:$B$150,"&lt;="&amp;EndDate,Email!$C$2:$C$150,$A41),"n.a.")</f>
        <v/>
      </c>
      <c r="G41" s="30">
        <f>IFERROR(SUMIFS(Email!$N$2:$N$150,Email!$B$2:$B$150,"&gt;="&amp;StartDate,Email!$B$2:$B$150,"&lt;="&amp;EndDate,Email!$C$2:$C$150,$A41)/B41,"n.a.")</f>
        <v/>
      </c>
      <c r="H41" s="17">
        <f>SUMIFS(Email!$M$2:$M$150,Email!$B$2:$B$150,"&gt;="&amp;StartDate,Email!$B$2:$B$150,"&lt;="&amp;EndDate,Email!$C$2:$C$150,$A41)</f>
        <v/>
      </c>
    </row>
    <row r="42">
      <c r="A42" s="4" t="inlineStr">
        <is>
          <t>Total</t>
        </is>
      </c>
      <c r="B42" s="17">
        <f>SUMIFS(Email!$G$2:$G$150,Email!$B$2:$B$150,"&gt;="&amp;StartDate,Email!$B$2:$B$150,"&lt;="&amp;EndDate,Email!$C$2:$C$150,"*")</f>
        <v/>
      </c>
      <c r="C42" s="22">
        <f>IFERROR(SUMIFS(Email!$K$2:$K$150,Email!$B$2:$B$150,"&gt;="&amp;StartDate,Email!$B$2:$B$150,"&lt;="&amp;EndDate,Email!$C$2:$C$150,"*")/B42,"n.a.")</f>
        <v/>
      </c>
      <c r="D42" s="29">
        <f>IFERROR(SUMIFS(Email!$L$2:$L$150,Email!$B$2:$B$150,"&gt;="&amp;StartDate,Email!$B$2:$B$150,"&lt;="&amp;EndDate,Email!$C$2:$C$150,"*")/B42,"n.a.")</f>
        <v/>
      </c>
      <c r="E42" s="22">
        <f>IFERROR(SUMIFS(Email!$L$2:$L$150,Email!$B$2:$B$150,"&gt;="&amp;StartDate,Email!$B$2:$B$150,"&lt;="&amp;EndDate,Email!$C$2:$C$150,"*")/SUMIFS(Email!$K$2:$K$150,Email!$B$2:$B$150,"&gt;="&amp;StartDate,Email!$B$2:$B$150,"&lt;="&amp;EndDate,Email!$C$2:$C$150,"*"),"n.a.")</f>
        <v/>
      </c>
      <c r="F42" s="29">
        <f>IFERROR(SUMIFS(Email!$H$2:$H$150,Email!$B$2:$B$150,"&gt;="&amp;StartDate,Email!$B$2:$B$150,"&lt;="&amp;EndDate,Email!$C$2:$C$150,"*")/SUMIFS(Email!$F$2:$F$150,Email!$B$2:$B$150,"&gt;="&amp;StartDate,Email!$B$2:$B$150,"&lt;="&amp;EndDate,Email!$C$2:$C$150,"*"),"n.a.")</f>
        <v/>
      </c>
      <c r="G42" s="30">
        <f>IFERROR(SUMIFS(Email!$N$2:$N$150,Email!$B$2:$B$150,"&gt;="&amp;StartDate,Email!$B$2:$B$150,"&lt;="&amp;EndDate,Email!$C$2:$C$150,"*")/B42,"n.a.")</f>
        <v/>
      </c>
      <c r="H42" s="17">
        <f>SUMIFS(Email!$M$2:$M$150,Email!$B$2:$B$150,"&gt;="&amp;StartDate,Email!$B$2:$B$150,"&lt;="&amp;EndDate,Email!$C$2:$C$150,"*")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conditionalFormatting sqref="B20">
    <cfRule type="cellIs" priority="1" operator="greaterThan" dxfId="0">
      <formula>0.02</formula>
    </cfRule>
  </conditionalFormatting>
  <conditionalFormatting sqref="B21">
    <cfRule type="cellIs" priority="2" operator="greaterThan" dxfId="0">
      <formula>0.001</formula>
    </cfRule>
  </conditionalFormatting>
  <conditionalFormatting sqref="B30:B32">
    <cfRule type="dataBar" priority="3">
      <dataBar showValue="1">
        <cfvo type="num" val="0"/>
        <cfvo type="max"/>
        <color rgb="002A78D6"/>
      </dataBar>
    </cfRule>
  </conditionalFormatting>
  <conditionalFormatting sqref="E30:E32">
    <cfRule type="colorScale" priority="4">
      <colorScale>
        <cfvo type="min"/>
        <cfvo type="max"/>
        <color rgb="00DDF0E2"/>
        <color rgb="00F9DADA"/>
      </colorScale>
    </cfRule>
  </conditionalFormatting>
  <conditionalFormatting sqref="G30:G32">
    <cfRule type="colorScale" priority="5">
      <colorScale>
        <cfvo type="min"/>
        <cfvo type="max"/>
        <color rgb="00DDF0E2"/>
        <color rgb="00F9DADA"/>
      </colorScale>
    </cfRule>
  </conditionalFormatting>
  <conditionalFormatting sqref="I30:I32">
    <cfRule type="colorScale" priority="6">
      <colorScale>
        <cfvo type="min"/>
        <cfvo type="max"/>
        <color rgb="00DDF0E2"/>
        <color rgb="00F9DADA"/>
      </colorScale>
    </cfRule>
  </conditionalFormatting>
  <conditionalFormatting sqref="F38:F42">
    <cfRule type="cellIs" priority="7" operator="greaterThan" dxfId="0">
      <formula>0.02</formula>
    </cfRule>
  </conditionalFormatting>
  <conditionalFormatting sqref="G38:G42">
    <cfRule type="cellIs" priority="8" operator="greaterThan" dxfId="0">
      <formula>0.001</formula>
    </cfRule>
  </conditionalFormatting>
  <pageMargins left="0.75" right="0.75" top="1" bottom="1" header="0.5" footer="0.5"/>
  <pageSetup orientation="landscape" fitToHeight="0" fitToWidth="1"/>
  <headerFooter>
    <oddHeader/>
    <oddFooter>&amp;LGrowthOps OS · synthetic data&amp;R&amp;A ·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2A78D6"/>
    <outlinePr summaryBelow="1" summaryRight="1"/>
    <pageSetUpPr fitToPage="1"/>
  </sheetPr>
  <dimension ref="A1:J3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9" customWidth="1" min="3" max="3"/>
    <col width="11" customWidth="1" min="4" max="4"/>
    <col width="10" customWidth="1" min="5" max="5"/>
    <col width="14" customWidth="1" min="6" max="6"/>
    <col width="12" customWidth="1" min="7" max="7"/>
    <col width="12" customWidth="1" min="8" max="8"/>
    <col width="14" customWidth="1" min="9" max="9"/>
    <col width="13" customWidth="1" min="10" max="10"/>
  </cols>
  <sheetData>
    <row r="1">
      <c r="A1" s="23" t="inlineStr">
        <is>
          <t>Weekly trends: 26 weeks to the selected end date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Weeks start Monday. Paid columns follow the platform filter, email columns the email-type filter; net cash is every channel, on event date. Red: CPL 25%+ above its prior 8-week average.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28">
        <f>"Paid platform: "&amp;PaidPlatform&amp;" · email type: "&amp;EmailType</f>
        <v/>
      </c>
    </row>
    <row r="5" ht="30" customHeight="1">
      <c r="A5" s="32" t="inlineStr">
        <is>
          <t>Week start</t>
        </is>
      </c>
      <c r="B5" s="32" t="inlineStr">
        <is>
          <t>Spend (USD)</t>
        </is>
      </c>
      <c r="C5" s="32" t="inlineStr">
        <is>
          <t>Leads</t>
        </is>
      </c>
      <c r="D5" s="32" t="inlineStr">
        <is>
          <t>CPL (USD)</t>
        </is>
      </c>
      <c r="E5" s="32" t="inlineStr">
        <is>
          <t>Calls booked</t>
        </is>
      </c>
      <c r="F5" s="32" t="inlineStr">
        <is>
          <t>Cost per booked call (USD)</t>
        </is>
      </c>
      <c r="G5" s="32" t="inlineStr">
        <is>
          <t>Emails delivered</t>
        </is>
      </c>
      <c r="H5" s="32" t="inlineStr">
        <is>
          <t>Human open rate</t>
        </is>
      </c>
      <c r="I5" s="32" t="inlineStr">
        <is>
          <t>Net cash (USD)</t>
        </is>
      </c>
      <c r="J5" s="32" t="inlineStr">
        <is>
          <t>CPL vs prior 8 weeks</t>
        </is>
      </c>
    </row>
    <row r="6">
      <c r="A6" s="5">
        <f>EndDate-WEEKDAY(EndDate,3)-7*25</f>
        <v/>
      </c>
      <c r="B6" s="15">
        <f>SUMIFS('Paid daily'!$D$2:$D$2479,'Paid daily'!$A$2:$A$2479,"&gt;="&amp;$A6,'Paid daily'!$A$2:$A$2479,"&lt;="&amp;($A6+6),'Paid daily'!$C$2:$C$2479,PlatformCriteria)/100</f>
        <v/>
      </c>
      <c r="C6" s="17">
        <f>SUMIFS('Paid daily'!$G$2:$G$2479,'Paid daily'!$A$2:$A$2479,"&gt;="&amp;$A6,'Paid daily'!$A$2:$A$2479,"&lt;="&amp;($A6+6),'Paid daily'!$C$2:$C$2479,PlatformCriteria)</f>
        <v/>
      </c>
      <c r="D6" s="18">
        <f>IFERROR(B6/C6,"n.a.")</f>
        <v/>
      </c>
      <c r="E6" s="17">
        <f>SUMIFS('Paid daily'!$I$2:$I$2479,'Paid daily'!$A$2:$A$2479,"&gt;="&amp;$A6,'Paid daily'!$A$2:$A$2479,"&lt;="&amp;($A6+6),'Paid daily'!$C$2:$C$2479,PlatformCriteria)</f>
        <v/>
      </c>
      <c r="F6" s="18">
        <f>IFERROR(B6/E6,"n.a.")</f>
        <v/>
      </c>
      <c r="G6" s="17">
        <f>SUMIFS(Email!$G$2:$G$150,Email!$B$2:$B$150,"&gt;="&amp;$A6,Email!$B$2:$B$150,"&lt;="&amp;($A6+6),Email!$C$2:$C$150,EmailTypeCriteria)</f>
        <v/>
      </c>
      <c r="H6" s="22">
        <f>IFERROR(SUMIFS(Email!$K$2:$K$150,Email!$B$2:$B$150,"&gt;="&amp;$A6,Email!$B$2:$B$150,"&lt;="&amp;($A6+6),Email!$C$2:$C$150,EmailTypeCriteria)/G6,"n.a.")</f>
        <v/>
      </c>
      <c r="I6" s="15">
        <f>SUMIFS(Daily!$J$2:$J$453,Daily!$A$2:$A$453,"&gt;="&amp;$A6,Daily!$A$2:$A$453,"&lt;="&amp;($A6+6))/100</f>
        <v/>
      </c>
      <c r="J6" s="27">
        <f>"baseline"</f>
        <v/>
      </c>
    </row>
    <row r="7">
      <c r="A7" s="5">
        <f>EndDate-WEEKDAY(EndDate,3)-7*24</f>
        <v/>
      </c>
      <c r="B7" s="15">
        <f>SUMIFS('Paid daily'!$D$2:$D$2479,'Paid daily'!$A$2:$A$2479,"&gt;="&amp;$A7,'Paid daily'!$A$2:$A$2479,"&lt;="&amp;($A7+6),'Paid daily'!$C$2:$C$2479,PlatformCriteria)/100</f>
        <v/>
      </c>
      <c r="C7" s="17">
        <f>SUMIFS('Paid daily'!$G$2:$G$2479,'Paid daily'!$A$2:$A$2479,"&gt;="&amp;$A7,'Paid daily'!$A$2:$A$2479,"&lt;="&amp;($A7+6),'Paid daily'!$C$2:$C$2479,PlatformCriteria)</f>
        <v/>
      </c>
      <c r="D7" s="18">
        <f>IFERROR(B7/C7,"n.a.")</f>
        <v/>
      </c>
      <c r="E7" s="17">
        <f>SUMIFS('Paid daily'!$I$2:$I$2479,'Paid daily'!$A$2:$A$2479,"&gt;="&amp;$A7,'Paid daily'!$A$2:$A$2479,"&lt;="&amp;($A7+6),'Paid daily'!$C$2:$C$2479,PlatformCriteria)</f>
        <v/>
      </c>
      <c r="F7" s="18">
        <f>IFERROR(B7/E7,"n.a.")</f>
        <v/>
      </c>
      <c r="G7" s="17">
        <f>SUMIFS(Email!$G$2:$G$150,Email!$B$2:$B$150,"&gt;="&amp;$A7,Email!$B$2:$B$150,"&lt;="&amp;($A7+6),Email!$C$2:$C$150,EmailTypeCriteria)</f>
        <v/>
      </c>
      <c r="H7" s="22">
        <f>IFERROR(SUMIFS(Email!$K$2:$K$150,Email!$B$2:$B$150,"&gt;="&amp;$A7,Email!$B$2:$B$150,"&lt;="&amp;($A7+6),Email!$C$2:$C$150,EmailTypeCriteria)/G7,"n.a.")</f>
        <v/>
      </c>
      <c r="I7" s="15">
        <f>SUMIFS(Daily!$J$2:$J$453,Daily!$A$2:$A$453,"&gt;="&amp;$A7,Daily!$A$2:$A$453,"&lt;="&amp;($A7+6))/100</f>
        <v/>
      </c>
      <c r="J7" s="27">
        <f>"baseline"</f>
        <v/>
      </c>
    </row>
    <row r="8">
      <c r="A8" s="5">
        <f>EndDate-WEEKDAY(EndDate,3)-7*23</f>
        <v/>
      </c>
      <c r="B8" s="15">
        <f>SUMIFS('Paid daily'!$D$2:$D$2479,'Paid daily'!$A$2:$A$2479,"&gt;="&amp;$A8,'Paid daily'!$A$2:$A$2479,"&lt;="&amp;($A8+6),'Paid daily'!$C$2:$C$2479,PlatformCriteria)/100</f>
        <v/>
      </c>
      <c r="C8" s="17">
        <f>SUMIFS('Paid daily'!$G$2:$G$2479,'Paid daily'!$A$2:$A$2479,"&gt;="&amp;$A8,'Paid daily'!$A$2:$A$2479,"&lt;="&amp;($A8+6),'Paid daily'!$C$2:$C$2479,PlatformCriteria)</f>
        <v/>
      </c>
      <c r="D8" s="18">
        <f>IFERROR(B8/C8,"n.a.")</f>
        <v/>
      </c>
      <c r="E8" s="17">
        <f>SUMIFS('Paid daily'!$I$2:$I$2479,'Paid daily'!$A$2:$A$2479,"&gt;="&amp;$A8,'Paid daily'!$A$2:$A$2479,"&lt;="&amp;($A8+6),'Paid daily'!$C$2:$C$2479,PlatformCriteria)</f>
        <v/>
      </c>
      <c r="F8" s="18">
        <f>IFERROR(B8/E8,"n.a.")</f>
        <v/>
      </c>
      <c r="G8" s="17">
        <f>SUMIFS(Email!$G$2:$G$150,Email!$B$2:$B$150,"&gt;="&amp;$A8,Email!$B$2:$B$150,"&lt;="&amp;($A8+6),Email!$C$2:$C$150,EmailTypeCriteria)</f>
        <v/>
      </c>
      <c r="H8" s="22">
        <f>IFERROR(SUMIFS(Email!$K$2:$K$150,Email!$B$2:$B$150,"&gt;="&amp;$A8,Email!$B$2:$B$150,"&lt;="&amp;($A8+6),Email!$C$2:$C$150,EmailTypeCriteria)/G8,"n.a.")</f>
        <v/>
      </c>
      <c r="I8" s="15">
        <f>SUMIFS(Daily!$J$2:$J$453,Daily!$A$2:$A$453,"&gt;="&amp;$A8,Daily!$A$2:$A$453,"&lt;="&amp;($A8+6))/100</f>
        <v/>
      </c>
      <c r="J8" s="27">
        <f>"baseline"</f>
        <v/>
      </c>
    </row>
    <row r="9">
      <c r="A9" s="5">
        <f>EndDate-WEEKDAY(EndDate,3)-7*22</f>
        <v/>
      </c>
      <c r="B9" s="15">
        <f>SUMIFS('Paid daily'!$D$2:$D$2479,'Paid daily'!$A$2:$A$2479,"&gt;="&amp;$A9,'Paid daily'!$A$2:$A$2479,"&lt;="&amp;($A9+6),'Paid daily'!$C$2:$C$2479,PlatformCriteria)/100</f>
        <v/>
      </c>
      <c r="C9" s="17">
        <f>SUMIFS('Paid daily'!$G$2:$G$2479,'Paid daily'!$A$2:$A$2479,"&gt;="&amp;$A9,'Paid daily'!$A$2:$A$2479,"&lt;="&amp;($A9+6),'Paid daily'!$C$2:$C$2479,PlatformCriteria)</f>
        <v/>
      </c>
      <c r="D9" s="18">
        <f>IFERROR(B9/C9,"n.a.")</f>
        <v/>
      </c>
      <c r="E9" s="17">
        <f>SUMIFS('Paid daily'!$I$2:$I$2479,'Paid daily'!$A$2:$A$2479,"&gt;="&amp;$A9,'Paid daily'!$A$2:$A$2479,"&lt;="&amp;($A9+6),'Paid daily'!$C$2:$C$2479,PlatformCriteria)</f>
        <v/>
      </c>
      <c r="F9" s="18">
        <f>IFERROR(B9/E9,"n.a.")</f>
        <v/>
      </c>
      <c r="G9" s="17">
        <f>SUMIFS(Email!$G$2:$G$150,Email!$B$2:$B$150,"&gt;="&amp;$A9,Email!$B$2:$B$150,"&lt;="&amp;($A9+6),Email!$C$2:$C$150,EmailTypeCriteria)</f>
        <v/>
      </c>
      <c r="H9" s="22">
        <f>IFERROR(SUMIFS(Email!$K$2:$K$150,Email!$B$2:$B$150,"&gt;="&amp;$A9,Email!$B$2:$B$150,"&lt;="&amp;($A9+6),Email!$C$2:$C$150,EmailTypeCriteria)/G9,"n.a.")</f>
        <v/>
      </c>
      <c r="I9" s="15">
        <f>SUMIFS(Daily!$J$2:$J$453,Daily!$A$2:$A$453,"&gt;="&amp;$A9,Daily!$A$2:$A$453,"&lt;="&amp;($A9+6))/100</f>
        <v/>
      </c>
      <c r="J9" s="27">
        <f>"baseline"</f>
        <v/>
      </c>
    </row>
    <row r="10">
      <c r="A10" s="5">
        <f>EndDate-WEEKDAY(EndDate,3)-7*21</f>
        <v/>
      </c>
      <c r="B10" s="15">
        <f>SUMIFS('Paid daily'!$D$2:$D$2479,'Paid daily'!$A$2:$A$2479,"&gt;="&amp;$A10,'Paid daily'!$A$2:$A$2479,"&lt;="&amp;($A10+6),'Paid daily'!$C$2:$C$2479,PlatformCriteria)/100</f>
        <v/>
      </c>
      <c r="C10" s="17">
        <f>SUMIFS('Paid daily'!$G$2:$G$2479,'Paid daily'!$A$2:$A$2479,"&gt;="&amp;$A10,'Paid daily'!$A$2:$A$2479,"&lt;="&amp;($A10+6),'Paid daily'!$C$2:$C$2479,PlatformCriteria)</f>
        <v/>
      </c>
      <c r="D10" s="18">
        <f>IFERROR(B10/C10,"n.a.")</f>
        <v/>
      </c>
      <c r="E10" s="17">
        <f>SUMIFS('Paid daily'!$I$2:$I$2479,'Paid daily'!$A$2:$A$2479,"&gt;="&amp;$A10,'Paid daily'!$A$2:$A$2479,"&lt;="&amp;($A10+6),'Paid daily'!$C$2:$C$2479,PlatformCriteria)</f>
        <v/>
      </c>
      <c r="F10" s="18">
        <f>IFERROR(B10/E10,"n.a.")</f>
        <v/>
      </c>
      <c r="G10" s="17">
        <f>SUMIFS(Email!$G$2:$G$150,Email!$B$2:$B$150,"&gt;="&amp;$A10,Email!$B$2:$B$150,"&lt;="&amp;($A10+6),Email!$C$2:$C$150,EmailTypeCriteria)</f>
        <v/>
      </c>
      <c r="H10" s="22">
        <f>IFERROR(SUMIFS(Email!$K$2:$K$150,Email!$B$2:$B$150,"&gt;="&amp;$A10,Email!$B$2:$B$150,"&lt;="&amp;($A10+6),Email!$C$2:$C$150,EmailTypeCriteria)/G10,"n.a.")</f>
        <v/>
      </c>
      <c r="I10" s="15">
        <f>SUMIFS(Daily!$J$2:$J$453,Daily!$A$2:$A$453,"&gt;="&amp;$A10,Daily!$A$2:$A$453,"&lt;="&amp;($A10+6))/100</f>
        <v/>
      </c>
      <c r="J10" s="27">
        <f>"baseline"</f>
        <v/>
      </c>
    </row>
    <row r="11">
      <c r="A11" s="5">
        <f>EndDate-WEEKDAY(EndDate,3)-7*20</f>
        <v/>
      </c>
      <c r="B11" s="15">
        <f>SUMIFS('Paid daily'!$D$2:$D$2479,'Paid daily'!$A$2:$A$2479,"&gt;="&amp;$A11,'Paid daily'!$A$2:$A$2479,"&lt;="&amp;($A11+6),'Paid daily'!$C$2:$C$2479,PlatformCriteria)/100</f>
        <v/>
      </c>
      <c r="C11" s="17">
        <f>SUMIFS('Paid daily'!$G$2:$G$2479,'Paid daily'!$A$2:$A$2479,"&gt;="&amp;$A11,'Paid daily'!$A$2:$A$2479,"&lt;="&amp;($A11+6),'Paid daily'!$C$2:$C$2479,PlatformCriteria)</f>
        <v/>
      </c>
      <c r="D11" s="18">
        <f>IFERROR(B11/C11,"n.a.")</f>
        <v/>
      </c>
      <c r="E11" s="17">
        <f>SUMIFS('Paid daily'!$I$2:$I$2479,'Paid daily'!$A$2:$A$2479,"&gt;="&amp;$A11,'Paid daily'!$A$2:$A$2479,"&lt;="&amp;($A11+6),'Paid daily'!$C$2:$C$2479,PlatformCriteria)</f>
        <v/>
      </c>
      <c r="F11" s="18">
        <f>IFERROR(B11/E11,"n.a.")</f>
        <v/>
      </c>
      <c r="G11" s="17">
        <f>SUMIFS(Email!$G$2:$G$150,Email!$B$2:$B$150,"&gt;="&amp;$A11,Email!$B$2:$B$150,"&lt;="&amp;($A11+6),Email!$C$2:$C$150,EmailTypeCriteria)</f>
        <v/>
      </c>
      <c r="H11" s="22">
        <f>IFERROR(SUMIFS(Email!$K$2:$K$150,Email!$B$2:$B$150,"&gt;="&amp;$A11,Email!$B$2:$B$150,"&lt;="&amp;($A11+6),Email!$C$2:$C$150,EmailTypeCriteria)/G11,"n.a.")</f>
        <v/>
      </c>
      <c r="I11" s="15">
        <f>SUMIFS(Daily!$J$2:$J$453,Daily!$A$2:$A$453,"&gt;="&amp;$A11,Daily!$A$2:$A$453,"&lt;="&amp;($A11+6))/100</f>
        <v/>
      </c>
      <c r="J11" s="27">
        <f>"baseline"</f>
        <v/>
      </c>
    </row>
    <row r="12">
      <c r="A12" s="5">
        <f>EndDate-WEEKDAY(EndDate,3)-7*19</f>
        <v/>
      </c>
      <c r="B12" s="15">
        <f>SUMIFS('Paid daily'!$D$2:$D$2479,'Paid daily'!$A$2:$A$2479,"&gt;="&amp;$A12,'Paid daily'!$A$2:$A$2479,"&lt;="&amp;($A12+6),'Paid daily'!$C$2:$C$2479,PlatformCriteria)/100</f>
        <v/>
      </c>
      <c r="C12" s="17">
        <f>SUMIFS('Paid daily'!$G$2:$G$2479,'Paid daily'!$A$2:$A$2479,"&gt;="&amp;$A12,'Paid daily'!$A$2:$A$2479,"&lt;="&amp;($A12+6),'Paid daily'!$C$2:$C$2479,PlatformCriteria)</f>
        <v/>
      </c>
      <c r="D12" s="18">
        <f>IFERROR(B12/C12,"n.a.")</f>
        <v/>
      </c>
      <c r="E12" s="17">
        <f>SUMIFS('Paid daily'!$I$2:$I$2479,'Paid daily'!$A$2:$A$2479,"&gt;="&amp;$A12,'Paid daily'!$A$2:$A$2479,"&lt;="&amp;($A12+6),'Paid daily'!$C$2:$C$2479,PlatformCriteria)</f>
        <v/>
      </c>
      <c r="F12" s="18">
        <f>IFERROR(B12/E12,"n.a.")</f>
        <v/>
      </c>
      <c r="G12" s="17">
        <f>SUMIFS(Email!$G$2:$G$150,Email!$B$2:$B$150,"&gt;="&amp;$A12,Email!$B$2:$B$150,"&lt;="&amp;($A12+6),Email!$C$2:$C$150,EmailTypeCriteria)</f>
        <v/>
      </c>
      <c r="H12" s="22">
        <f>IFERROR(SUMIFS(Email!$K$2:$K$150,Email!$B$2:$B$150,"&gt;="&amp;$A12,Email!$B$2:$B$150,"&lt;="&amp;($A12+6),Email!$C$2:$C$150,EmailTypeCriteria)/G12,"n.a.")</f>
        <v/>
      </c>
      <c r="I12" s="15">
        <f>SUMIFS(Daily!$J$2:$J$453,Daily!$A$2:$A$453,"&gt;="&amp;$A12,Daily!$A$2:$A$453,"&lt;="&amp;($A12+6))/100</f>
        <v/>
      </c>
      <c r="J12" s="27">
        <f>"baseline"</f>
        <v/>
      </c>
    </row>
    <row r="13">
      <c r="A13" s="5">
        <f>EndDate-WEEKDAY(EndDate,3)-7*18</f>
        <v/>
      </c>
      <c r="B13" s="15">
        <f>SUMIFS('Paid daily'!$D$2:$D$2479,'Paid daily'!$A$2:$A$2479,"&gt;="&amp;$A13,'Paid daily'!$A$2:$A$2479,"&lt;="&amp;($A13+6),'Paid daily'!$C$2:$C$2479,PlatformCriteria)/100</f>
        <v/>
      </c>
      <c r="C13" s="17">
        <f>SUMIFS('Paid daily'!$G$2:$G$2479,'Paid daily'!$A$2:$A$2479,"&gt;="&amp;$A13,'Paid daily'!$A$2:$A$2479,"&lt;="&amp;($A13+6),'Paid daily'!$C$2:$C$2479,PlatformCriteria)</f>
        <v/>
      </c>
      <c r="D13" s="18">
        <f>IFERROR(B13/C13,"n.a.")</f>
        <v/>
      </c>
      <c r="E13" s="17">
        <f>SUMIFS('Paid daily'!$I$2:$I$2479,'Paid daily'!$A$2:$A$2479,"&gt;="&amp;$A13,'Paid daily'!$A$2:$A$2479,"&lt;="&amp;($A13+6),'Paid daily'!$C$2:$C$2479,PlatformCriteria)</f>
        <v/>
      </c>
      <c r="F13" s="18">
        <f>IFERROR(B13/E13,"n.a.")</f>
        <v/>
      </c>
      <c r="G13" s="17">
        <f>SUMIFS(Email!$G$2:$G$150,Email!$B$2:$B$150,"&gt;="&amp;$A13,Email!$B$2:$B$150,"&lt;="&amp;($A13+6),Email!$C$2:$C$150,EmailTypeCriteria)</f>
        <v/>
      </c>
      <c r="H13" s="22">
        <f>IFERROR(SUMIFS(Email!$K$2:$K$150,Email!$B$2:$B$150,"&gt;="&amp;$A13,Email!$B$2:$B$150,"&lt;="&amp;($A13+6),Email!$C$2:$C$150,EmailTypeCriteria)/G13,"n.a.")</f>
        <v/>
      </c>
      <c r="I13" s="15">
        <f>SUMIFS(Daily!$J$2:$J$453,Daily!$A$2:$A$453,"&gt;="&amp;$A13,Daily!$A$2:$A$453,"&lt;="&amp;($A13+6))/100</f>
        <v/>
      </c>
      <c r="J13" s="27">
        <f>"baseline"</f>
        <v/>
      </c>
    </row>
    <row r="14">
      <c r="A14" s="5">
        <f>EndDate-WEEKDAY(EndDate,3)-7*17</f>
        <v/>
      </c>
      <c r="B14" s="15">
        <f>SUMIFS('Paid daily'!$D$2:$D$2479,'Paid daily'!$A$2:$A$2479,"&gt;="&amp;$A14,'Paid daily'!$A$2:$A$2479,"&lt;="&amp;($A14+6),'Paid daily'!$C$2:$C$2479,PlatformCriteria)/100</f>
        <v/>
      </c>
      <c r="C14" s="17">
        <f>SUMIFS('Paid daily'!$G$2:$G$2479,'Paid daily'!$A$2:$A$2479,"&gt;="&amp;$A14,'Paid daily'!$A$2:$A$2479,"&lt;="&amp;($A14+6),'Paid daily'!$C$2:$C$2479,PlatformCriteria)</f>
        <v/>
      </c>
      <c r="D14" s="18">
        <f>IFERROR(B14/C14,"n.a.")</f>
        <v/>
      </c>
      <c r="E14" s="17">
        <f>SUMIFS('Paid daily'!$I$2:$I$2479,'Paid daily'!$A$2:$A$2479,"&gt;="&amp;$A14,'Paid daily'!$A$2:$A$2479,"&lt;="&amp;($A14+6),'Paid daily'!$C$2:$C$2479,PlatformCriteria)</f>
        <v/>
      </c>
      <c r="F14" s="18">
        <f>IFERROR(B14/E14,"n.a.")</f>
        <v/>
      </c>
      <c r="G14" s="17">
        <f>SUMIFS(Email!$G$2:$G$150,Email!$B$2:$B$150,"&gt;="&amp;$A14,Email!$B$2:$B$150,"&lt;="&amp;($A14+6),Email!$C$2:$C$150,EmailTypeCriteria)</f>
        <v/>
      </c>
      <c r="H14" s="22">
        <f>IFERROR(SUMIFS(Email!$K$2:$K$150,Email!$B$2:$B$150,"&gt;="&amp;$A14,Email!$B$2:$B$150,"&lt;="&amp;($A14+6),Email!$C$2:$C$150,EmailTypeCriteria)/G14,"n.a.")</f>
        <v/>
      </c>
      <c r="I14" s="15">
        <f>SUMIFS(Daily!$J$2:$J$453,Daily!$A$2:$A$453,"&gt;="&amp;$A14,Daily!$A$2:$A$453,"&lt;="&amp;($A14+6))/100</f>
        <v/>
      </c>
      <c r="J14" s="27">
        <f>IFERROR(D14/AVERAGE(D6:D13)-1,"n.a.")</f>
        <v/>
      </c>
    </row>
    <row r="15">
      <c r="A15" s="5">
        <f>EndDate-WEEKDAY(EndDate,3)-7*16</f>
        <v/>
      </c>
      <c r="B15" s="15">
        <f>SUMIFS('Paid daily'!$D$2:$D$2479,'Paid daily'!$A$2:$A$2479,"&gt;="&amp;$A15,'Paid daily'!$A$2:$A$2479,"&lt;="&amp;($A15+6),'Paid daily'!$C$2:$C$2479,PlatformCriteria)/100</f>
        <v/>
      </c>
      <c r="C15" s="17">
        <f>SUMIFS('Paid daily'!$G$2:$G$2479,'Paid daily'!$A$2:$A$2479,"&gt;="&amp;$A15,'Paid daily'!$A$2:$A$2479,"&lt;="&amp;($A15+6),'Paid daily'!$C$2:$C$2479,PlatformCriteria)</f>
        <v/>
      </c>
      <c r="D15" s="18">
        <f>IFERROR(B15/C15,"n.a.")</f>
        <v/>
      </c>
      <c r="E15" s="17">
        <f>SUMIFS('Paid daily'!$I$2:$I$2479,'Paid daily'!$A$2:$A$2479,"&gt;="&amp;$A15,'Paid daily'!$A$2:$A$2479,"&lt;="&amp;($A15+6),'Paid daily'!$C$2:$C$2479,PlatformCriteria)</f>
        <v/>
      </c>
      <c r="F15" s="18">
        <f>IFERROR(B15/E15,"n.a.")</f>
        <v/>
      </c>
      <c r="G15" s="17">
        <f>SUMIFS(Email!$G$2:$G$150,Email!$B$2:$B$150,"&gt;="&amp;$A15,Email!$B$2:$B$150,"&lt;="&amp;($A15+6),Email!$C$2:$C$150,EmailTypeCriteria)</f>
        <v/>
      </c>
      <c r="H15" s="22">
        <f>IFERROR(SUMIFS(Email!$K$2:$K$150,Email!$B$2:$B$150,"&gt;="&amp;$A15,Email!$B$2:$B$150,"&lt;="&amp;($A15+6),Email!$C$2:$C$150,EmailTypeCriteria)/G15,"n.a.")</f>
        <v/>
      </c>
      <c r="I15" s="15">
        <f>SUMIFS(Daily!$J$2:$J$453,Daily!$A$2:$A$453,"&gt;="&amp;$A15,Daily!$A$2:$A$453,"&lt;="&amp;($A15+6))/100</f>
        <v/>
      </c>
      <c r="J15" s="27">
        <f>IFERROR(D15/AVERAGE(D7:D14)-1,"n.a.")</f>
        <v/>
      </c>
    </row>
    <row r="16">
      <c r="A16" s="5">
        <f>EndDate-WEEKDAY(EndDate,3)-7*15</f>
        <v/>
      </c>
      <c r="B16" s="15">
        <f>SUMIFS('Paid daily'!$D$2:$D$2479,'Paid daily'!$A$2:$A$2479,"&gt;="&amp;$A16,'Paid daily'!$A$2:$A$2479,"&lt;="&amp;($A16+6),'Paid daily'!$C$2:$C$2479,PlatformCriteria)/100</f>
        <v/>
      </c>
      <c r="C16" s="17">
        <f>SUMIFS('Paid daily'!$G$2:$G$2479,'Paid daily'!$A$2:$A$2479,"&gt;="&amp;$A16,'Paid daily'!$A$2:$A$2479,"&lt;="&amp;($A16+6),'Paid daily'!$C$2:$C$2479,PlatformCriteria)</f>
        <v/>
      </c>
      <c r="D16" s="18">
        <f>IFERROR(B16/C16,"n.a.")</f>
        <v/>
      </c>
      <c r="E16" s="17">
        <f>SUMIFS('Paid daily'!$I$2:$I$2479,'Paid daily'!$A$2:$A$2479,"&gt;="&amp;$A16,'Paid daily'!$A$2:$A$2479,"&lt;="&amp;($A16+6),'Paid daily'!$C$2:$C$2479,PlatformCriteria)</f>
        <v/>
      </c>
      <c r="F16" s="18">
        <f>IFERROR(B16/E16,"n.a.")</f>
        <v/>
      </c>
      <c r="G16" s="17">
        <f>SUMIFS(Email!$G$2:$G$150,Email!$B$2:$B$150,"&gt;="&amp;$A16,Email!$B$2:$B$150,"&lt;="&amp;($A16+6),Email!$C$2:$C$150,EmailTypeCriteria)</f>
        <v/>
      </c>
      <c r="H16" s="22">
        <f>IFERROR(SUMIFS(Email!$K$2:$K$150,Email!$B$2:$B$150,"&gt;="&amp;$A16,Email!$B$2:$B$150,"&lt;="&amp;($A16+6),Email!$C$2:$C$150,EmailTypeCriteria)/G16,"n.a.")</f>
        <v/>
      </c>
      <c r="I16" s="15">
        <f>SUMIFS(Daily!$J$2:$J$453,Daily!$A$2:$A$453,"&gt;="&amp;$A16,Daily!$A$2:$A$453,"&lt;="&amp;($A16+6))/100</f>
        <v/>
      </c>
      <c r="J16" s="27">
        <f>IFERROR(D16/AVERAGE(D8:D15)-1,"n.a.")</f>
        <v/>
      </c>
    </row>
    <row r="17">
      <c r="A17" s="5">
        <f>EndDate-WEEKDAY(EndDate,3)-7*14</f>
        <v/>
      </c>
      <c r="B17" s="15">
        <f>SUMIFS('Paid daily'!$D$2:$D$2479,'Paid daily'!$A$2:$A$2479,"&gt;="&amp;$A17,'Paid daily'!$A$2:$A$2479,"&lt;="&amp;($A17+6),'Paid daily'!$C$2:$C$2479,PlatformCriteria)/100</f>
        <v/>
      </c>
      <c r="C17" s="17">
        <f>SUMIFS('Paid daily'!$G$2:$G$2479,'Paid daily'!$A$2:$A$2479,"&gt;="&amp;$A17,'Paid daily'!$A$2:$A$2479,"&lt;="&amp;($A17+6),'Paid daily'!$C$2:$C$2479,PlatformCriteria)</f>
        <v/>
      </c>
      <c r="D17" s="18">
        <f>IFERROR(B17/C17,"n.a.")</f>
        <v/>
      </c>
      <c r="E17" s="17">
        <f>SUMIFS('Paid daily'!$I$2:$I$2479,'Paid daily'!$A$2:$A$2479,"&gt;="&amp;$A17,'Paid daily'!$A$2:$A$2479,"&lt;="&amp;($A17+6),'Paid daily'!$C$2:$C$2479,PlatformCriteria)</f>
        <v/>
      </c>
      <c r="F17" s="18">
        <f>IFERROR(B17/E17,"n.a.")</f>
        <v/>
      </c>
      <c r="G17" s="17">
        <f>SUMIFS(Email!$G$2:$G$150,Email!$B$2:$B$150,"&gt;="&amp;$A17,Email!$B$2:$B$150,"&lt;="&amp;($A17+6),Email!$C$2:$C$150,EmailTypeCriteria)</f>
        <v/>
      </c>
      <c r="H17" s="22">
        <f>IFERROR(SUMIFS(Email!$K$2:$K$150,Email!$B$2:$B$150,"&gt;="&amp;$A17,Email!$B$2:$B$150,"&lt;="&amp;($A17+6),Email!$C$2:$C$150,EmailTypeCriteria)/G17,"n.a.")</f>
        <v/>
      </c>
      <c r="I17" s="15">
        <f>SUMIFS(Daily!$J$2:$J$453,Daily!$A$2:$A$453,"&gt;="&amp;$A17,Daily!$A$2:$A$453,"&lt;="&amp;($A17+6))/100</f>
        <v/>
      </c>
      <c r="J17" s="27">
        <f>IFERROR(D17/AVERAGE(D9:D16)-1,"n.a.")</f>
        <v/>
      </c>
    </row>
    <row r="18">
      <c r="A18" s="5">
        <f>EndDate-WEEKDAY(EndDate,3)-7*13</f>
        <v/>
      </c>
      <c r="B18" s="15">
        <f>SUMIFS('Paid daily'!$D$2:$D$2479,'Paid daily'!$A$2:$A$2479,"&gt;="&amp;$A18,'Paid daily'!$A$2:$A$2479,"&lt;="&amp;($A18+6),'Paid daily'!$C$2:$C$2479,PlatformCriteria)/100</f>
        <v/>
      </c>
      <c r="C18" s="17">
        <f>SUMIFS('Paid daily'!$G$2:$G$2479,'Paid daily'!$A$2:$A$2479,"&gt;="&amp;$A18,'Paid daily'!$A$2:$A$2479,"&lt;="&amp;($A18+6),'Paid daily'!$C$2:$C$2479,PlatformCriteria)</f>
        <v/>
      </c>
      <c r="D18" s="18">
        <f>IFERROR(B18/C18,"n.a.")</f>
        <v/>
      </c>
      <c r="E18" s="17">
        <f>SUMIFS('Paid daily'!$I$2:$I$2479,'Paid daily'!$A$2:$A$2479,"&gt;="&amp;$A18,'Paid daily'!$A$2:$A$2479,"&lt;="&amp;($A18+6),'Paid daily'!$C$2:$C$2479,PlatformCriteria)</f>
        <v/>
      </c>
      <c r="F18" s="18">
        <f>IFERROR(B18/E18,"n.a.")</f>
        <v/>
      </c>
      <c r="G18" s="17">
        <f>SUMIFS(Email!$G$2:$G$150,Email!$B$2:$B$150,"&gt;="&amp;$A18,Email!$B$2:$B$150,"&lt;="&amp;($A18+6),Email!$C$2:$C$150,EmailTypeCriteria)</f>
        <v/>
      </c>
      <c r="H18" s="22">
        <f>IFERROR(SUMIFS(Email!$K$2:$K$150,Email!$B$2:$B$150,"&gt;="&amp;$A18,Email!$B$2:$B$150,"&lt;="&amp;($A18+6),Email!$C$2:$C$150,EmailTypeCriteria)/G18,"n.a.")</f>
        <v/>
      </c>
      <c r="I18" s="15">
        <f>SUMIFS(Daily!$J$2:$J$453,Daily!$A$2:$A$453,"&gt;="&amp;$A18,Daily!$A$2:$A$453,"&lt;="&amp;($A18+6))/100</f>
        <v/>
      </c>
      <c r="J18" s="27">
        <f>IFERROR(D18/AVERAGE(D10:D17)-1,"n.a.")</f>
        <v/>
      </c>
    </row>
    <row r="19">
      <c r="A19" s="5">
        <f>EndDate-WEEKDAY(EndDate,3)-7*12</f>
        <v/>
      </c>
      <c r="B19" s="15">
        <f>SUMIFS('Paid daily'!$D$2:$D$2479,'Paid daily'!$A$2:$A$2479,"&gt;="&amp;$A19,'Paid daily'!$A$2:$A$2479,"&lt;="&amp;($A19+6),'Paid daily'!$C$2:$C$2479,PlatformCriteria)/100</f>
        <v/>
      </c>
      <c r="C19" s="17">
        <f>SUMIFS('Paid daily'!$G$2:$G$2479,'Paid daily'!$A$2:$A$2479,"&gt;="&amp;$A19,'Paid daily'!$A$2:$A$2479,"&lt;="&amp;($A19+6),'Paid daily'!$C$2:$C$2479,PlatformCriteria)</f>
        <v/>
      </c>
      <c r="D19" s="18">
        <f>IFERROR(B19/C19,"n.a.")</f>
        <v/>
      </c>
      <c r="E19" s="17">
        <f>SUMIFS('Paid daily'!$I$2:$I$2479,'Paid daily'!$A$2:$A$2479,"&gt;="&amp;$A19,'Paid daily'!$A$2:$A$2479,"&lt;="&amp;($A19+6),'Paid daily'!$C$2:$C$2479,PlatformCriteria)</f>
        <v/>
      </c>
      <c r="F19" s="18">
        <f>IFERROR(B19/E19,"n.a.")</f>
        <v/>
      </c>
      <c r="G19" s="17">
        <f>SUMIFS(Email!$G$2:$G$150,Email!$B$2:$B$150,"&gt;="&amp;$A19,Email!$B$2:$B$150,"&lt;="&amp;($A19+6),Email!$C$2:$C$150,EmailTypeCriteria)</f>
        <v/>
      </c>
      <c r="H19" s="22">
        <f>IFERROR(SUMIFS(Email!$K$2:$K$150,Email!$B$2:$B$150,"&gt;="&amp;$A19,Email!$B$2:$B$150,"&lt;="&amp;($A19+6),Email!$C$2:$C$150,EmailTypeCriteria)/G19,"n.a.")</f>
        <v/>
      </c>
      <c r="I19" s="15">
        <f>SUMIFS(Daily!$J$2:$J$453,Daily!$A$2:$A$453,"&gt;="&amp;$A19,Daily!$A$2:$A$453,"&lt;="&amp;($A19+6))/100</f>
        <v/>
      </c>
      <c r="J19" s="27">
        <f>IFERROR(D19/AVERAGE(D11:D18)-1,"n.a.")</f>
        <v/>
      </c>
    </row>
    <row r="20">
      <c r="A20" s="5">
        <f>EndDate-WEEKDAY(EndDate,3)-7*11</f>
        <v/>
      </c>
      <c r="B20" s="15">
        <f>SUMIFS('Paid daily'!$D$2:$D$2479,'Paid daily'!$A$2:$A$2479,"&gt;="&amp;$A20,'Paid daily'!$A$2:$A$2479,"&lt;="&amp;($A20+6),'Paid daily'!$C$2:$C$2479,PlatformCriteria)/100</f>
        <v/>
      </c>
      <c r="C20" s="17">
        <f>SUMIFS('Paid daily'!$G$2:$G$2479,'Paid daily'!$A$2:$A$2479,"&gt;="&amp;$A20,'Paid daily'!$A$2:$A$2479,"&lt;="&amp;($A20+6),'Paid daily'!$C$2:$C$2479,PlatformCriteria)</f>
        <v/>
      </c>
      <c r="D20" s="18">
        <f>IFERROR(B20/C20,"n.a.")</f>
        <v/>
      </c>
      <c r="E20" s="17">
        <f>SUMIFS('Paid daily'!$I$2:$I$2479,'Paid daily'!$A$2:$A$2479,"&gt;="&amp;$A20,'Paid daily'!$A$2:$A$2479,"&lt;="&amp;($A20+6),'Paid daily'!$C$2:$C$2479,PlatformCriteria)</f>
        <v/>
      </c>
      <c r="F20" s="18">
        <f>IFERROR(B20/E20,"n.a.")</f>
        <v/>
      </c>
      <c r="G20" s="17">
        <f>SUMIFS(Email!$G$2:$G$150,Email!$B$2:$B$150,"&gt;="&amp;$A20,Email!$B$2:$B$150,"&lt;="&amp;($A20+6),Email!$C$2:$C$150,EmailTypeCriteria)</f>
        <v/>
      </c>
      <c r="H20" s="22">
        <f>IFERROR(SUMIFS(Email!$K$2:$K$150,Email!$B$2:$B$150,"&gt;="&amp;$A20,Email!$B$2:$B$150,"&lt;="&amp;($A20+6),Email!$C$2:$C$150,EmailTypeCriteria)/G20,"n.a.")</f>
        <v/>
      </c>
      <c r="I20" s="15">
        <f>SUMIFS(Daily!$J$2:$J$453,Daily!$A$2:$A$453,"&gt;="&amp;$A20,Daily!$A$2:$A$453,"&lt;="&amp;($A20+6))/100</f>
        <v/>
      </c>
      <c r="J20" s="27">
        <f>IFERROR(D20/AVERAGE(D12:D19)-1,"n.a.")</f>
        <v/>
      </c>
    </row>
    <row r="21">
      <c r="A21" s="5">
        <f>EndDate-WEEKDAY(EndDate,3)-7*10</f>
        <v/>
      </c>
      <c r="B21" s="15">
        <f>SUMIFS('Paid daily'!$D$2:$D$2479,'Paid daily'!$A$2:$A$2479,"&gt;="&amp;$A21,'Paid daily'!$A$2:$A$2479,"&lt;="&amp;($A21+6),'Paid daily'!$C$2:$C$2479,PlatformCriteria)/100</f>
        <v/>
      </c>
      <c r="C21" s="17">
        <f>SUMIFS('Paid daily'!$G$2:$G$2479,'Paid daily'!$A$2:$A$2479,"&gt;="&amp;$A21,'Paid daily'!$A$2:$A$2479,"&lt;="&amp;($A21+6),'Paid daily'!$C$2:$C$2479,PlatformCriteria)</f>
        <v/>
      </c>
      <c r="D21" s="18">
        <f>IFERROR(B21/C21,"n.a.")</f>
        <v/>
      </c>
      <c r="E21" s="17">
        <f>SUMIFS('Paid daily'!$I$2:$I$2479,'Paid daily'!$A$2:$A$2479,"&gt;="&amp;$A21,'Paid daily'!$A$2:$A$2479,"&lt;="&amp;($A21+6),'Paid daily'!$C$2:$C$2479,PlatformCriteria)</f>
        <v/>
      </c>
      <c r="F21" s="18">
        <f>IFERROR(B21/E21,"n.a.")</f>
        <v/>
      </c>
      <c r="G21" s="17">
        <f>SUMIFS(Email!$G$2:$G$150,Email!$B$2:$B$150,"&gt;="&amp;$A21,Email!$B$2:$B$150,"&lt;="&amp;($A21+6),Email!$C$2:$C$150,EmailTypeCriteria)</f>
        <v/>
      </c>
      <c r="H21" s="22">
        <f>IFERROR(SUMIFS(Email!$K$2:$K$150,Email!$B$2:$B$150,"&gt;="&amp;$A21,Email!$B$2:$B$150,"&lt;="&amp;($A21+6),Email!$C$2:$C$150,EmailTypeCriteria)/G21,"n.a.")</f>
        <v/>
      </c>
      <c r="I21" s="15">
        <f>SUMIFS(Daily!$J$2:$J$453,Daily!$A$2:$A$453,"&gt;="&amp;$A21,Daily!$A$2:$A$453,"&lt;="&amp;($A21+6))/100</f>
        <v/>
      </c>
      <c r="J21" s="27">
        <f>IFERROR(D21/AVERAGE(D13:D20)-1,"n.a.")</f>
        <v/>
      </c>
    </row>
    <row r="22">
      <c r="A22" s="5">
        <f>EndDate-WEEKDAY(EndDate,3)-7*9</f>
        <v/>
      </c>
      <c r="B22" s="15">
        <f>SUMIFS('Paid daily'!$D$2:$D$2479,'Paid daily'!$A$2:$A$2479,"&gt;="&amp;$A22,'Paid daily'!$A$2:$A$2479,"&lt;="&amp;($A22+6),'Paid daily'!$C$2:$C$2479,PlatformCriteria)/100</f>
        <v/>
      </c>
      <c r="C22" s="17">
        <f>SUMIFS('Paid daily'!$G$2:$G$2479,'Paid daily'!$A$2:$A$2479,"&gt;="&amp;$A22,'Paid daily'!$A$2:$A$2479,"&lt;="&amp;($A22+6),'Paid daily'!$C$2:$C$2479,PlatformCriteria)</f>
        <v/>
      </c>
      <c r="D22" s="18">
        <f>IFERROR(B22/C22,"n.a.")</f>
        <v/>
      </c>
      <c r="E22" s="17">
        <f>SUMIFS('Paid daily'!$I$2:$I$2479,'Paid daily'!$A$2:$A$2479,"&gt;="&amp;$A22,'Paid daily'!$A$2:$A$2479,"&lt;="&amp;($A22+6),'Paid daily'!$C$2:$C$2479,PlatformCriteria)</f>
        <v/>
      </c>
      <c r="F22" s="18">
        <f>IFERROR(B22/E22,"n.a.")</f>
        <v/>
      </c>
      <c r="G22" s="17">
        <f>SUMIFS(Email!$G$2:$G$150,Email!$B$2:$B$150,"&gt;="&amp;$A22,Email!$B$2:$B$150,"&lt;="&amp;($A22+6),Email!$C$2:$C$150,EmailTypeCriteria)</f>
        <v/>
      </c>
      <c r="H22" s="22">
        <f>IFERROR(SUMIFS(Email!$K$2:$K$150,Email!$B$2:$B$150,"&gt;="&amp;$A22,Email!$B$2:$B$150,"&lt;="&amp;($A22+6),Email!$C$2:$C$150,EmailTypeCriteria)/G22,"n.a.")</f>
        <v/>
      </c>
      <c r="I22" s="15">
        <f>SUMIFS(Daily!$J$2:$J$453,Daily!$A$2:$A$453,"&gt;="&amp;$A22,Daily!$A$2:$A$453,"&lt;="&amp;($A22+6))/100</f>
        <v/>
      </c>
      <c r="J22" s="27">
        <f>IFERROR(D22/AVERAGE(D14:D21)-1,"n.a.")</f>
        <v/>
      </c>
    </row>
    <row r="23">
      <c r="A23" s="5">
        <f>EndDate-WEEKDAY(EndDate,3)-7*8</f>
        <v/>
      </c>
      <c r="B23" s="15">
        <f>SUMIFS('Paid daily'!$D$2:$D$2479,'Paid daily'!$A$2:$A$2479,"&gt;="&amp;$A23,'Paid daily'!$A$2:$A$2479,"&lt;="&amp;($A23+6),'Paid daily'!$C$2:$C$2479,PlatformCriteria)/100</f>
        <v/>
      </c>
      <c r="C23" s="17">
        <f>SUMIFS('Paid daily'!$G$2:$G$2479,'Paid daily'!$A$2:$A$2479,"&gt;="&amp;$A23,'Paid daily'!$A$2:$A$2479,"&lt;="&amp;($A23+6),'Paid daily'!$C$2:$C$2479,PlatformCriteria)</f>
        <v/>
      </c>
      <c r="D23" s="18">
        <f>IFERROR(B23/C23,"n.a.")</f>
        <v/>
      </c>
      <c r="E23" s="17">
        <f>SUMIFS('Paid daily'!$I$2:$I$2479,'Paid daily'!$A$2:$A$2479,"&gt;="&amp;$A23,'Paid daily'!$A$2:$A$2479,"&lt;="&amp;($A23+6),'Paid daily'!$C$2:$C$2479,PlatformCriteria)</f>
        <v/>
      </c>
      <c r="F23" s="18">
        <f>IFERROR(B23/E23,"n.a.")</f>
        <v/>
      </c>
      <c r="G23" s="17">
        <f>SUMIFS(Email!$G$2:$G$150,Email!$B$2:$B$150,"&gt;="&amp;$A23,Email!$B$2:$B$150,"&lt;="&amp;($A23+6),Email!$C$2:$C$150,EmailTypeCriteria)</f>
        <v/>
      </c>
      <c r="H23" s="22">
        <f>IFERROR(SUMIFS(Email!$K$2:$K$150,Email!$B$2:$B$150,"&gt;="&amp;$A23,Email!$B$2:$B$150,"&lt;="&amp;($A23+6),Email!$C$2:$C$150,EmailTypeCriteria)/G23,"n.a.")</f>
        <v/>
      </c>
      <c r="I23" s="15">
        <f>SUMIFS(Daily!$J$2:$J$453,Daily!$A$2:$A$453,"&gt;="&amp;$A23,Daily!$A$2:$A$453,"&lt;="&amp;($A23+6))/100</f>
        <v/>
      </c>
      <c r="J23" s="27">
        <f>IFERROR(D23/AVERAGE(D15:D22)-1,"n.a.")</f>
        <v/>
      </c>
    </row>
    <row r="24">
      <c r="A24" s="5">
        <f>EndDate-WEEKDAY(EndDate,3)-7*7</f>
        <v/>
      </c>
      <c r="B24" s="15">
        <f>SUMIFS('Paid daily'!$D$2:$D$2479,'Paid daily'!$A$2:$A$2479,"&gt;="&amp;$A24,'Paid daily'!$A$2:$A$2479,"&lt;="&amp;($A24+6),'Paid daily'!$C$2:$C$2479,PlatformCriteria)/100</f>
        <v/>
      </c>
      <c r="C24" s="17">
        <f>SUMIFS('Paid daily'!$G$2:$G$2479,'Paid daily'!$A$2:$A$2479,"&gt;="&amp;$A24,'Paid daily'!$A$2:$A$2479,"&lt;="&amp;($A24+6),'Paid daily'!$C$2:$C$2479,PlatformCriteria)</f>
        <v/>
      </c>
      <c r="D24" s="18">
        <f>IFERROR(B24/C24,"n.a.")</f>
        <v/>
      </c>
      <c r="E24" s="17">
        <f>SUMIFS('Paid daily'!$I$2:$I$2479,'Paid daily'!$A$2:$A$2479,"&gt;="&amp;$A24,'Paid daily'!$A$2:$A$2479,"&lt;="&amp;($A24+6),'Paid daily'!$C$2:$C$2479,PlatformCriteria)</f>
        <v/>
      </c>
      <c r="F24" s="18">
        <f>IFERROR(B24/E24,"n.a.")</f>
        <v/>
      </c>
      <c r="G24" s="17">
        <f>SUMIFS(Email!$G$2:$G$150,Email!$B$2:$B$150,"&gt;="&amp;$A24,Email!$B$2:$B$150,"&lt;="&amp;($A24+6),Email!$C$2:$C$150,EmailTypeCriteria)</f>
        <v/>
      </c>
      <c r="H24" s="22">
        <f>IFERROR(SUMIFS(Email!$K$2:$K$150,Email!$B$2:$B$150,"&gt;="&amp;$A24,Email!$B$2:$B$150,"&lt;="&amp;($A24+6),Email!$C$2:$C$150,EmailTypeCriteria)/G24,"n.a.")</f>
        <v/>
      </c>
      <c r="I24" s="15">
        <f>SUMIFS(Daily!$J$2:$J$453,Daily!$A$2:$A$453,"&gt;="&amp;$A24,Daily!$A$2:$A$453,"&lt;="&amp;($A24+6))/100</f>
        <v/>
      </c>
      <c r="J24" s="27">
        <f>IFERROR(D24/AVERAGE(D16:D23)-1,"n.a.")</f>
        <v/>
      </c>
    </row>
    <row r="25">
      <c r="A25" s="5">
        <f>EndDate-WEEKDAY(EndDate,3)-7*6</f>
        <v/>
      </c>
      <c r="B25" s="15">
        <f>SUMIFS('Paid daily'!$D$2:$D$2479,'Paid daily'!$A$2:$A$2479,"&gt;="&amp;$A25,'Paid daily'!$A$2:$A$2479,"&lt;="&amp;($A25+6),'Paid daily'!$C$2:$C$2479,PlatformCriteria)/100</f>
        <v/>
      </c>
      <c r="C25" s="17">
        <f>SUMIFS('Paid daily'!$G$2:$G$2479,'Paid daily'!$A$2:$A$2479,"&gt;="&amp;$A25,'Paid daily'!$A$2:$A$2479,"&lt;="&amp;($A25+6),'Paid daily'!$C$2:$C$2479,PlatformCriteria)</f>
        <v/>
      </c>
      <c r="D25" s="18">
        <f>IFERROR(B25/C25,"n.a.")</f>
        <v/>
      </c>
      <c r="E25" s="17">
        <f>SUMIFS('Paid daily'!$I$2:$I$2479,'Paid daily'!$A$2:$A$2479,"&gt;="&amp;$A25,'Paid daily'!$A$2:$A$2479,"&lt;="&amp;($A25+6),'Paid daily'!$C$2:$C$2479,PlatformCriteria)</f>
        <v/>
      </c>
      <c r="F25" s="18">
        <f>IFERROR(B25/E25,"n.a.")</f>
        <v/>
      </c>
      <c r="G25" s="17">
        <f>SUMIFS(Email!$G$2:$G$150,Email!$B$2:$B$150,"&gt;="&amp;$A25,Email!$B$2:$B$150,"&lt;="&amp;($A25+6),Email!$C$2:$C$150,EmailTypeCriteria)</f>
        <v/>
      </c>
      <c r="H25" s="22">
        <f>IFERROR(SUMIFS(Email!$K$2:$K$150,Email!$B$2:$B$150,"&gt;="&amp;$A25,Email!$B$2:$B$150,"&lt;="&amp;($A25+6),Email!$C$2:$C$150,EmailTypeCriteria)/G25,"n.a.")</f>
        <v/>
      </c>
      <c r="I25" s="15">
        <f>SUMIFS(Daily!$J$2:$J$453,Daily!$A$2:$A$453,"&gt;="&amp;$A25,Daily!$A$2:$A$453,"&lt;="&amp;($A25+6))/100</f>
        <v/>
      </c>
      <c r="J25" s="27">
        <f>IFERROR(D25/AVERAGE(D17:D24)-1,"n.a.")</f>
        <v/>
      </c>
    </row>
    <row r="26">
      <c r="A26" s="5">
        <f>EndDate-WEEKDAY(EndDate,3)-7*5</f>
        <v/>
      </c>
      <c r="B26" s="15">
        <f>SUMIFS('Paid daily'!$D$2:$D$2479,'Paid daily'!$A$2:$A$2479,"&gt;="&amp;$A26,'Paid daily'!$A$2:$A$2479,"&lt;="&amp;($A26+6),'Paid daily'!$C$2:$C$2479,PlatformCriteria)/100</f>
        <v/>
      </c>
      <c r="C26" s="17">
        <f>SUMIFS('Paid daily'!$G$2:$G$2479,'Paid daily'!$A$2:$A$2479,"&gt;="&amp;$A26,'Paid daily'!$A$2:$A$2479,"&lt;="&amp;($A26+6),'Paid daily'!$C$2:$C$2479,PlatformCriteria)</f>
        <v/>
      </c>
      <c r="D26" s="18">
        <f>IFERROR(B26/C26,"n.a.")</f>
        <v/>
      </c>
      <c r="E26" s="17">
        <f>SUMIFS('Paid daily'!$I$2:$I$2479,'Paid daily'!$A$2:$A$2479,"&gt;="&amp;$A26,'Paid daily'!$A$2:$A$2479,"&lt;="&amp;($A26+6),'Paid daily'!$C$2:$C$2479,PlatformCriteria)</f>
        <v/>
      </c>
      <c r="F26" s="18">
        <f>IFERROR(B26/E26,"n.a.")</f>
        <v/>
      </c>
      <c r="G26" s="17">
        <f>SUMIFS(Email!$G$2:$G$150,Email!$B$2:$B$150,"&gt;="&amp;$A26,Email!$B$2:$B$150,"&lt;="&amp;($A26+6),Email!$C$2:$C$150,EmailTypeCriteria)</f>
        <v/>
      </c>
      <c r="H26" s="22">
        <f>IFERROR(SUMIFS(Email!$K$2:$K$150,Email!$B$2:$B$150,"&gt;="&amp;$A26,Email!$B$2:$B$150,"&lt;="&amp;($A26+6),Email!$C$2:$C$150,EmailTypeCriteria)/G26,"n.a.")</f>
        <v/>
      </c>
      <c r="I26" s="15">
        <f>SUMIFS(Daily!$J$2:$J$453,Daily!$A$2:$A$453,"&gt;="&amp;$A26,Daily!$A$2:$A$453,"&lt;="&amp;($A26+6))/100</f>
        <v/>
      </c>
      <c r="J26" s="27">
        <f>IFERROR(D26/AVERAGE(D18:D25)-1,"n.a.")</f>
        <v/>
      </c>
    </row>
    <row r="27">
      <c r="A27" s="5">
        <f>EndDate-WEEKDAY(EndDate,3)-7*4</f>
        <v/>
      </c>
      <c r="B27" s="15">
        <f>SUMIFS('Paid daily'!$D$2:$D$2479,'Paid daily'!$A$2:$A$2479,"&gt;="&amp;$A27,'Paid daily'!$A$2:$A$2479,"&lt;="&amp;($A27+6),'Paid daily'!$C$2:$C$2479,PlatformCriteria)/100</f>
        <v/>
      </c>
      <c r="C27" s="17">
        <f>SUMIFS('Paid daily'!$G$2:$G$2479,'Paid daily'!$A$2:$A$2479,"&gt;="&amp;$A27,'Paid daily'!$A$2:$A$2479,"&lt;="&amp;($A27+6),'Paid daily'!$C$2:$C$2479,PlatformCriteria)</f>
        <v/>
      </c>
      <c r="D27" s="18">
        <f>IFERROR(B27/C27,"n.a.")</f>
        <v/>
      </c>
      <c r="E27" s="17">
        <f>SUMIFS('Paid daily'!$I$2:$I$2479,'Paid daily'!$A$2:$A$2479,"&gt;="&amp;$A27,'Paid daily'!$A$2:$A$2479,"&lt;="&amp;($A27+6),'Paid daily'!$C$2:$C$2479,PlatformCriteria)</f>
        <v/>
      </c>
      <c r="F27" s="18">
        <f>IFERROR(B27/E27,"n.a.")</f>
        <v/>
      </c>
      <c r="G27" s="17">
        <f>SUMIFS(Email!$G$2:$G$150,Email!$B$2:$B$150,"&gt;="&amp;$A27,Email!$B$2:$B$150,"&lt;="&amp;($A27+6),Email!$C$2:$C$150,EmailTypeCriteria)</f>
        <v/>
      </c>
      <c r="H27" s="22">
        <f>IFERROR(SUMIFS(Email!$K$2:$K$150,Email!$B$2:$B$150,"&gt;="&amp;$A27,Email!$B$2:$B$150,"&lt;="&amp;($A27+6),Email!$C$2:$C$150,EmailTypeCriteria)/G27,"n.a.")</f>
        <v/>
      </c>
      <c r="I27" s="15">
        <f>SUMIFS(Daily!$J$2:$J$453,Daily!$A$2:$A$453,"&gt;="&amp;$A27,Daily!$A$2:$A$453,"&lt;="&amp;($A27+6))/100</f>
        <v/>
      </c>
      <c r="J27" s="27">
        <f>IFERROR(D27/AVERAGE(D19:D26)-1,"n.a.")</f>
        <v/>
      </c>
    </row>
    <row r="28">
      <c r="A28" s="5">
        <f>EndDate-WEEKDAY(EndDate,3)-7*3</f>
        <v/>
      </c>
      <c r="B28" s="15">
        <f>SUMIFS('Paid daily'!$D$2:$D$2479,'Paid daily'!$A$2:$A$2479,"&gt;="&amp;$A28,'Paid daily'!$A$2:$A$2479,"&lt;="&amp;($A28+6),'Paid daily'!$C$2:$C$2479,PlatformCriteria)/100</f>
        <v/>
      </c>
      <c r="C28" s="17">
        <f>SUMIFS('Paid daily'!$G$2:$G$2479,'Paid daily'!$A$2:$A$2479,"&gt;="&amp;$A28,'Paid daily'!$A$2:$A$2479,"&lt;="&amp;($A28+6),'Paid daily'!$C$2:$C$2479,PlatformCriteria)</f>
        <v/>
      </c>
      <c r="D28" s="18">
        <f>IFERROR(B28/C28,"n.a.")</f>
        <v/>
      </c>
      <c r="E28" s="17">
        <f>SUMIFS('Paid daily'!$I$2:$I$2479,'Paid daily'!$A$2:$A$2479,"&gt;="&amp;$A28,'Paid daily'!$A$2:$A$2479,"&lt;="&amp;($A28+6),'Paid daily'!$C$2:$C$2479,PlatformCriteria)</f>
        <v/>
      </c>
      <c r="F28" s="18">
        <f>IFERROR(B28/E28,"n.a.")</f>
        <v/>
      </c>
      <c r="G28" s="17">
        <f>SUMIFS(Email!$G$2:$G$150,Email!$B$2:$B$150,"&gt;="&amp;$A28,Email!$B$2:$B$150,"&lt;="&amp;($A28+6),Email!$C$2:$C$150,EmailTypeCriteria)</f>
        <v/>
      </c>
      <c r="H28" s="22">
        <f>IFERROR(SUMIFS(Email!$K$2:$K$150,Email!$B$2:$B$150,"&gt;="&amp;$A28,Email!$B$2:$B$150,"&lt;="&amp;($A28+6),Email!$C$2:$C$150,EmailTypeCriteria)/G28,"n.a.")</f>
        <v/>
      </c>
      <c r="I28" s="15">
        <f>SUMIFS(Daily!$J$2:$J$453,Daily!$A$2:$A$453,"&gt;="&amp;$A28,Daily!$A$2:$A$453,"&lt;="&amp;($A28+6))/100</f>
        <v/>
      </c>
      <c r="J28" s="27">
        <f>IFERROR(D28/AVERAGE(D20:D27)-1,"n.a.")</f>
        <v/>
      </c>
    </row>
    <row r="29">
      <c r="A29" s="5">
        <f>EndDate-WEEKDAY(EndDate,3)-7*2</f>
        <v/>
      </c>
      <c r="B29" s="15">
        <f>SUMIFS('Paid daily'!$D$2:$D$2479,'Paid daily'!$A$2:$A$2479,"&gt;="&amp;$A29,'Paid daily'!$A$2:$A$2479,"&lt;="&amp;($A29+6),'Paid daily'!$C$2:$C$2479,PlatformCriteria)/100</f>
        <v/>
      </c>
      <c r="C29" s="17">
        <f>SUMIFS('Paid daily'!$G$2:$G$2479,'Paid daily'!$A$2:$A$2479,"&gt;="&amp;$A29,'Paid daily'!$A$2:$A$2479,"&lt;="&amp;($A29+6),'Paid daily'!$C$2:$C$2479,PlatformCriteria)</f>
        <v/>
      </c>
      <c r="D29" s="18">
        <f>IFERROR(B29/C29,"n.a.")</f>
        <v/>
      </c>
      <c r="E29" s="17">
        <f>SUMIFS('Paid daily'!$I$2:$I$2479,'Paid daily'!$A$2:$A$2479,"&gt;="&amp;$A29,'Paid daily'!$A$2:$A$2479,"&lt;="&amp;($A29+6),'Paid daily'!$C$2:$C$2479,PlatformCriteria)</f>
        <v/>
      </c>
      <c r="F29" s="18">
        <f>IFERROR(B29/E29,"n.a.")</f>
        <v/>
      </c>
      <c r="G29" s="17">
        <f>SUMIFS(Email!$G$2:$G$150,Email!$B$2:$B$150,"&gt;="&amp;$A29,Email!$B$2:$B$150,"&lt;="&amp;($A29+6),Email!$C$2:$C$150,EmailTypeCriteria)</f>
        <v/>
      </c>
      <c r="H29" s="22">
        <f>IFERROR(SUMIFS(Email!$K$2:$K$150,Email!$B$2:$B$150,"&gt;="&amp;$A29,Email!$B$2:$B$150,"&lt;="&amp;($A29+6),Email!$C$2:$C$150,EmailTypeCriteria)/G29,"n.a.")</f>
        <v/>
      </c>
      <c r="I29" s="15">
        <f>SUMIFS(Daily!$J$2:$J$453,Daily!$A$2:$A$453,"&gt;="&amp;$A29,Daily!$A$2:$A$453,"&lt;="&amp;($A29+6))/100</f>
        <v/>
      </c>
      <c r="J29" s="27">
        <f>IFERROR(D29/AVERAGE(D21:D28)-1,"n.a.")</f>
        <v/>
      </c>
    </row>
    <row r="30">
      <c r="A30" s="5">
        <f>EndDate-WEEKDAY(EndDate,3)-7*1</f>
        <v/>
      </c>
      <c r="B30" s="15">
        <f>SUMIFS('Paid daily'!$D$2:$D$2479,'Paid daily'!$A$2:$A$2479,"&gt;="&amp;$A30,'Paid daily'!$A$2:$A$2479,"&lt;="&amp;($A30+6),'Paid daily'!$C$2:$C$2479,PlatformCriteria)/100</f>
        <v/>
      </c>
      <c r="C30" s="17">
        <f>SUMIFS('Paid daily'!$G$2:$G$2479,'Paid daily'!$A$2:$A$2479,"&gt;="&amp;$A30,'Paid daily'!$A$2:$A$2479,"&lt;="&amp;($A30+6),'Paid daily'!$C$2:$C$2479,PlatformCriteria)</f>
        <v/>
      </c>
      <c r="D30" s="18">
        <f>IFERROR(B30/C30,"n.a.")</f>
        <v/>
      </c>
      <c r="E30" s="17">
        <f>SUMIFS('Paid daily'!$I$2:$I$2479,'Paid daily'!$A$2:$A$2479,"&gt;="&amp;$A30,'Paid daily'!$A$2:$A$2479,"&lt;="&amp;($A30+6),'Paid daily'!$C$2:$C$2479,PlatformCriteria)</f>
        <v/>
      </c>
      <c r="F30" s="18">
        <f>IFERROR(B30/E30,"n.a.")</f>
        <v/>
      </c>
      <c r="G30" s="17">
        <f>SUMIFS(Email!$G$2:$G$150,Email!$B$2:$B$150,"&gt;="&amp;$A30,Email!$B$2:$B$150,"&lt;="&amp;($A30+6),Email!$C$2:$C$150,EmailTypeCriteria)</f>
        <v/>
      </c>
      <c r="H30" s="22">
        <f>IFERROR(SUMIFS(Email!$K$2:$K$150,Email!$B$2:$B$150,"&gt;="&amp;$A30,Email!$B$2:$B$150,"&lt;="&amp;($A30+6),Email!$C$2:$C$150,EmailTypeCriteria)/G30,"n.a.")</f>
        <v/>
      </c>
      <c r="I30" s="15">
        <f>SUMIFS(Daily!$J$2:$J$453,Daily!$A$2:$A$453,"&gt;="&amp;$A30,Daily!$A$2:$A$453,"&lt;="&amp;($A30+6))/100</f>
        <v/>
      </c>
      <c r="J30" s="27">
        <f>IFERROR(D30/AVERAGE(D22:D29)-1,"n.a.")</f>
        <v/>
      </c>
    </row>
    <row r="31">
      <c r="A31" s="5">
        <f>EndDate-WEEKDAY(EndDate,3)-7*0</f>
        <v/>
      </c>
      <c r="B31" s="15">
        <f>SUMIFS('Paid daily'!$D$2:$D$2479,'Paid daily'!$A$2:$A$2479,"&gt;="&amp;$A31,'Paid daily'!$A$2:$A$2479,"&lt;="&amp;($A31+6),'Paid daily'!$C$2:$C$2479,PlatformCriteria)/100</f>
        <v/>
      </c>
      <c r="C31" s="17">
        <f>SUMIFS('Paid daily'!$G$2:$G$2479,'Paid daily'!$A$2:$A$2479,"&gt;="&amp;$A31,'Paid daily'!$A$2:$A$2479,"&lt;="&amp;($A31+6),'Paid daily'!$C$2:$C$2479,PlatformCriteria)</f>
        <v/>
      </c>
      <c r="D31" s="18">
        <f>IFERROR(B31/C31,"n.a.")</f>
        <v/>
      </c>
      <c r="E31" s="17">
        <f>SUMIFS('Paid daily'!$I$2:$I$2479,'Paid daily'!$A$2:$A$2479,"&gt;="&amp;$A31,'Paid daily'!$A$2:$A$2479,"&lt;="&amp;($A31+6),'Paid daily'!$C$2:$C$2479,PlatformCriteria)</f>
        <v/>
      </c>
      <c r="F31" s="18">
        <f>IFERROR(B31/E31,"n.a.")</f>
        <v/>
      </c>
      <c r="G31" s="17">
        <f>SUMIFS(Email!$G$2:$G$150,Email!$B$2:$B$150,"&gt;="&amp;$A31,Email!$B$2:$B$150,"&lt;="&amp;($A31+6),Email!$C$2:$C$150,EmailTypeCriteria)</f>
        <v/>
      </c>
      <c r="H31" s="22">
        <f>IFERROR(SUMIFS(Email!$K$2:$K$150,Email!$B$2:$B$150,"&gt;="&amp;$A31,Email!$B$2:$B$150,"&lt;="&amp;($A31+6),Email!$C$2:$C$150,EmailTypeCriteria)/G31,"n.a.")</f>
        <v/>
      </c>
      <c r="I31" s="15">
        <f>SUMIFS(Daily!$J$2:$J$453,Daily!$A$2:$A$453,"&gt;="&amp;$A31,Daily!$A$2:$A$453,"&lt;="&amp;($A31+6))/100</f>
        <v/>
      </c>
      <c r="J31" s="27">
        <f>IFERROR(D31/AVERAGE(D23:D30)-1,"n.a.")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conditionalFormatting sqref="A14:J31">
    <cfRule type="expression" priority="1" dxfId="1">
      <formula>AND(ISNUMBER($J14),$J14&gt;=0.25)</formula>
    </cfRule>
  </conditionalFormatting>
  <pageMargins left="0.75" right="0.75" top="1" bottom="1" header="0.5" footer="0.5"/>
  <pageSetup orientation="landscape" fitToHeight="0" fitToWidth="1"/>
  <headerFooter>
    <oddHeader/>
    <oddFooter>&amp;LGrowthOps OS · synthetic data&amp;R&amp;A ·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A0A09C"/>
    <outlinePr summaryBelow="1" summaryRight="1"/>
    <pageSetUpPr fitToPage="1"/>
  </sheetPr>
  <dimension ref="A1:J4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14" customWidth="1" min="5" max="5"/>
    <col width="18" customWidth="1" min="6" max="6"/>
    <col width="14" customWidth="1" min="7" max="7"/>
    <col width="23" customWidth="1" min="8" max="8"/>
    <col width="15" customWidth="1" min="9" max="9"/>
    <col width="16" customWidth="1" min="10" max="10"/>
  </cols>
  <sheetData>
    <row r="1">
      <c r="A1" s="35" t="inlineStr">
        <is>
          <t>day</t>
        </is>
      </c>
      <c r="B1" s="35" t="inlineStr">
        <is>
          <t>spend_cents</t>
        </is>
      </c>
      <c r="C1" s="35" t="inlineStr">
        <is>
          <t>leads</t>
        </is>
      </c>
      <c r="D1" s="35" t="inlineStr">
        <is>
          <t>mqls</t>
        </is>
      </c>
      <c r="E1" s="35" t="inlineStr">
        <is>
          <t>calls_booked</t>
        </is>
      </c>
      <c r="F1" s="35" t="inlineStr">
        <is>
          <t>closed_won_deals</t>
        </is>
      </c>
      <c r="G1" s="35" t="inlineStr">
        <is>
          <t>booked_cents</t>
        </is>
      </c>
      <c r="H1" s="35" t="inlineStr">
        <is>
          <t>gross_collected_cents</t>
        </is>
      </c>
      <c r="I1" s="35" t="inlineStr">
        <is>
          <t>refunds_cents</t>
        </is>
      </c>
      <c r="J1" s="35" t="inlineStr">
        <is>
          <t>net_cash_cents</t>
        </is>
      </c>
    </row>
    <row r="2">
      <c r="A2" s="13" t="n">
        <v>45839</v>
      </c>
      <c r="B2" s="2" t="n">
        <v>89942</v>
      </c>
      <c r="C2" s="2" t="n">
        <v>37</v>
      </c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0</v>
      </c>
    </row>
    <row r="3">
      <c r="A3" s="5" t="n">
        <v>45840</v>
      </c>
      <c r="B3" t="n">
        <v>84528</v>
      </c>
      <c r="C3" t="n">
        <v>32</v>
      </c>
      <c r="D3" t="n">
        <v>6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</row>
    <row r="4">
      <c r="A4" s="5" t="n">
        <v>45841</v>
      </c>
      <c r="B4" t="n">
        <v>87088</v>
      </c>
      <c r="C4" t="n">
        <v>37</v>
      </c>
      <c r="D4" t="n">
        <v>9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</row>
    <row r="5">
      <c r="A5" s="5" t="n">
        <v>45842</v>
      </c>
      <c r="B5" t="n">
        <v>92251</v>
      </c>
      <c r="C5" t="n">
        <v>31</v>
      </c>
      <c r="D5" t="n">
        <v>6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</row>
    <row r="6">
      <c r="A6" s="5" t="n">
        <v>45843</v>
      </c>
      <c r="B6" t="n">
        <v>87645</v>
      </c>
      <c r="C6" t="n">
        <v>21</v>
      </c>
      <c r="D6" t="n">
        <v>8</v>
      </c>
      <c r="E6" t="n">
        <v>1</v>
      </c>
      <c r="F6" t="n">
        <v>0</v>
      </c>
      <c r="G6" t="n">
        <v>0</v>
      </c>
      <c r="H6" t="n">
        <v>0</v>
      </c>
      <c r="I6" t="n">
        <v>0</v>
      </c>
      <c r="J6" t="n">
        <v>0</v>
      </c>
    </row>
    <row r="7">
      <c r="A7" s="5" t="n">
        <v>45844</v>
      </c>
      <c r="B7" t="n">
        <v>88276</v>
      </c>
      <c r="C7" t="n">
        <v>29</v>
      </c>
      <c r="D7" t="n">
        <v>5</v>
      </c>
      <c r="E7" t="n">
        <v>4</v>
      </c>
      <c r="F7" t="n">
        <v>0</v>
      </c>
      <c r="G7" t="n">
        <v>0</v>
      </c>
      <c r="H7" t="n">
        <v>0</v>
      </c>
      <c r="I7" t="n">
        <v>0</v>
      </c>
      <c r="J7" t="n">
        <v>0</v>
      </c>
    </row>
    <row r="8">
      <c r="A8" s="5" t="n">
        <v>45845</v>
      </c>
      <c r="B8" t="n">
        <v>84176</v>
      </c>
      <c r="C8" t="n">
        <v>21</v>
      </c>
      <c r="D8" t="n">
        <v>9</v>
      </c>
      <c r="E8" t="n">
        <v>1</v>
      </c>
      <c r="F8" t="n">
        <v>0</v>
      </c>
      <c r="G8" t="n">
        <v>0</v>
      </c>
      <c r="H8" t="n">
        <v>0</v>
      </c>
      <c r="I8" t="n">
        <v>0</v>
      </c>
      <c r="J8" t="n">
        <v>0</v>
      </c>
    </row>
    <row r="9">
      <c r="A9" s="5" t="n">
        <v>45846</v>
      </c>
      <c r="B9" t="n">
        <v>88690</v>
      </c>
      <c r="C9" t="n">
        <v>40</v>
      </c>
      <c r="D9" t="n">
        <v>5</v>
      </c>
      <c r="E9" t="n">
        <v>3</v>
      </c>
      <c r="F9" t="n">
        <v>0</v>
      </c>
      <c r="G9" t="n">
        <v>0</v>
      </c>
      <c r="H9" t="n">
        <v>0</v>
      </c>
      <c r="I9" t="n">
        <v>0</v>
      </c>
      <c r="J9" t="n">
        <v>0</v>
      </c>
    </row>
    <row r="10">
      <c r="A10" s="5" t="n">
        <v>45847</v>
      </c>
      <c r="B10" t="n">
        <v>93993</v>
      </c>
      <c r="C10" t="n">
        <v>36</v>
      </c>
      <c r="D10" t="n">
        <v>9</v>
      </c>
      <c r="E10" t="n">
        <v>4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</row>
    <row r="11">
      <c r="A11" s="5" t="n">
        <v>45848</v>
      </c>
      <c r="B11" t="n">
        <v>84993</v>
      </c>
      <c r="C11" t="n">
        <v>60</v>
      </c>
      <c r="D11" t="n">
        <v>10</v>
      </c>
      <c r="E11" t="n">
        <v>2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</row>
    <row r="12">
      <c r="A12" s="5" t="n">
        <v>45849</v>
      </c>
      <c r="B12" t="n">
        <v>85953</v>
      </c>
      <c r="C12" t="n">
        <v>36</v>
      </c>
      <c r="D12" t="n">
        <v>14</v>
      </c>
      <c r="E12" t="n">
        <v>7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</row>
    <row r="13">
      <c r="A13" s="5" t="n">
        <v>45850</v>
      </c>
      <c r="B13" t="n">
        <v>89415</v>
      </c>
      <c r="C13" t="n">
        <v>17</v>
      </c>
      <c r="D13" t="n">
        <v>13</v>
      </c>
      <c r="E13" t="n">
        <v>4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</row>
    <row r="14">
      <c r="A14" s="5" t="n">
        <v>45851</v>
      </c>
      <c r="B14" t="n">
        <v>86321</v>
      </c>
      <c r="C14" t="n">
        <v>18</v>
      </c>
      <c r="D14" t="n">
        <v>11</v>
      </c>
      <c r="E14" t="n">
        <v>7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</row>
    <row r="15">
      <c r="A15" s="5" t="n">
        <v>45852</v>
      </c>
      <c r="B15" t="n">
        <v>86502</v>
      </c>
      <c r="C15" t="n">
        <v>36</v>
      </c>
      <c r="D15" t="n">
        <v>6</v>
      </c>
      <c r="E15" t="n">
        <v>5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</row>
    <row r="16">
      <c r="A16" s="5" t="n">
        <v>45853</v>
      </c>
      <c r="B16" t="n">
        <v>90355</v>
      </c>
      <c r="C16" t="n">
        <v>54</v>
      </c>
      <c r="D16" t="n">
        <v>6</v>
      </c>
      <c r="E16" t="n">
        <v>4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</row>
    <row r="17">
      <c r="A17" s="5" t="n">
        <v>45854</v>
      </c>
      <c r="B17" t="n">
        <v>89870</v>
      </c>
      <c r="C17" t="n">
        <v>34</v>
      </c>
      <c r="D17" t="n">
        <v>11</v>
      </c>
      <c r="E17" t="n">
        <v>4</v>
      </c>
      <c r="F17" t="n">
        <v>1</v>
      </c>
      <c r="G17" t="n">
        <v>1500000</v>
      </c>
      <c r="H17" t="n">
        <v>1500000</v>
      </c>
      <c r="I17" t="n">
        <v>0</v>
      </c>
      <c r="J17" t="n">
        <v>1500000</v>
      </c>
    </row>
    <row r="18">
      <c r="A18" s="5" t="n">
        <v>45855</v>
      </c>
      <c r="B18" t="n">
        <v>85983</v>
      </c>
      <c r="C18" t="n">
        <v>42</v>
      </c>
      <c r="D18" t="n">
        <v>10</v>
      </c>
      <c r="E18" t="n">
        <v>4</v>
      </c>
      <c r="F18" t="n">
        <v>2</v>
      </c>
      <c r="G18" t="n">
        <v>990000</v>
      </c>
      <c r="H18" t="n">
        <v>0</v>
      </c>
      <c r="I18" t="n">
        <v>0</v>
      </c>
      <c r="J18" t="n">
        <v>0</v>
      </c>
    </row>
    <row r="19">
      <c r="A19" s="5" t="n">
        <v>45856</v>
      </c>
      <c r="B19" t="n">
        <v>88605</v>
      </c>
      <c r="C19" t="n">
        <v>29</v>
      </c>
      <c r="D19" t="n">
        <v>10</v>
      </c>
      <c r="E19" t="n">
        <v>7</v>
      </c>
      <c r="F19" t="n">
        <v>0</v>
      </c>
      <c r="G19" t="n">
        <v>0</v>
      </c>
      <c r="H19" t="n">
        <v>480000</v>
      </c>
      <c r="I19" t="n">
        <v>0</v>
      </c>
      <c r="J19" t="n">
        <v>480000</v>
      </c>
    </row>
    <row r="20">
      <c r="A20" s="5" t="n">
        <v>45857</v>
      </c>
      <c r="B20" t="n">
        <v>84947</v>
      </c>
      <c r="C20" t="n">
        <v>12</v>
      </c>
      <c r="D20" t="n">
        <v>12</v>
      </c>
      <c r="E20" t="n">
        <v>1</v>
      </c>
      <c r="F20" t="n">
        <v>0</v>
      </c>
      <c r="G20" t="n">
        <v>0</v>
      </c>
      <c r="H20" t="n">
        <v>170000</v>
      </c>
      <c r="I20" t="n">
        <v>0</v>
      </c>
      <c r="J20" t="n">
        <v>170000</v>
      </c>
    </row>
    <row r="21">
      <c r="A21" s="5" t="n">
        <v>45858</v>
      </c>
      <c r="B21" t="n">
        <v>88410</v>
      </c>
      <c r="C21" t="n">
        <v>27</v>
      </c>
      <c r="D21" t="n">
        <v>5</v>
      </c>
      <c r="E21" t="n">
        <v>4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s="5" t="n">
        <v>45859</v>
      </c>
      <c r="B22" t="n">
        <v>84908</v>
      </c>
      <c r="C22" t="n">
        <v>36</v>
      </c>
      <c r="D22" t="n">
        <v>7</v>
      </c>
      <c r="E22" t="n">
        <v>5</v>
      </c>
      <c r="F22" t="n">
        <v>1</v>
      </c>
      <c r="G22" t="n">
        <v>150000</v>
      </c>
      <c r="H22" t="n">
        <v>150000</v>
      </c>
      <c r="I22" t="n">
        <v>0</v>
      </c>
      <c r="J22" t="n">
        <v>150000</v>
      </c>
    </row>
    <row r="23">
      <c r="A23" s="5" t="n">
        <v>45860</v>
      </c>
      <c r="B23" t="n">
        <v>88463</v>
      </c>
      <c r="C23" t="n">
        <v>47</v>
      </c>
      <c r="D23" t="n">
        <v>11</v>
      </c>
      <c r="E23" t="n">
        <v>4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</row>
    <row r="24">
      <c r="A24" s="5" t="n">
        <v>45861</v>
      </c>
      <c r="B24" t="n">
        <v>89490</v>
      </c>
      <c r="C24" t="n">
        <v>36</v>
      </c>
      <c r="D24" t="n">
        <v>6</v>
      </c>
      <c r="E24" t="n">
        <v>4</v>
      </c>
      <c r="F24" t="n">
        <v>2</v>
      </c>
      <c r="G24" t="n">
        <v>990000</v>
      </c>
      <c r="H24" t="n">
        <v>0</v>
      </c>
      <c r="I24" t="n">
        <v>0</v>
      </c>
      <c r="J24" t="n">
        <v>0</v>
      </c>
    </row>
    <row r="25">
      <c r="A25" s="5" t="n">
        <v>45862</v>
      </c>
      <c r="B25" t="n">
        <v>88915</v>
      </c>
      <c r="C25" t="n">
        <v>41</v>
      </c>
      <c r="D25" t="n">
        <v>13</v>
      </c>
      <c r="E25" t="n">
        <v>5</v>
      </c>
      <c r="F25" t="n">
        <v>0</v>
      </c>
      <c r="G25" t="n">
        <v>0</v>
      </c>
      <c r="H25" t="n">
        <v>650000</v>
      </c>
      <c r="I25" t="n">
        <v>0</v>
      </c>
      <c r="J25" t="n">
        <v>650000</v>
      </c>
    </row>
    <row r="26">
      <c r="A26" s="5" t="n">
        <v>45863</v>
      </c>
      <c r="B26" t="n">
        <v>84122</v>
      </c>
      <c r="C26" t="n">
        <v>18</v>
      </c>
      <c r="D26" t="n">
        <v>7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</row>
    <row r="27">
      <c r="A27" s="5" t="n">
        <v>45864</v>
      </c>
      <c r="B27" t="n">
        <v>87332</v>
      </c>
      <c r="C27" t="n">
        <v>25</v>
      </c>
      <c r="D27" t="n">
        <v>12</v>
      </c>
      <c r="E27" t="n">
        <v>3</v>
      </c>
      <c r="F27" t="n">
        <v>2</v>
      </c>
      <c r="G27" t="n">
        <v>990000</v>
      </c>
      <c r="H27" t="n">
        <v>0</v>
      </c>
      <c r="I27" t="n">
        <v>0</v>
      </c>
      <c r="J27" t="n">
        <v>0</v>
      </c>
    </row>
    <row r="28">
      <c r="A28" s="5" t="n">
        <v>45865</v>
      </c>
      <c r="B28" t="n">
        <v>91388</v>
      </c>
      <c r="C28" t="n">
        <v>28</v>
      </c>
      <c r="D28" t="n">
        <v>5</v>
      </c>
      <c r="E28" t="n">
        <v>4</v>
      </c>
      <c r="F28" t="n">
        <v>1</v>
      </c>
      <c r="G28" t="n">
        <v>150000</v>
      </c>
      <c r="H28" t="n">
        <v>800000</v>
      </c>
      <c r="I28" t="n">
        <v>0</v>
      </c>
      <c r="J28" t="n">
        <v>800000</v>
      </c>
    </row>
    <row r="29">
      <c r="A29" s="5" t="n">
        <v>45866</v>
      </c>
      <c r="B29" t="n">
        <v>89511</v>
      </c>
      <c r="C29" t="n">
        <v>30</v>
      </c>
      <c r="D29" t="n">
        <v>8</v>
      </c>
      <c r="E29" t="n">
        <v>4</v>
      </c>
      <c r="F29" t="n">
        <v>1</v>
      </c>
      <c r="G29" t="n">
        <v>1500000</v>
      </c>
      <c r="H29" t="n">
        <v>0</v>
      </c>
      <c r="I29" t="n">
        <v>0</v>
      </c>
      <c r="J29" t="n">
        <v>0</v>
      </c>
    </row>
    <row r="30">
      <c r="A30" s="5" t="n">
        <v>45867</v>
      </c>
      <c r="B30" t="n">
        <v>85082</v>
      </c>
      <c r="C30" t="n">
        <v>43</v>
      </c>
      <c r="D30" t="n">
        <v>9</v>
      </c>
      <c r="E30" t="n">
        <v>4</v>
      </c>
      <c r="F30" t="n">
        <v>1</v>
      </c>
      <c r="G30" t="n">
        <v>150000</v>
      </c>
      <c r="H30" t="n">
        <v>1650000</v>
      </c>
      <c r="I30" t="n">
        <v>0</v>
      </c>
      <c r="J30" t="n">
        <v>1650000</v>
      </c>
    </row>
    <row r="31">
      <c r="A31" s="5" t="n">
        <v>45868</v>
      </c>
      <c r="B31" t="n">
        <v>87643</v>
      </c>
      <c r="C31" t="n">
        <v>32</v>
      </c>
      <c r="D31" t="n">
        <v>9</v>
      </c>
      <c r="E31" t="n">
        <v>1</v>
      </c>
      <c r="F31" t="n">
        <v>1</v>
      </c>
      <c r="G31" t="n">
        <v>480000</v>
      </c>
      <c r="H31" t="n">
        <v>0</v>
      </c>
      <c r="I31" t="n">
        <v>0</v>
      </c>
      <c r="J31" t="n">
        <v>0</v>
      </c>
    </row>
    <row r="32">
      <c r="A32" s="5" t="n">
        <v>45869</v>
      </c>
      <c r="B32" t="n">
        <v>87508</v>
      </c>
      <c r="C32" t="n">
        <v>25</v>
      </c>
      <c r="D32" t="n">
        <v>11</v>
      </c>
      <c r="E32" t="n">
        <v>2</v>
      </c>
      <c r="F32" t="n">
        <v>0</v>
      </c>
      <c r="G32" t="n">
        <v>0</v>
      </c>
      <c r="H32" t="n">
        <v>480000</v>
      </c>
      <c r="I32" t="n">
        <v>0</v>
      </c>
      <c r="J32" t="n">
        <v>480000</v>
      </c>
    </row>
    <row r="33">
      <c r="A33" s="5" t="n">
        <v>45870</v>
      </c>
      <c r="B33" t="n">
        <v>85889</v>
      </c>
      <c r="C33" t="n">
        <v>22</v>
      </c>
      <c r="D33" t="n">
        <v>12</v>
      </c>
      <c r="E33" t="n">
        <v>1</v>
      </c>
      <c r="F33" t="n">
        <v>1</v>
      </c>
      <c r="G33" t="n">
        <v>510000</v>
      </c>
      <c r="H33" t="n">
        <v>0</v>
      </c>
      <c r="I33" t="n">
        <v>0</v>
      </c>
      <c r="J33" t="n">
        <v>0</v>
      </c>
    </row>
    <row r="34">
      <c r="A34" s="5" t="n">
        <v>45871</v>
      </c>
      <c r="B34" t="n">
        <v>87744</v>
      </c>
      <c r="C34" t="n">
        <v>22</v>
      </c>
      <c r="D34" t="n">
        <v>8</v>
      </c>
      <c r="E34" t="n">
        <v>2</v>
      </c>
      <c r="F34" t="n">
        <v>3</v>
      </c>
      <c r="G34" t="n">
        <v>1140000</v>
      </c>
      <c r="H34" t="n">
        <v>970000</v>
      </c>
      <c r="I34" t="n">
        <v>0</v>
      </c>
      <c r="J34" t="n">
        <v>970000</v>
      </c>
    </row>
    <row r="35">
      <c r="A35" s="5" t="n">
        <v>45872</v>
      </c>
      <c r="B35" t="n">
        <v>88017</v>
      </c>
      <c r="C35" t="n">
        <v>22</v>
      </c>
      <c r="D35" t="n">
        <v>5</v>
      </c>
      <c r="E35" t="n">
        <v>3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</row>
    <row r="36">
      <c r="A36" s="5" t="n">
        <v>45873</v>
      </c>
      <c r="B36" t="n">
        <v>92351</v>
      </c>
      <c r="C36" t="n">
        <v>32</v>
      </c>
      <c r="D36" t="n">
        <v>12</v>
      </c>
      <c r="E36" t="n">
        <v>6</v>
      </c>
      <c r="F36" t="n">
        <v>2</v>
      </c>
      <c r="G36" t="n">
        <v>960000</v>
      </c>
      <c r="H36" t="n">
        <v>0</v>
      </c>
      <c r="I36" t="n">
        <v>0</v>
      </c>
      <c r="J36" t="n">
        <v>0</v>
      </c>
    </row>
    <row r="37">
      <c r="A37" s="5" t="n">
        <v>45874</v>
      </c>
      <c r="B37" t="n">
        <v>86144</v>
      </c>
      <c r="C37" t="n">
        <v>42</v>
      </c>
      <c r="D37" t="n">
        <v>10</v>
      </c>
      <c r="E37" t="n">
        <v>5</v>
      </c>
      <c r="F37" t="n">
        <v>2</v>
      </c>
      <c r="G37" t="n">
        <v>960000</v>
      </c>
      <c r="H37" t="n">
        <v>480000</v>
      </c>
      <c r="I37" t="n">
        <v>0</v>
      </c>
      <c r="J37" t="n">
        <v>480000</v>
      </c>
    </row>
    <row r="38">
      <c r="A38" s="5" t="n">
        <v>45875</v>
      </c>
      <c r="B38" t="n">
        <v>83734</v>
      </c>
      <c r="C38" t="n">
        <v>40</v>
      </c>
      <c r="D38" t="n">
        <v>15</v>
      </c>
      <c r="E38" t="n">
        <v>5</v>
      </c>
      <c r="F38" t="n">
        <v>1</v>
      </c>
      <c r="G38" t="n">
        <v>1500000</v>
      </c>
      <c r="H38" t="n">
        <v>1440000</v>
      </c>
      <c r="I38" t="n">
        <v>0</v>
      </c>
      <c r="J38" t="n">
        <v>1440000</v>
      </c>
    </row>
    <row r="39">
      <c r="A39" s="5" t="n">
        <v>45876</v>
      </c>
      <c r="B39" t="n">
        <v>90708</v>
      </c>
      <c r="C39" t="n">
        <v>39</v>
      </c>
      <c r="D39" t="n">
        <v>13</v>
      </c>
      <c r="E39" t="n">
        <v>3</v>
      </c>
      <c r="F39" t="n">
        <v>0</v>
      </c>
      <c r="G39" t="n">
        <v>0</v>
      </c>
      <c r="H39" t="n">
        <v>750000</v>
      </c>
      <c r="I39" t="n">
        <v>0</v>
      </c>
      <c r="J39" t="n">
        <v>750000</v>
      </c>
    </row>
    <row r="40">
      <c r="A40" s="5" t="n">
        <v>45877</v>
      </c>
      <c r="B40" t="n">
        <v>88986</v>
      </c>
      <c r="C40" t="n">
        <v>25</v>
      </c>
      <c r="D40" t="n">
        <v>11</v>
      </c>
      <c r="E40" t="n">
        <v>5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</row>
    <row r="41">
      <c r="A41" s="5" t="n">
        <v>45878</v>
      </c>
      <c r="B41" t="n">
        <v>84649</v>
      </c>
      <c r="C41" t="n">
        <v>24</v>
      </c>
      <c r="D41" t="n">
        <v>8</v>
      </c>
      <c r="E41" t="n">
        <v>9</v>
      </c>
      <c r="F41" t="n">
        <v>1</v>
      </c>
      <c r="G41" t="n">
        <v>510000</v>
      </c>
      <c r="H41" t="n">
        <v>0</v>
      </c>
      <c r="I41" t="n">
        <v>0</v>
      </c>
      <c r="J41" t="n">
        <v>0</v>
      </c>
    </row>
    <row r="42">
      <c r="A42" s="5" t="n">
        <v>45879</v>
      </c>
      <c r="B42" t="n">
        <v>83091</v>
      </c>
      <c r="C42" t="n">
        <v>28</v>
      </c>
      <c r="D42" t="n">
        <v>5</v>
      </c>
      <c r="E42" t="n">
        <v>3</v>
      </c>
      <c r="F42" t="n">
        <v>0</v>
      </c>
      <c r="G42" t="n">
        <v>0</v>
      </c>
      <c r="H42" t="n">
        <v>170000</v>
      </c>
      <c r="I42" t="n">
        <v>0</v>
      </c>
      <c r="J42" t="n">
        <v>170000</v>
      </c>
    </row>
    <row r="43">
      <c r="A43" s="5" t="n">
        <v>45880</v>
      </c>
      <c r="B43" t="n">
        <v>86853</v>
      </c>
      <c r="C43" t="n">
        <v>36</v>
      </c>
      <c r="D43" t="n">
        <v>7</v>
      </c>
      <c r="E43" t="n">
        <v>4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</row>
    <row r="44">
      <c r="A44" s="5" t="n">
        <v>45881</v>
      </c>
      <c r="B44" t="n">
        <v>92925</v>
      </c>
      <c r="C44" t="n">
        <v>42</v>
      </c>
      <c r="D44" t="n">
        <v>10</v>
      </c>
      <c r="E44" t="n">
        <v>2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</row>
    <row r="45">
      <c r="A45" s="5" t="n">
        <v>45882</v>
      </c>
      <c r="B45" t="n">
        <v>88870</v>
      </c>
      <c r="C45" t="n">
        <v>28</v>
      </c>
      <c r="D45" t="n">
        <v>14</v>
      </c>
      <c r="E45" t="n">
        <v>6</v>
      </c>
      <c r="F45" t="n">
        <v>1</v>
      </c>
      <c r="G45" t="n">
        <v>480000</v>
      </c>
      <c r="H45" t="n">
        <v>480000</v>
      </c>
      <c r="I45" t="n">
        <v>0</v>
      </c>
      <c r="J45" t="n">
        <v>480000</v>
      </c>
    </row>
    <row r="46">
      <c r="A46" s="5" t="n">
        <v>45883</v>
      </c>
      <c r="B46" t="n">
        <v>86092</v>
      </c>
      <c r="C46" t="n">
        <v>30</v>
      </c>
      <c r="D46" t="n">
        <v>16</v>
      </c>
      <c r="E46" t="n">
        <v>4</v>
      </c>
      <c r="F46" t="n">
        <v>1</v>
      </c>
      <c r="G46" t="n">
        <v>480000</v>
      </c>
      <c r="H46" t="n">
        <v>0</v>
      </c>
      <c r="I46" t="n">
        <v>0</v>
      </c>
      <c r="J46" t="n">
        <v>0</v>
      </c>
    </row>
    <row r="47">
      <c r="A47" s="5" t="n">
        <v>45884</v>
      </c>
      <c r="B47" t="n">
        <v>93881</v>
      </c>
      <c r="C47" t="n">
        <v>20</v>
      </c>
      <c r="D47" t="n">
        <v>13</v>
      </c>
      <c r="E47" t="n">
        <v>6</v>
      </c>
      <c r="F47" t="n">
        <v>0</v>
      </c>
      <c r="G47" t="n">
        <v>0</v>
      </c>
      <c r="H47" t="n">
        <v>480000</v>
      </c>
      <c r="I47" t="n">
        <v>0</v>
      </c>
      <c r="J47" t="n">
        <v>480000</v>
      </c>
    </row>
    <row r="48">
      <c r="A48" s="5" t="n">
        <v>45885</v>
      </c>
      <c r="B48" t="n">
        <v>90135</v>
      </c>
      <c r="C48" t="n">
        <v>16</v>
      </c>
      <c r="D48" t="n">
        <v>6</v>
      </c>
      <c r="E48" t="n">
        <v>7</v>
      </c>
      <c r="F48" t="n">
        <v>1</v>
      </c>
      <c r="G48" t="n">
        <v>510000</v>
      </c>
      <c r="H48" t="n">
        <v>0</v>
      </c>
      <c r="I48" t="n">
        <v>0</v>
      </c>
      <c r="J48" t="n">
        <v>0</v>
      </c>
    </row>
    <row r="49">
      <c r="A49" s="5" t="n">
        <v>45886</v>
      </c>
      <c r="B49" t="n">
        <v>87932</v>
      </c>
      <c r="C49" t="n">
        <v>22</v>
      </c>
      <c r="D49" t="n">
        <v>8</v>
      </c>
      <c r="E49" t="n">
        <v>6</v>
      </c>
      <c r="F49" t="n">
        <v>3</v>
      </c>
      <c r="G49" t="n">
        <v>1440000</v>
      </c>
      <c r="H49" t="n">
        <v>1130000</v>
      </c>
      <c r="I49" t="n">
        <v>0</v>
      </c>
      <c r="J49" t="n">
        <v>1130000</v>
      </c>
    </row>
    <row r="50">
      <c r="A50" s="5" t="n">
        <v>45887</v>
      </c>
      <c r="B50" t="n">
        <v>85479</v>
      </c>
      <c r="C50" t="n">
        <v>35</v>
      </c>
      <c r="D50" t="n">
        <v>3</v>
      </c>
      <c r="E50" t="n">
        <v>6</v>
      </c>
      <c r="F50" t="n">
        <v>2</v>
      </c>
      <c r="G50" t="n">
        <v>660000</v>
      </c>
      <c r="H50" t="n">
        <v>800000</v>
      </c>
      <c r="I50" t="n">
        <v>0</v>
      </c>
      <c r="J50" t="n">
        <v>800000</v>
      </c>
    </row>
    <row r="51">
      <c r="A51" s="5" t="n">
        <v>45888</v>
      </c>
      <c r="B51" t="n">
        <v>85489</v>
      </c>
      <c r="C51" t="n">
        <v>28</v>
      </c>
      <c r="D51" t="n">
        <v>9</v>
      </c>
      <c r="E51" t="n">
        <v>4</v>
      </c>
      <c r="F51" t="n">
        <v>2</v>
      </c>
      <c r="G51" t="n">
        <v>630000</v>
      </c>
      <c r="H51" t="n">
        <v>320000</v>
      </c>
      <c r="I51" t="n">
        <v>0</v>
      </c>
      <c r="J51" t="n">
        <v>320000</v>
      </c>
    </row>
    <row r="52">
      <c r="A52" s="5" t="n">
        <v>45889</v>
      </c>
      <c r="B52" t="n">
        <v>90937</v>
      </c>
      <c r="C52" t="n">
        <v>29</v>
      </c>
      <c r="D52" t="n">
        <v>15</v>
      </c>
      <c r="E52" t="n">
        <v>2</v>
      </c>
      <c r="F52" t="n">
        <v>1</v>
      </c>
      <c r="G52" t="n">
        <v>1500000</v>
      </c>
      <c r="H52" t="n">
        <v>1980000</v>
      </c>
      <c r="I52" t="n">
        <v>0</v>
      </c>
      <c r="J52" t="n">
        <v>1980000</v>
      </c>
    </row>
    <row r="53">
      <c r="A53" s="5" t="n">
        <v>45890</v>
      </c>
      <c r="B53" t="n">
        <v>88490</v>
      </c>
      <c r="C53" t="n">
        <v>31</v>
      </c>
      <c r="D53" t="n">
        <v>2</v>
      </c>
      <c r="E53" t="n">
        <v>4</v>
      </c>
      <c r="F53" t="n">
        <v>2</v>
      </c>
      <c r="G53" t="n">
        <v>1980000</v>
      </c>
      <c r="H53" t="n">
        <v>1500000</v>
      </c>
      <c r="I53" t="n">
        <v>0</v>
      </c>
      <c r="J53" t="n">
        <v>1500000</v>
      </c>
    </row>
    <row r="54">
      <c r="A54" s="5" t="n">
        <v>45891</v>
      </c>
      <c r="B54" t="n">
        <v>85147</v>
      </c>
      <c r="C54" t="n">
        <v>22</v>
      </c>
      <c r="D54" t="n">
        <v>9</v>
      </c>
      <c r="E54" t="n">
        <v>8</v>
      </c>
      <c r="F54" t="n">
        <v>3</v>
      </c>
      <c r="G54" t="n">
        <v>1440000</v>
      </c>
      <c r="H54" t="n">
        <v>960000</v>
      </c>
      <c r="I54" t="n">
        <v>0</v>
      </c>
      <c r="J54" t="n">
        <v>960000</v>
      </c>
    </row>
    <row r="55">
      <c r="A55" s="5" t="n">
        <v>45892</v>
      </c>
      <c r="B55" t="n">
        <v>90445</v>
      </c>
      <c r="C55" t="n">
        <v>15</v>
      </c>
      <c r="D55" t="n">
        <v>3</v>
      </c>
      <c r="E55" t="n">
        <v>3</v>
      </c>
      <c r="F55" t="n">
        <v>2</v>
      </c>
      <c r="G55" t="n">
        <v>990000</v>
      </c>
      <c r="H55" t="n">
        <v>1300000</v>
      </c>
      <c r="I55" t="n">
        <v>0</v>
      </c>
      <c r="J55" t="n">
        <v>1300000</v>
      </c>
    </row>
    <row r="56">
      <c r="A56" s="5" t="n">
        <v>45893</v>
      </c>
      <c r="B56" t="n">
        <v>89460</v>
      </c>
      <c r="C56" t="n">
        <v>28</v>
      </c>
      <c r="D56" t="n">
        <v>5</v>
      </c>
      <c r="E56" t="n">
        <v>2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</row>
    <row r="57">
      <c r="A57" s="5" t="n">
        <v>45894</v>
      </c>
      <c r="B57" t="n">
        <v>87382</v>
      </c>
      <c r="C57" t="n">
        <v>30</v>
      </c>
      <c r="D57" t="n">
        <v>3</v>
      </c>
      <c r="E57" t="n">
        <v>4</v>
      </c>
      <c r="F57" t="n">
        <v>2</v>
      </c>
      <c r="G57" t="n">
        <v>960000</v>
      </c>
      <c r="H57" t="n">
        <v>480000</v>
      </c>
      <c r="I57" t="n">
        <v>0</v>
      </c>
      <c r="J57" t="n">
        <v>480000</v>
      </c>
    </row>
    <row r="58">
      <c r="A58" s="5" t="n">
        <v>45895</v>
      </c>
      <c r="B58" t="n">
        <v>83540</v>
      </c>
      <c r="C58" t="n">
        <v>39</v>
      </c>
      <c r="D58" t="n">
        <v>9</v>
      </c>
      <c r="E58" t="n">
        <v>3</v>
      </c>
      <c r="F58" t="n">
        <v>3</v>
      </c>
      <c r="G58" t="n">
        <v>1110000</v>
      </c>
      <c r="H58" t="n">
        <v>630000</v>
      </c>
      <c r="I58" t="n">
        <v>0</v>
      </c>
      <c r="J58" t="n">
        <v>630000</v>
      </c>
    </row>
    <row r="59">
      <c r="A59" s="5" t="n">
        <v>45896</v>
      </c>
      <c r="B59" t="n">
        <v>89600</v>
      </c>
      <c r="C59" t="n">
        <v>41</v>
      </c>
      <c r="D59" t="n">
        <v>14</v>
      </c>
      <c r="E59" t="n">
        <v>1</v>
      </c>
      <c r="F59" t="n">
        <v>2</v>
      </c>
      <c r="G59" t="n">
        <v>660000</v>
      </c>
      <c r="H59" t="n">
        <v>1110000</v>
      </c>
      <c r="I59" t="n">
        <v>0</v>
      </c>
      <c r="J59" t="n">
        <v>1110000</v>
      </c>
    </row>
    <row r="60">
      <c r="A60" s="5" t="n">
        <v>45897</v>
      </c>
      <c r="B60" t="n">
        <v>88056</v>
      </c>
      <c r="C60" t="n">
        <v>21</v>
      </c>
      <c r="D60" t="n">
        <v>16</v>
      </c>
      <c r="E60" t="n">
        <v>4</v>
      </c>
      <c r="F60" t="n">
        <v>0</v>
      </c>
      <c r="G60" t="n">
        <v>0</v>
      </c>
      <c r="H60" t="n">
        <v>170000</v>
      </c>
      <c r="I60" t="n">
        <v>0</v>
      </c>
      <c r="J60" t="n">
        <v>170000</v>
      </c>
    </row>
    <row r="61">
      <c r="A61" s="5" t="n">
        <v>45898</v>
      </c>
      <c r="B61" t="n">
        <v>80099</v>
      </c>
      <c r="C61" t="n">
        <v>20</v>
      </c>
      <c r="D61" t="n">
        <v>11</v>
      </c>
      <c r="E61" t="n">
        <v>3</v>
      </c>
      <c r="F61" t="n">
        <v>4</v>
      </c>
      <c r="G61" t="n">
        <v>1980000</v>
      </c>
      <c r="H61" t="n">
        <v>170000</v>
      </c>
      <c r="I61" t="n">
        <v>0</v>
      </c>
      <c r="J61" t="n">
        <v>170000</v>
      </c>
    </row>
    <row r="62">
      <c r="A62" s="5" t="n">
        <v>45899</v>
      </c>
      <c r="B62" t="n">
        <v>87928</v>
      </c>
      <c r="C62" t="n">
        <v>22</v>
      </c>
      <c r="D62" t="n">
        <v>3</v>
      </c>
      <c r="E62" t="n">
        <v>10</v>
      </c>
      <c r="F62" t="n">
        <v>1</v>
      </c>
      <c r="G62" t="n">
        <v>1500000</v>
      </c>
      <c r="H62" t="n">
        <v>1300000</v>
      </c>
      <c r="I62" t="n">
        <v>0</v>
      </c>
      <c r="J62" t="n">
        <v>1300000</v>
      </c>
    </row>
    <row r="63">
      <c r="A63" s="5" t="n">
        <v>45900</v>
      </c>
      <c r="B63" t="n">
        <v>88117</v>
      </c>
      <c r="C63" t="n">
        <v>20</v>
      </c>
      <c r="D63" t="n">
        <v>9</v>
      </c>
      <c r="E63" t="n">
        <v>4</v>
      </c>
      <c r="F63" t="n">
        <v>0</v>
      </c>
      <c r="G63" t="n">
        <v>0</v>
      </c>
      <c r="H63" t="n">
        <v>750000</v>
      </c>
      <c r="I63" t="n">
        <v>0</v>
      </c>
      <c r="J63" t="n">
        <v>750000</v>
      </c>
    </row>
    <row r="64">
      <c r="A64" s="5" t="n">
        <v>45901</v>
      </c>
      <c r="B64" t="n">
        <v>88707</v>
      </c>
      <c r="C64" t="n">
        <v>26</v>
      </c>
      <c r="D64" t="n">
        <v>6</v>
      </c>
      <c r="E64" t="n">
        <v>4</v>
      </c>
      <c r="F64" t="n">
        <v>1</v>
      </c>
      <c r="G64" t="n">
        <v>1500000</v>
      </c>
      <c r="H64" t="n">
        <v>340000</v>
      </c>
      <c r="I64" t="n">
        <v>0</v>
      </c>
      <c r="J64" t="n">
        <v>340000</v>
      </c>
    </row>
    <row r="65">
      <c r="A65" s="5" t="n">
        <v>45902</v>
      </c>
      <c r="B65" t="n">
        <v>87217</v>
      </c>
      <c r="C65" t="n">
        <v>43</v>
      </c>
      <c r="D65" t="n">
        <v>9</v>
      </c>
      <c r="E65" t="n">
        <v>4</v>
      </c>
      <c r="F65" t="n">
        <v>1</v>
      </c>
      <c r="G65" t="n">
        <v>150000</v>
      </c>
      <c r="H65" t="n">
        <v>1650000</v>
      </c>
      <c r="I65" t="n">
        <v>0</v>
      </c>
      <c r="J65" t="n">
        <v>1650000</v>
      </c>
    </row>
    <row r="66">
      <c r="A66" s="5" t="n">
        <v>45903</v>
      </c>
      <c r="B66" t="n">
        <v>83623</v>
      </c>
      <c r="C66" t="n">
        <v>30</v>
      </c>
      <c r="D66" t="n">
        <v>11</v>
      </c>
      <c r="E66" t="n">
        <v>5</v>
      </c>
      <c r="F66" t="n">
        <v>2</v>
      </c>
      <c r="G66" t="n">
        <v>1020000</v>
      </c>
      <c r="H66" t="n">
        <v>0</v>
      </c>
      <c r="I66" t="n">
        <v>0</v>
      </c>
      <c r="J66" t="n">
        <v>0</v>
      </c>
    </row>
    <row r="67">
      <c r="A67" s="5" t="n">
        <v>45904</v>
      </c>
      <c r="B67" t="n">
        <v>87028</v>
      </c>
      <c r="C67" t="n">
        <v>29</v>
      </c>
      <c r="D67" t="n">
        <v>10</v>
      </c>
      <c r="E67" t="n">
        <v>4</v>
      </c>
      <c r="F67" t="n">
        <v>0</v>
      </c>
      <c r="G67" t="n">
        <v>0</v>
      </c>
      <c r="H67" t="n">
        <v>170000</v>
      </c>
      <c r="I67" t="n">
        <v>0</v>
      </c>
      <c r="J67" t="n">
        <v>170000</v>
      </c>
    </row>
    <row r="68">
      <c r="A68" s="5" t="n">
        <v>45905</v>
      </c>
      <c r="B68" t="n">
        <v>85549</v>
      </c>
      <c r="C68" t="n">
        <v>23</v>
      </c>
      <c r="D68" t="n">
        <v>11</v>
      </c>
      <c r="E68" t="n">
        <v>2</v>
      </c>
      <c r="F68" t="n">
        <v>3</v>
      </c>
      <c r="G68" t="n">
        <v>810000</v>
      </c>
      <c r="H68" t="n">
        <v>470000</v>
      </c>
      <c r="I68" t="n">
        <v>0</v>
      </c>
      <c r="J68" t="n">
        <v>470000</v>
      </c>
    </row>
    <row r="69">
      <c r="A69" s="5" t="n">
        <v>45906</v>
      </c>
      <c r="B69" t="n">
        <v>85692</v>
      </c>
      <c r="C69" t="n">
        <v>25</v>
      </c>
      <c r="D69" t="n">
        <v>11</v>
      </c>
      <c r="E69" t="n">
        <v>5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</row>
    <row r="70">
      <c r="A70" s="5" t="n">
        <v>45907</v>
      </c>
      <c r="B70" t="n">
        <v>86270</v>
      </c>
      <c r="C70" t="n">
        <v>23</v>
      </c>
      <c r="D70" t="n">
        <v>3</v>
      </c>
      <c r="E70" t="n">
        <v>6</v>
      </c>
      <c r="F70" t="n">
        <v>2</v>
      </c>
      <c r="G70" t="n">
        <v>990000</v>
      </c>
      <c r="H70" t="n">
        <v>170000</v>
      </c>
      <c r="I70" t="n">
        <v>0</v>
      </c>
      <c r="J70" t="n">
        <v>170000</v>
      </c>
    </row>
    <row r="71">
      <c r="A71" s="5" t="n">
        <v>45908</v>
      </c>
      <c r="B71" t="n">
        <v>87762</v>
      </c>
      <c r="C71" t="n">
        <v>34</v>
      </c>
      <c r="D71" t="n">
        <v>4</v>
      </c>
      <c r="E71" t="n">
        <v>1</v>
      </c>
      <c r="F71" t="n">
        <v>4</v>
      </c>
      <c r="G71" t="n">
        <v>2940000</v>
      </c>
      <c r="H71" t="n">
        <v>1130000</v>
      </c>
      <c r="I71" t="n">
        <v>0</v>
      </c>
      <c r="J71" t="n">
        <v>1130000</v>
      </c>
    </row>
    <row r="72">
      <c r="A72" s="5" t="n">
        <v>45909</v>
      </c>
      <c r="B72" t="n">
        <v>89199</v>
      </c>
      <c r="C72" t="n">
        <v>49</v>
      </c>
      <c r="D72" t="n">
        <v>7</v>
      </c>
      <c r="E72" t="n">
        <v>6</v>
      </c>
      <c r="F72" t="n">
        <v>1</v>
      </c>
      <c r="G72" t="n">
        <v>480000</v>
      </c>
      <c r="H72" t="n">
        <v>2360000</v>
      </c>
      <c r="I72" t="n">
        <v>0</v>
      </c>
      <c r="J72" t="n">
        <v>2360000</v>
      </c>
    </row>
    <row r="73">
      <c r="A73" s="5" t="n">
        <v>45910</v>
      </c>
      <c r="B73" t="n">
        <v>90486</v>
      </c>
      <c r="C73" t="n">
        <v>37</v>
      </c>
      <c r="D73" t="n">
        <v>13</v>
      </c>
      <c r="E73" t="n">
        <v>1</v>
      </c>
      <c r="F73" t="n">
        <v>2</v>
      </c>
      <c r="G73" t="n">
        <v>630000</v>
      </c>
      <c r="H73" t="n">
        <v>150000</v>
      </c>
      <c r="I73" t="n">
        <v>0</v>
      </c>
      <c r="J73" t="n">
        <v>150000</v>
      </c>
    </row>
    <row r="74">
      <c r="A74" s="5" t="n">
        <v>45911</v>
      </c>
      <c r="B74" t="n">
        <v>87557</v>
      </c>
      <c r="C74" t="n">
        <v>55</v>
      </c>
      <c r="D74" t="n">
        <v>10</v>
      </c>
      <c r="E74" t="n">
        <v>5</v>
      </c>
      <c r="F74" t="n">
        <v>2</v>
      </c>
      <c r="G74" t="n">
        <v>990000</v>
      </c>
      <c r="H74" t="n">
        <v>960000</v>
      </c>
      <c r="I74" t="n">
        <v>0</v>
      </c>
      <c r="J74" t="n">
        <v>960000</v>
      </c>
    </row>
    <row r="75">
      <c r="A75" s="5" t="n">
        <v>45912</v>
      </c>
      <c r="B75" t="n">
        <v>86002</v>
      </c>
      <c r="C75" t="n">
        <v>29</v>
      </c>
      <c r="D75" t="n">
        <v>9</v>
      </c>
      <c r="E75" t="n">
        <v>0</v>
      </c>
      <c r="F75" t="n">
        <v>1</v>
      </c>
      <c r="G75" t="n">
        <v>480000</v>
      </c>
      <c r="H75" t="n">
        <v>170000</v>
      </c>
      <c r="I75" t="n">
        <v>0</v>
      </c>
      <c r="J75" t="n">
        <v>170000</v>
      </c>
    </row>
    <row r="76">
      <c r="A76" s="5" t="n">
        <v>45913</v>
      </c>
      <c r="B76" t="n">
        <v>88851</v>
      </c>
      <c r="C76" t="n">
        <v>17</v>
      </c>
      <c r="D76" t="n">
        <v>14</v>
      </c>
      <c r="E76" t="n">
        <v>1</v>
      </c>
      <c r="F76" t="n">
        <v>3</v>
      </c>
      <c r="G76" t="n">
        <v>1170000</v>
      </c>
      <c r="H76" t="n">
        <v>150000</v>
      </c>
      <c r="I76" t="n">
        <v>0</v>
      </c>
      <c r="J76" t="n">
        <v>150000</v>
      </c>
    </row>
    <row r="77">
      <c r="A77" s="5" t="n">
        <v>45914</v>
      </c>
      <c r="B77" t="n">
        <v>86555</v>
      </c>
      <c r="C77" t="n">
        <v>20</v>
      </c>
      <c r="D77" t="n">
        <v>10</v>
      </c>
      <c r="E77" t="n">
        <v>7</v>
      </c>
      <c r="F77" t="n">
        <v>2</v>
      </c>
      <c r="G77" t="n">
        <v>1980000</v>
      </c>
      <c r="H77" t="n">
        <v>1400000</v>
      </c>
      <c r="I77" t="n">
        <v>0</v>
      </c>
      <c r="J77" t="n">
        <v>1400000</v>
      </c>
    </row>
    <row r="78">
      <c r="A78" s="5" t="n">
        <v>45915</v>
      </c>
      <c r="B78" t="n">
        <v>90566</v>
      </c>
      <c r="C78" t="n">
        <v>29</v>
      </c>
      <c r="D78" t="n">
        <v>5</v>
      </c>
      <c r="E78" t="n">
        <v>6</v>
      </c>
      <c r="F78" t="n">
        <v>2</v>
      </c>
      <c r="G78" t="n">
        <v>630000</v>
      </c>
      <c r="H78" t="n">
        <v>1280000</v>
      </c>
      <c r="I78" t="n">
        <v>0</v>
      </c>
      <c r="J78" t="n">
        <v>1280000</v>
      </c>
    </row>
    <row r="79">
      <c r="A79" s="5" t="n">
        <v>45916</v>
      </c>
      <c r="B79" t="n">
        <v>83746</v>
      </c>
      <c r="C79" t="n">
        <v>47</v>
      </c>
      <c r="D79" t="n">
        <v>4</v>
      </c>
      <c r="E79" t="n">
        <v>6</v>
      </c>
      <c r="F79" t="n">
        <v>1</v>
      </c>
      <c r="G79" t="n">
        <v>150000</v>
      </c>
      <c r="H79" t="n">
        <v>320000</v>
      </c>
      <c r="I79" t="n">
        <v>0</v>
      </c>
      <c r="J79" t="n">
        <v>320000</v>
      </c>
    </row>
    <row r="80">
      <c r="A80" s="5" t="n">
        <v>45917</v>
      </c>
      <c r="B80" t="n">
        <v>88171</v>
      </c>
      <c r="C80" t="n">
        <v>24</v>
      </c>
      <c r="D80" t="n">
        <v>5</v>
      </c>
      <c r="E80" t="n">
        <v>4</v>
      </c>
      <c r="F80" t="n">
        <v>2</v>
      </c>
      <c r="G80" t="n">
        <v>960000</v>
      </c>
      <c r="H80" t="n">
        <v>170000</v>
      </c>
      <c r="I80" t="n">
        <v>0</v>
      </c>
      <c r="J80" t="n">
        <v>170000</v>
      </c>
    </row>
    <row r="81">
      <c r="A81" s="5" t="n">
        <v>45918</v>
      </c>
      <c r="B81" t="n">
        <v>90359</v>
      </c>
      <c r="C81" t="n">
        <v>30</v>
      </c>
      <c r="D81" t="n">
        <v>5</v>
      </c>
      <c r="E81" t="n">
        <v>4</v>
      </c>
      <c r="F81" t="n">
        <v>0</v>
      </c>
      <c r="G81" t="n">
        <v>0</v>
      </c>
      <c r="H81" t="n">
        <v>650000</v>
      </c>
      <c r="I81" t="n">
        <v>0</v>
      </c>
      <c r="J81" t="n">
        <v>650000</v>
      </c>
    </row>
    <row r="82">
      <c r="A82" s="5" t="n">
        <v>45919</v>
      </c>
      <c r="B82" t="n">
        <v>90594</v>
      </c>
      <c r="C82" t="n">
        <v>38</v>
      </c>
      <c r="D82" t="n">
        <v>8</v>
      </c>
      <c r="E82" t="n">
        <v>0</v>
      </c>
      <c r="F82" t="n">
        <v>2</v>
      </c>
      <c r="G82" t="n">
        <v>630000</v>
      </c>
      <c r="H82" t="n">
        <v>630000</v>
      </c>
      <c r="I82" t="n">
        <v>0</v>
      </c>
      <c r="J82" t="n">
        <v>630000</v>
      </c>
    </row>
    <row r="83">
      <c r="A83" s="5" t="n">
        <v>45920</v>
      </c>
      <c r="B83" t="n">
        <v>88851</v>
      </c>
      <c r="C83" t="n">
        <v>23</v>
      </c>
      <c r="D83" t="n">
        <v>7</v>
      </c>
      <c r="E83" t="n">
        <v>3</v>
      </c>
      <c r="F83" t="n">
        <v>0</v>
      </c>
      <c r="G83" t="n">
        <v>0</v>
      </c>
      <c r="H83" t="n">
        <v>480000</v>
      </c>
      <c r="I83" t="n">
        <v>0</v>
      </c>
      <c r="J83" t="n">
        <v>480000</v>
      </c>
    </row>
    <row r="84">
      <c r="A84" s="5" t="n">
        <v>45921</v>
      </c>
      <c r="B84" t="n">
        <v>88470</v>
      </c>
      <c r="C84" t="n">
        <v>20</v>
      </c>
      <c r="D84" t="n">
        <v>9</v>
      </c>
      <c r="E84" t="n">
        <v>2</v>
      </c>
      <c r="F84" t="n">
        <v>3</v>
      </c>
      <c r="G84" t="n">
        <v>780000</v>
      </c>
      <c r="H84" t="n">
        <v>300000</v>
      </c>
      <c r="I84" t="n">
        <v>480000</v>
      </c>
      <c r="J84" t="n">
        <v>-180000</v>
      </c>
    </row>
    <row r="85">
      <c r="A85" s="5" t="n">
        <v>45922</v>
      </c>
      <c r="B85" t="n">
        <v>86092</v>
      </c>
      <c r="C85" t="n">
        <v>26</v>
      </c>
      <c r="D85" t="n">
        <v>7</v>
      </c>
      <c r="E85" t="n">
        <v>4</v>
      </c>
      <c r="F85" t="n">
        <v>1</v>
      </c>
      <c r="G85" t="n">
        <v>480000</v>
      </c>
      <c r="H85" t="n">
        <v>1300000</v>
      </c>
      <c r="I85" t="n">
        <v>0</v>
      </c>
      <c r="J85" t="n">
        <v>1300000</v>
      </c>
    </row>
    <row r="86">
      <c r="A86" s="5" t="n">
        <v>45923</v>
      </c>
      <c r="B86" t="n">
        <v>87018</v>
      </c>
      <c r="C86" t="n">
        <v>47</v>
      </c>
      <c r="D86" t="n">
        <v>11</v>
      </c>
      <c r="E86" t="n">
        <v>5</v>
      </c>
      <c r="F86" t="n">
        <v>2</v>
      </c>
      <c r="G86" t="n">
        <v>1650000</v>
      </c>
      <c r="H86" t="n">
        <v>1650000</v>
      </c>
      <c r="I86" t="n">
        <v>0</v>
      </c>
      <c r="J86" t="n">
        <v>1650000</v>
      </c>
    </row>
    <row r="87">
      <c r="A87" s="5" t="n">
        <v>45924</v>
      </c>
      <c r="B87" t="n">
        <v>86942</v>
      </c>
      <c r="C87" t="n">
        <v>32</v>
      </c>
      <c r="D87" t="n">
        <v>9</v>
      </c>
      <c r="E87" t="n">
        <v>2</v>
      </c>
      <c r="F87" t="n">
        <v>3</v>
      </c>
      <c r="G87" t="n">
        <v>780000</v>
      </c>
      <c r="H87" t="n">
        <v>300000</v>
      </c>
      <c r="I87" t="n">
        <v>0</v>
      </c>
      <c r="J87" t="n">
        <v>300000</v>
      </c>
    </row>
    <row r="88">
      <c r="A88" s="5" t="n">
        <v>45925</v>
      </c>
      <c r="B88" t="n">
        <v>89765</v>
      </c>
      <c r="C88" t="n">
        <v>23</v>
      </c>
      <c r="D88" t="n">
        <v>9</v>
      </c>
      <c r="E88" t="n">
        <v>3</v>
      </c>
      <c r="F88" t="n">
        <v>0</v>
      </c>
      <c r="G88" t="n">
        <v>0</v>
      </c>
      <c r="H88" t="n">
        <v>480000</v>
      </c>
      <c r="I88" t="n">
        <v>0</v>
      </c>
      <c r="J88" t="n">
        <v>480000</v>
      </c>
    </row>
    <row r="89">
      <c r="A89" s="5" t="n">
        <v>45926</v>
      </c>
      <c r="B89" t="n">
        <v>87351</v>
      </c>
      <c r="C89" t="n">
        <v>21</v>
      </c>
      <c r="D89" t="n">
        <v>11</v>
      </c>
      <c r="E89" t="n">
        <v>3</v>
      </c>
      <c r="F89" t="n">
        <v>2</v>
      </c>
      <c r="G89" t="n">
        <v>2010000</v>
      </c>
      <c r="H89" t="n">
        <v>0</v>
      </c>
      <c r="I89" t="n">
        <v>0</v>
      </c>
      <c r="J89" t="n">
        <v>0</v>
      </c>
    </row>
    <row r="90">
      <c r="A90" s="5" t="n">
        <v>45927</v>
      </c>
      <c r="B90" t="n">
        <v>86635</v>
      </c>
      <c r="C90" t="n">
        <v>18</v>
      </c>
      <c r="D90" t="n">
        <v>7</v>
      </c>
      <c r="E90" t="n">
        <v>7</v>
      </c>
      <c r="F90" t="n">
        <v>0</v>
      </c>
      <c r="G90" t="n">
        <v>0</v>
      </c>
      <c r="H90" t="n">
        <v>340000</v>
      </c>
      <c r="I90" t="n">
        <v>240000</v>
      </c>
      <c r="J90" t="n">
        <v>100000</v>
      </c>
    </row>
    <row r="91">
      <c r="A91" s="5" t="n">
        <v>45928</v>
      </c>
      <c r="B91" t="n">
        <v>88601</v>
      </c>
      <c r="C91" t="n">
        <v>26</v>
      </c>
      <c r="D91" t="n">
        <v>3</v>
      </c>
      <c r="E91" t="n">
        <v>1</v>
      </c>
      <c r="F91" t="n">
        <v>0</v>
      </c>
      <c r="G91" t="n">
        <v>0</v>
      </c>
      <c r="H91" t="n">
        <v>920000</v>
      </c>
      <c r="I91" t="n">
        <v>0</v>
      </c>
      <c r="J91" t="n">
        <v>920000</v>
      </c>
    </row>
    <row r="92">
      <c r="A92" s="5" t="n">
        <v>45929</v>
      </c>
      <c r="B92" t="n">
        <v>92641</v>
      </c>
      <c r="C92" t="n">
        <v>43</v>
      </c>
      <c r="D92" t="n">
        <v>3</v>
      </c>
      <c r="E92" t="n">
        <v>3</v>
      </c>
      <c r="F92" t="n">
        <v>4</v>
      </c>
      <c r="G92" t="n">
        <v>1680000</v>
      </c>
      <c r="H92" t="n">
        <v>830000</v>
      </c>
      <c r="I92" t="n">
        <v>0</v>
      </c>
      <c r="J92" t="n">
        <v>830000</v>
      </c>
    </row>
    <row r="93">
      <c r="A93" s="5" t="n">
        <v>45930</v>
      </c>
      <c r="B93" t="n">
        <v>86054</v>
      </c>
      <c r="C93" t="n">
        <v>38</v>
      </c>
      <c r="D93" t="n">
        <v>13</v>
      </c>
      <c r="E93" t="n">
        <v>5</v>
      </c>
      <c r="F93" t="n">
        <v>1</v>
      </c>
      <c r="G93" t="n">
        <v>480000</v>
      </c>
      <c r="H93" t="n">
        <v>1400000</v>
      </c>
      <c r="I93" t="n">
        <v>0</v>
      </c>
      <c r="J93" t="n">
        <v>1400000</v>
      </c>
    </row>
    <row r="94">
      <c r="A94" s="5" t="n">
        <v>45931</v>
      </c>
      <c r="B94" t="n">
        <v>110658</v>
      </c>
      <c r="C94" t="n">
        <v>23</v>
      </c>
      <c r="D94" t="n">
        <v>12</v>
      </c>
      <c r="E94" t="n">
        <v>3</v>
      </c>
      <c r="F94" t="n">
        <v>1</v>
      </c>
      <c r="G94" t="n">
        <v>510000</v>
      </c>
      <c r="H94" t="n">
        <v>340000</v>
      </c>
      <c r="I94" t="n">
        <v>0</v>
      </c>
      <c r="J94" t="n">
        <v>340000</v>
      </c>
    </row>
    <row r="95">
      <c r="A95" s="5" t="n">
        <v>45932</v>
      </c>
      <c r="B95" t="n">
        <v>112802</v>
      </c>
      <c r="C95" t="n">
        <v>35</v>
      </c>
      <c r="D95" t="n">
        <v>6</v>
      </c>
      <c r="E95" t="n">
        <v>4</v>
      </c>
      <c r="F95" t="n">
        <v>0</v>
      </c>
      <c r="G95" t="n">
        <v>0</v>
      </c>
      <c r="H95" t="n">
        <v>170000</v>
      </c>
      <c r="I95" t="n">
        <v>0</v>
      </c>
      <c r="J95" t="n">
        <v>170000</v>
      </c>
    </row>
    <row r="96">
      <c r="A96" s="5" t="n">
        <v>45933</v>
      </c>
      <c r="B96" t="n">
        <v>115461</v>
      </c>
      <c r="C96" t="n">
        <v>32</v>
      </c>
      <c r="D96" t="n">
        <v>8</v>
      </c>
      <c r="E96" t="n">
        <v>2</v>
      </c>
      <c r="F96" t="n">
        <v>1</v>
      </c>
      <c r="G96" t="n">
        <v>480000</v>
      </c>
      <c r="H96" t="n">
        <v>0</v>
      </c>
      <c r="I96" t="n">
        <v>0</v>
      </c>
      <c r="J96" t="n">
        <v>0</v>
      </c>
    </row>
    <row r="97">
      <c r="A97" s="5" t="n">
        <v>45934</v>
      </c>
      <c r="B97" t="n">
        <v>113483</v>
      </c>
      <c r="C97" t="n">
        <v>23</v>
      </c>
      <c r="D97" t="n">
        <v>11</v>
      </c>
      <c r="E97" t="n">
        <v>4</v>
      </c>
      <c r="F97" t="n">
        <v>1</v>
      </c>
      <c r="G97" t="n">
        <v>510000</v>
      </c>
      <c r="H97" t="n">
        <v>650000</v>
      </c>
      <c r="I97" t="n">
        <v>0</v>
      </c>
      <c r="J97" t="n">
        <v>650000</v>
      </c>
    </row>
    <row r="98">
      <c r="A98" s="5" t="n">
        <v>45935</v>
      </c>
      <c r="B98" t="n">
        <v>112218</v>
      </c>
      <c r="C98" t="n">
        <v>16</v>
      </c>
      <c r="D98" t="n">
        <v>9</v>
      </c>
      <c r="E98" t="n">
        <v>5</v>
      </c>
      <c r="F98" t="n">
        <v>2</v>
      </c>
      <c r="G98" t="n">
        <v>1650000</v>
      </c>
      <c r="H98" t="n">
        <v>320000</v>
      </c>
      <c r="I98" t="n">
        <v>0</v>
      </c>
      <c r="J98" t="n">
        <v>320000</v>
      </c>
    </row>
    <row r="99">
      <c r="A99" s="5" t="n">
        <v>45936</v>
      </c>
      <c r="B99" t="n">
        <v>114748</v>
      </c>
      <c r="C99" t="n">
        <v>28</v>
      </c>
      <c r="D99" t="n">
        <v>6</v>
      </c>
      <c r="E99" t="n">
        <v>4</v>
      </c>
      <c r="F99" t="n">
        <v>1</v>
      </c>
      <c r="G99" t="n">
        <v>480000</v>
      </c>
      <c r="H99" t="n">
        <v>1500000</v>
      </c>
      <c r="I99" t="n">
        <v>0</v>
      </c>
      <c r="J99" t="n">
        <v>1500000</v>
      </c>
    </row>
    <row r="100">
      <c r="A100" s="5" t="n">
        <v>45937</v>
      </c>
      <c r="B100" t="n">
        <v>113536</v>
      </c>
      <c r="C100" t="n">
        <v>45</v>
      </c>
      <c r="D100" t="n">
        <v>6</v>
      </c>
      <c r="E100" t="n">
        <v>3</v>
      </c>
      <c r="F100" t="n">
        <v>0</v>
      </c>
      <c r="G100" t="n">
        <v>0</v>
      </c>
      <c r="H100" t="n">
        <v>170000</v>
      </c>
      <c r="I100" t="n">
        <v>0</v>
      </c>
      <c r="J100" t="n">
        <v>170000</v>
      </c>
    </row>
    <row r="101">
      <c r="A101" s="5" t="n">
        <v>45938</v>
      </c>
      <c r="B101" t="n">
        <v>111795</v>
      </c>
      <c r="C101" t="n">
        <v>36</v>
      </c>
      <c r="D101" t="n">
        <v>7</v>
      </c>
      <c r="E101" t="n">
        <v>7</v>
      </c>
      <c r="F101" t="n">
        <v>1</v>
      </c>
      <c r="G101" t="n">
        <v>480000</v>
      </c>
      <c r="H101" t="n">
        <v>650000</v>
      </c>
      <c r="I101" t="n">
        <v>0</v>
      </c>
      <c r="J101" t="n">
        <v>650000</v>
      </c>
    </row>
    <row r="102">
      <c r="A102" s="5" t="n">
        <v>45939</v>
      </c>
      <c r="B102" t="n">
        <v>116251</v>
      </c>
      <c r="C102" t="n">
        <v>49</v>
      </c>
      <c r="D102" t="n">
        <v>15</v>
      </c>
      <c r="E102" t="n">
        <v>6</v>
      </c>
      <c r="F102" t="n">
        <v>0</v>
      </c>
      <c r="G102" t="n">
        <v>0</v>
      </c>
      <c r="H102" t="n">
        <v>920000</v>
      </c>
      <c r="I102" t="n">
        <v>0</v>
      </c>
      <c r="J102" t="n">
        <v>920000</v>
      </c>
    </row>
    <row r="103">
      <c r="A103" s="5" t="n">
        <v>45940</v>
      </c>
      <c r="B103" t="n">
        <v>111897</v>
      </c>
      <c r="C103" t="n">
        <v>33</v>
      </c>
      <c r="D103" t="n">
        <v>10</v>
      </c>
      <c r="E103" t="n">
        <v>1</v>
      </c>
      <c r="F103" t="n">
        <v>1</v>
      </c>
      <c r="G103" t="n">
        <v>150000</v>
      </c>
      <c r="H103" t="n">
        <v>630000</v>
      </c>
      <c r="I103" t="n">
        <v>0</v>
      </c>
      <c r="J103" t="n">
        <v>630000</v>
      </c>
    </row>
    <row r="104">
      <c r="A104" s="5" t="n">
        <v>45941</v>
      </c>
      <c r="B104" t="n">
        <v>114837</v>
      </c>
      <c r="C104" t="n">
        <v>25</v>
      </c>
      <c r="D104" t="n">
        <v>9</v>
      </c>
      <c r="E104" t="n">
        <v>8</v>
      </c>
      <c r="F104" t="n">
        <v>1</v>
      </c>
      <c r="G104" t="n">
        <v>480000</v>
      </c>
      <c r="H104" t="n">
        <v>0</v>
      </c>
      <c r="I104" t="n">
        <v>0</v>
      </c>
      <c r="J104" t="n">
        <v>0</v>
      </c>
    </row>
    <row r="105">
      <c r="A105" s="5" t="n">
        <v>45942</v>
      </c>
      <c r="B105" t="n">
        <v>111127</v>
      </c>
      <c r="C105" t="n">
        <v>21</v>
      </c>
      <c r="D105" t="n">
        <v>12</v>
      </c>
      <c r="E105" t="n">
        <v>5</v>
      </c>
      <c r="F105" t="n">
        <v>0</v>
      </c>
      <c r="G105" t="n">
        <v>0</v>
      </c>
      <c r="H105" t="n">
        <v>650000</v>
      </c>
      <c r="I105" t="n">
        <v>0</v>
      </c>
      <c r="J105" t="n">
        <v>650000</v>
      </c>
    </row>
    <row r="106">
      <c r="A106" s="5" t="n">
        <v>45943</v>
      </c>
      <c r="B106" t="n">
        <v>112409</v>
      </c>
      <c r="C106" t="n">
        <v>34</v>
      </c>
      <c r="D106" t="n">
        <v>12</v>
      </c>
      <c r="E106" t="n">
        <v>7</v>
      </c>
      <c r="F106" t="n">
        <v>3</v>
      </c>
      <c r="G106" t="n">
        <v>780000</v>
      </c>
      <c r="H106" t="n">
        <v>300000</v>
      </c>
      <c r="I106" t="n">
        <v>0</v>
      </c>
      <c r="J106" t="n">
        <v>300000</v>
      </c>
    </row>
    <row r="107">
      <c r="A107" s="5" t="n">
        <v>45944</v>
      </c>
      <c r="B107" t="n">
        <v>111253</v>
      </c>
      <c r="C107" t="n">
        <v>35</v>
      </c>
      <c r="D107" t="n">
        <v>10</v>
      </c>
      <c r="E107" t="n">
        <v>5</v>
      </c>
      <c r="F107" t="n">
        <v>0</v>
      </c>
      <c r="G107" t="n">
        <v>0</v>
      </c>
      <c r="H107" t="n">
        <v>170000</v>
      </c>
      <c r="I107" t="n">
        <v>0</v>
      </c>
      <c r="J107" t="n">
        <v>170000</v>
      </c>
    </row>
    <row r="108">
      <c r="A108" s="5" t="n">
        <v>45945</v>
      </c>
      <c r="B108" t="n">
        <v>113025</v>
      </c>
      <c r="C108" t="n">
        <v>35</v>
      </c>
      <c r="D108" t="n">
        <v>12</v>
      </c>
      <c r="E108" t="n">
        <v>2</v>
      </c>
      <c r="F108" t="n">
        <v>0</v>
      </c>
      <c r="G108" t="n">
        <v>0</v>
      </c>
      <c r="H108" t="n">
        <v>170000</v>
      </c>
      <c r="I108" t="n">
        <v>0</v>
      </c>
      <c r="J108" t="n">
        <v>170000</v>
      </c>
    </row>
    <row r="109">
      <c r="A109" s="5" t="n">
        <v>45946</v>
      </c>
      <c r="B109" t="n">
        <v>113469</v>
      </c>
      <c r="C109" t="n">
        <v>23</v>
      </c>
      <c r="D109" t="n">
        <v>16</v>
      </c>
      <c r="E109" t="n">
        <v>5</v>
      </c>
      <c r="F109" t="n">
        <v>0</v>
      </c>
      <c r="G109" t="n">
        <v>0</v>
      </c>
      <c r="H109" t="n">
        <v>170000</v>
      </c>
      <c r="I109" t="n">
        <v>0</v>
      </c>
      <c r="J109" t="n">
        <v>170000</v>
      </c>
    </row>
    <row r="110">
      <c r="A110" s="5" t="n">
        <v>45947</v>
      </c>
      <c r="B110" t="n">
        <v>115697</v>
      </c>
      <c r="C110" t="n">
        <v>34</v>
      </c>
      <c r="D110" t="n">
        <v>6</v>
      </c>
      <c r="E110" t="n">
        <v>9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</row>
    <row r="111">
      <c r="A111" s="5" t="n">
        <v>45948</v>
      </c>
      <c r="B111" t="n">
        <v>115091</v>
      </c>
      <c r="C111" t="n">
        <v>21</v>
      </c>
      <c r="D111" t="n">
        <v>6</v>
      </c>
      <c r="E111" t="n">
        <v>2</v>
      </c>
      <c r="F111" t="n">
        <v>1</v>
      </c>
      <c r="G111" t="n">
        <v>510000</v>
      </c>
      <c r="H111" t="n">
        <v>1090000</v>
      </c>
      <c r="I111" t="n">
        <v>0</v>
      </c>
      <c r="J111" t="n">
        <v>1090000</v>
      </c>
    </row>
    <row r="112">
      <c r="A112" s="5" t="n">
        <v>45949</v>
      </c>
      <c r="B112" t="n">
        <v>113462</v>
      </c>
      <c r="C112" t="n">
        <v>28</v>
      </c>
      <c r="D112" t="n">
        <v>7</v>
      </c>
      <c r="E112" t="n">
        <v>4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</row>
    <row r="113">
      <c r="A113" s="5" t="n">
        <v>45950</v>
      </c>
      <c r="B113" t="n">
        <v>113333</v>
      </c>
      <c r="C113" t="n">
        <v>22</v>
      </c>
      <c r="D113" t="n">
        <v>10</v>
      </c>
      <c r="E113" t="n">
        <v>4</v>
      </c>
      <c r="F113" t="n">
        <v>1</v>
      </c>
      <c r="G113" t="n">
        <v>1500000</v>
      </c>
      <c r="H113" t="n">
        <v>0</v>
      </c>
      <c r="I113" t="n">
        <v>0</v>
      </c>
      <c r="J113" t="n">
        <v>0</v>
      </c>
    </row>
    <row r="114">
      <c r="A114" s="5" t="n">
        <v>45951</v>
      </c>
      <c r="B114" t="n">
        <v>111530</v>
      </c>
      <c r="C114" t="n">
        <v>42</v>
      </c>
      <c r="D114" t="n">
        <v>7</v>
      </c>
      <c r="E114" t="n">
        <v>3</v>
      </c>
      <c r="F114" t="n">
        <v>1</v>
      </c>
      <c r="G114" t="n">
        <v>510000</v>
      </c>
      <c r="H114" t="n">
        <v>170000</v>
      </c>
      <c r="I114" t="n">
        <v>0</v>
      </c>
      <c r="J114" t="n">
        <v>170000</v>
      </c>
    </row>
    <row r="115">
      <c r="A115" s="5" t="n">
        <v>45952</v>
      </c>
      <c r="B115" t="n">
        <v>113281</v>
      </c>
      <c r="C115" t="n">
        <v>36</v>
      </c>
      <c r="D115" t="n">
        <v>5</v>
      </c>
      <c r="E115" t="n">
        <v>5</v>
      </c>
      <c r="F115" t="n">
        <v>1</v>
      </c>
      <c r="G115" t="n">
        <v>480000</v>
      </c>
      <c r="H115" t="n">
        <v>750000</v>
      </c>
      <c r="I115" t="n">
        <v>480000</v>
      </c>
      <c r="J115" t="n">
        <v>270000</v>
      </c>
    </row>
    <row r="116">
      <c r="A116" s="5" t="n">
        <v>45953</v>
      </c>
      <c r="B116" t="n">
        <v>115448</v>
      </c>
      <c r="C116" t="n">
        <v>34</v>
      </c>
      <c r="D116" t="n">
        <v>15</v>
      </c>
      <c r="E116" t="n">
        <v>1</v>
      </c>
      <c r="F116" t="n">
        <v>1</v>
      </c>
      <c r="G116" t="n">
        <v>480000</v>
      </c>
      <c r="H116" t="n">
        <v>960000</v>
      </c>
      <c r="I116" t="n">
        <v>85000</v>
      </c>
      <c r="J116" t="n">
        <v>875000</v>
      </c>
    </row>
    <row r="117">
      <c r="A117" s="5" t="n">
        <v>45954</v>
      </c>
      <c r="B117" t="n">
        <v>117002</v>
      </c>
      <c r="C117" t="n">
        <v>26</v>
      </c>
      <c r="D117" t="n">
        <v>11</v>
      </c>
      <c r="E117" t="n">
        <v>5</v>
      </c>
      <c r="F117" t="n">
        <v>3</v>
      </c>
      <c r="G117" t="n">
        <v>2460000</v>
      </c>
      <c r="H117" t="n">
        <v>750000</v>
      </c>
      <c r="I117" t="n">
        <v>0</v>
      </c>
      <c r="J117" t="n">
        <v>750000</v>
      </c>
    </row>
    <row r="118">
      <c r="A118" s="5" t="n">
        <v>45955</v>
      </c>
      <c r="B118" t="n">
        <v>117678</v>
      </c>
      <c r="C118" t="n">
        <v>22</v>
      </c>
      <c r="D118" t="n">
        <v>10</v>
      </c>
      <c r="E118" t="n">
        <v>6</v>
      </c>
      <c r="F118" t="n">
        <v>3</v>
      </c>
      <c r="G118" t="n">
        <v>1470000</v>
      </c>
      <c r="H118" t="n">
        <v>1440000</v>
      </c>
      <c r="I118" t="n">
        <v>0</v>
      </c>
      <c r="J118" t="n">
        <v>1440000</v>
      </c>
    </row>
    <row r="119">
      <c r="A119" s="5" t="n">
        <v>45956</v>
      </c>
      <c r="B119" t="n">
        <v>116097</v>
      </c>
      <c r="C119" t="n">
        <v>16</v>
      </c>
      <c r="D119" t="n">
        <v>8</v>
      </c>
      <c r="E119" t="n">
        <v>7</v>
      </c>
      <c r="F119" t="n">
        <v>2</v>
      </c>
      <c r="G119" t="n">
        <v>660000</v>
      </c>
      <c r="H119" t="n">
        <v>1140000</v>
      </c>
      <c r="I119" t="n">
        <v>0</v>
      </c>
      <c r="J119" t="n">
        <v>1140000</v>
      </c>
    </row>
    <row r="120">
      <c r="A120" s="5" t="n">
        <v>45957</v>
      </c>
      <c r="B120" t="n">
        <v>114069</v>
      </c>
      <c r="C120" t="n">
        <v>30</v>
      </c>
      <c r="D120" t="n">
        <v>4</v>
      </c>
      <c r="E120" t="n">
        <v>5</v>
      </c>
      <c r="F120" t="n">
        <v>0</v>
      </c>
      <c r="G120" t="n">
        <v>0</v>
      </c>
      <c r="H120" t="n">
        <v>340000</v>
      </c>
      <c r="I120" t="n">
        <v>0</v>
      </c>
      <c r="J120" t="n">
        <v>340000</v>
      </c>
    </row>
    <row r="121">
      <c r="A121" s="5" t="n">
        <v>45958</v>
      </c>
      <c r="B121" t="n">
        <v>116163</v>
      </c>
      <c r="C121" t="n">
        <v>44</v>
      </c>
      <c r="D121" t="n">
        <v>10</v>
      </c>
      <c r="E121" t="n">
        <v>5</v>
      </c>
      <c r="F121" t="n">
        <v>3</v>
      </c>
      <c r="G121" t="n">
        <v>1140000</v>
      </c>
      <c r="H121" t="n">
        <v>1550000</v>
      </c>
      <c r="I121" t="n">
        <v>0</v>
      </c>
      <c r="J121" t="n">
        <v>1550000</v>
      </c>
    </row>
    <row r="122">
      <c r="A122" s="5" t="n">
        <v>45959</v>
      </c>
      <c r="B122" t="n">
        <v>108933</v>
      </c>
      <c r="C122" t="n">
        <v>32</v>
      </c>
      <c r="D122" t="n">
        <v>13</v>
      </c>
      <c r="E122" t="n">
        <v>6</v>
      </c>
      <c r="F122" t="n">
        <v>3</v>
      </c>
      <c r="G122" t="n">
        <v>1170000</v>
      </c>
      <c r="H122" t="n">
        <v>1000000</v>
      </c>
      <c r="I122" t="n">
        <v>0</v>
      </c>
      <c r="J122" t="n">
        <v>1000000</v>
      </c>
    </row>
    <row r="123">
      <c r="A123" s="5" t="n">
        <v>45960</v>
      </c>
      <c r="B123" t="n">
        <v>112293</v>
      </c>
      <c r="C123" t="n">
        <v>28</v>
      </c>
      <c r="D123" t="n">
        <v>12</v>
      </c>
      <c r="E123" t="n">
        <v>3</v>
      </c>
      <c r="F123" t="n">
        <v>0</v>
      </c>
      <c r="G123" t="n">
        <v>0</v>
      </c>
      <c r="H123" t="n">
        <v>340000</v>
      </c>
      <c r="I123" t="n">
        <v>0</v>
      </c>
      <c r="J123" t="n">
        <v>340000</v>
      </c>
    </row>
    <row r="124">
      <c r="A124" s="5" t="n">
        <v>45961</v>
      </c>
      <c r="B124" t="n">
        <v>108105</v>
      </c>
      <c r="C124" t="n">
        <v>29</v>
      </c>
      <c r="D124" t="n">
        <v>9</v>
      </c>
      <c r="E124" t="n">
        <v>5</v>
      </c>
      <c r="F124" t="n">
        <v>2</v>
      </c>
      <c r="G124" t="n">
        <v>630000</v>
      </c>
      <c r="H124" t="n">
        <v>150000</v>
      </c>
      <c r="I124" t="n">
        <v>0</v>
      </c>
      <c r="J124" t="n">
        <v>150000</v>
      </c>
    </row>
    <row r="125">
      <c r="A125" s="5" t="n">
        <v>45962</v>
      </c>
      <c r="B125" t="n">
        <v>111492</v>
      </c>
      <c r="C125" t="n">
        <v>18</v>
      </c>
      <c r="D125" t="n">
        <v>10</v>
      </c>
      <c r="E125" t="n">
        <v>3</v>
      </c>
      <c r="F125" t="n">
        <v>0</v>
      </c>
      <c r="G125" t="n">
        <v>0</v>
      </c>
      <c r="H125" t="n">
        <v>650000</v>
      </c>
      <c r="I125" t="n">
        <v>0</v>
      </c>
      <c r="J125" t="n">
        <v>650000</v>
      </c>
    </row>
    <row r="126">
      <c r="A126" s="5" t="n">
        <v>45963</v>
      </c>
      <c r="B126" t="n">
        <v>109776</v>
      </c>
      <c r="C126" t="n">
        <v>22</v>
      </c>
      <c r="D126" t="n">
        <v>7</v>
      </c>
      <c r="E126" t="n">
        <v>9</v>
      </c>
      <c r="F126" t="n">
        <v>3</v>
      </c>
      <c r="G126" t="n">
        <v>1440000</v>
      </c>
      <c r="H126" t="n">
        <v>0</v>
      </c>
      <c r="I126" t="n">
        <v>0</v>
      </c>
      <c r="J126" t="n">
        <v>0</v>
      </c>
    </row>
    <row r="127">
      <c r="A127" s="5" t="n">
        <v>45964</v>
      </c>
      <c r="B127" t="n">
        <v>116655</v>
      </c>
      <c r="C127" t="n">
        <v>35</v>
      </c>
      <c r="D127" t="n">
        <v>7</v>
      </c>
      <c r="E127" t="n">
        <v>2</v>
      </c>
      <c r="F127" t="n">
        <v>1</v>
      </c>
      <c r="G127" t="n">
        <v>480000</v>
      </c>
      <c r="H127" t="n">
        <v>650000</v>
      </c>
      <c r="I127" t="n">
        <v>0</v>
      </c>
      <c r="J127" t="n">
        <v>650000</v>
      </c>
    </row>
    <row r="128">
      <c r="A128" s="5" t="n">
        <v>45965</v>
      </c>
      <c r="B128" t="n">
        <v>113443</v>
      </c>
      <c r="C128" t="n">
        <v>33</v>
      </c>
      <c r="D128" t="n">
        <v>10</v>
      </c>
      <c r="E128" t="n">
        <v>8</v>
      </c>
      <c r="F128" t="n">
        <v>0</v>
      </c>
      <c r="G128" t="n">
        <v>0</v>
      </c>
      <c r="H128" t="n">
        <v>1610000</v>
      </c>
      <c r="I128" t="n">
        <v>0</v>
      </c>
      <c r="J128" t="n">
        <v>1610000</v>
      </c>
    </row>
    <row r="129">
      <c r="A129" s="5" t="n">
        <v>45966</v>
      </c>
      <c r="B129" t="n">
        <v>111985</v>
      </c>
      <c r="C129" t="n">
        <v>34</v>
      </c>
      <c r="D129" t="n">
        <v>9</v>
      </c>
      <c r="E129" t="n">
        <v>4</v>
      </c>
      <c r="F129" t="n">
        <v>0</v>
      </c>
      <c r="G129" t="n">
        <v>0</v>
      </c>
      <c r="H129" t="n">
        <v>0</v>
      </c>
      <c r="I129" t="n">
        <v>480000</v>
      </c>
      <c r="J129" t="n">
        <v>-480000</v>
      </c>
    </row>
    <row r="130">
      <c r="A130" s="5" t="n">
        <v>45967</v>
      </c>
      <c r="B130" t="n">
        <v>115153</v>
      </c>
      <c r="C130" t="n">
        <v>34</v>
      </c>
      <c r="D130" t="n">
        <v>7</v>
      </c>
      <c r="E130" t="n">
        <v>4</v>
      </c>
      <c r="F130" t="n">
        <v>1</v>
      </c>
      <c r="G130" t="n">
        <v>1500000</v>
      </c>
      <c r="H130" t="n">
        <v>920000</v>
      </c>
      <c r="I130" t="n">
        <v>0</v>
      </c>
      <c r="J130" t="n">
        <v>920000</v>
      </c>
    </row>
    <row r="131">
      <c r="A131" s="5" t="n">
        <v>45968</v>
      </c>
      <c r="B131" t="n">
        <v>115066</v>
      </c>
      <c r="C131" t="n">
        <v>26</v>
      </c>
      <c r="D131" t="n">
        <v>10</v>
      </c>
      <c r="E131" t="n">
        <v>3</v>
      </c>
      <c r="F131" t="n">
        <v>0</v>
      </c>
      <c r="G131" t="n">
        <v>0</v>
      </c>
      <c r="H131" t="n">
        <v>170000</v>
      </c>
      <c r="I131" t="n">
        <v>0</v>
      </c>
      <c r="J131" t="n">
        <v>170000</v>
      </c>
    </row>
    <row r="132">
      <c r="A132" s="5" t="n">
        <v>45969</v>
      </c>
      <c r="B132" t="n">
        <v>117958</v>
      </c>
      <c r="C132" t="n">
        <v>20</v>
      </c>
      <c r="D132" t="n">
        <v>12</v>
      </c>
      <c r="E132" t="n">
        <v>3</v>
      </c>
      <c r="F132" t="n">
        <v>1</v>
      </c>
      <c r="G132" t="n">
        <v>150000</v>
      </c>
      <c r="H132" t="n">
        <v>150000</v>
      </c>
      <c r="I132" t="n">
        <v>0</v>
      </c>
      <c r="J132" t="n">
        <v>150000</v>
      </c>
    </row>
    <row r="133">
      <c r="A133" s="5" t="n">
        <v>45970</v>
      </c>
      <c r="B133" t="n">
        <v>110844</v>
      </c>
      <c r="C133" t="n">
        <v>22</v>
      </c>
      <c r="D133" t="n">
        <v>7</v>
      </c>
      <c r="E133" t="n">
        <v>3</v>
      </c>
      <c r="F133" t="n">
        <v>4</v>
      </c>
      <c r="G133" t="n">
        <v>2040000</v>
      </c>
      <c r="H133" t="n">
        <v>170000</v>
      </c>
      <c r="I133" t="n">
        <v>0</v>
      </c>
      <c r="J133" t="n">
        <v>170000</v>
      </c>
    </row>
    <row r="134">
      <c r="A134" s="5" t="n">
        <v>45971</v>
      </c>
      <c r="B134" t="n">
        <v>113325</v>
      </c>
      <c r="C134" t="n">
        <v>27</v>
      </c>
      <c r="D134" t="n">
        <v>10</v>
      </c>
      <c r="E134" t="n">
        <v>7</v>
      </c>
      <c r="F134" t="n">
        <v>3</v>
      </c>
      <c r="G134" t="n">
        <v>2520000</v>
      </c>
      <c r="H134" t="n">
        <v>1840000</v>
      </c>
      <c r="I134" t="n">
        <v>0</v>
      </c>
      <c r="J134" t="n">
        <v>1840000</v>
      </c>
    </row>
    <row r="135">
      <c r="A135" s="5" t="n">
        <v>45972</v>
      </c>
      <c r="B135" t="n">
        <v>112779</v>
      </c>
      <c r="C135" t="n">
        <v>39</v>
      </c>
      <c r="D135" t="n">
        <v>8</v>
      </c>
      <c r="E135" t="n">
        <v>3</v>
      </c>
      <c r="F135" t="n">
        <v>1</v>
      </c>
      <c r="G135" t="n">
        <v>480000</v>
      </c>
      <c r="H135" t="n">
        <v>680000</v>
      </c>
      <c r="I135" t="n">
        <v>0</v>
      </c>
      <c r="J135" t="n">
        <v>680000</v>
      </c>
    </row>
    <row r="136">
      <c r="A136" s="5" t="n">
        <v>45973</v>
      </c>
      <c r="B136" t="n">
        <v>110032</v>
      </c>
      <c r="C136" t="n">
        <v>47</v>
      </c>
      <c r="D136" t="n">
        <v>9</v>
      </c>
      <c r="E136" t="n">
        <v>4</v>
      </c>
      <c r="F136" t="n">
        <v>1</v>
      </c>
      <c r="G136" t="n">
        <v>510000</v>
      </c>
      <c r="H136" t="n">
        <v>480000</v>
      </c>
      <c r="I136" t="n">
        <v>0</v>
      </c>
      <c r="J136" t="n">
        <v>480000</v>
      </c>
    </row>
    <row r="137">
      <c r="A137" s="5" t="n">
        <v>45974</v>
      </c>
      <c r="B137" t="n">
        <v>113766</v>
      </c>
      <c r="C137" t="n">
        <v>52</v>
      </c>
      <c r="D137" t="n">
        <v>11</v>
      </c>
      <c r="E137" t="n">
        <v>4</v>
      </c>
      <c r="F137" t="n">
        <v>2</v>
      </c>
      <c r="G137" t="n">
        <v>660000</v>
      </c>
      <c r="H137" t="n">
        <v>490000</v>
      </c>
      <c r="I137" t="n">
        <v>0</v>
      </c>
      <c r="J137" t="n">
        <v>490000</v>
      </c>
    </row>
    <row r="138">
      <c r="A138" s="5" t="n">
        <v>45975</v>
      </c>
      <c r="B138" t="n">
        <v>116034</v>
      </c>
      <c r="C138" t="n">
        <v>30</v>
      </c>
      <c r="D138" t="n">
        <v>17</v>
      </c>
      <c r="E138" t="n">
        <v>1</v>
      </c>
      <c r="F138" t="n">
        <v>3</v>
      </c>
      <c r="G138" t="n">
        <v>450000</v>
      </c>
      <c r="H138" t="n">
        <v>790000</v>
      </c>
      <c r="I138" t="n">
        <v>0</v>
      </c>
      <c r="J138" t="n">
        <v>790000</v>
      </c>
    </row>
    <row r="139">
      <c r="A139" s="5" t="n">
        <v>45976</v>
      </c>
      <c r="B139" t="n">
        <v>117012</v>
      </c>
      <c r="C139" t="n">
        <v>13</v>
      </c>
      <c r="D139" t="n">
        <v>12</v>
      </c>
      <c r="E139" t="n">
        <v>4</v>
      </c>
      <c r="F139" t="n">
        <v>1</v>
      </c>
      <c r="G139" t="n">
        <v>150000</v>
      </c>
      <c r="H139" t="n">
        <v>150000</v>
      </c>
      <c r="I139" t="n">
        <v>0</v>
      </c>
      <c r="J139" t="n">
        <v>150000</v>
      </c>
    </row>
    <row r="140">
      <c r="A140" s="5" t="n">
        <v>45977</v>
      </c>
      <c r="B140" t="n">
        <v>115380</v>
      </c>
      <c r="C140" t="n">
        <v>19</v>
      </c>
      <c r="D140" t="n">
        <v>6</v>
      </c>
      <c r="E140" t="n">
        <v>6</v>
      </c>
      <c r="F140" t="n">
        <v>1</v>
      </c>
      <c r="G140" t="n">
        <v>1500000</v>
      </c>
      <c r="H140" t="n">
        <v>750000</v>
      </c>
      <c r="I140" t="n">
        <v>0</v>
      </c>
      <c r="J140" t="n">
        <v>750000</v>
      </c>
    </row>
    <row r="141">
      <c r="A141" s="5" t="n">
        <v>45978</v>
      </c>
      <c r="B141" t="n">
        <v>113538</v>
      </c>
      <c r="C141" t="n">
        <v>32</v>
      </c>
      <c r="D141" t="n">
        <v>17</v>
      </c>
      <c r="E141" t="n">
        <v>8</v>
      </c>
      <c r="F141" t="n">
        <v>2</v>
      </c>
      <c r="G141" t="n">
        <v>990000</v>
      </c>
      <c r="H141" t="n">
        <v>170000</v>
      </c>
      <c r="I141" t="n">
        <v>0</v>
      </c>
      <c r="J141" t="n">
        <v>170000</v>
      </c>
    </row>
    <row r="142">
      <c r="A142" s="5" t="n">
        <v>45979</v>
      </c>
      <c r="B142" t="n">
        <v>114100</v>
      </c>
      <c r="C142" t="n">
        <v>35</v>
      </c>
      <c r="D142" t="n">
        <v>2</v>
      </c>
      <c r="E142" t="n">
        <v>4</v>
      </c>
      <c r="F142" t="n">
        <v>0</v>
      </c>
      <c r="G142" t="n">
        <v>0</v>
      </c>
      <c r="H142" t="n">
        <v>650000</v>
      </c>
      <c r="I142" t="n">
        <v>0</v>
      </c>
      <c r="J142" t="n">
        <v>650000</v>
      </c>
    </row>
    <row r="143">
      <c r="A143" s="5" t="n">
        <v>45980</v>
      </c>
      <c r="B143" t="n">
        <v>114908</v>
      </c>
      <c r="C143" t="n">
        <v>24</v>
      </c>
      <c r="D143" t="n">
        <v>7</v>
      </c>
      <c r="E143" t="n">
        <v>7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</row>
    <row r="144">
      <c r="A144" s="5" t="n">
        <v>45981</v>
      </c>
      <c r="B144" t="n">
        <v>113544</v>
      </c>
      <c r="C144" t="n">
        <v>28</v>
      </c>
      <c r="D144" t="n">
        <v>8</v>
      </c>
      <c r="E144" t="n">
        <v>5</v>
      </c>
      <c r="F144" t="n">
        <v>2</v>
      </c>
      <c r="G144" t="n">
        <v>960000</v>
      </c>
      <c r="H144" t="n">
        <v>170000</v>
      </c>
      <c r="I144" t="n">
        <v>0</v>
      </c>
      <c r="J144" t="n">
        <v>170000</v>
      </c>
    </row>
    <row r="145">
      <c r="A145" s="5" t="n">
        <v>45982</v>
      </c>
      <c r="B145" t="n">
        <v>116581</v>
      </c>
      <c r="C145" t="n">
        <v>20</v>
      </c>
      <c r="D145" t="n">
        <v>4</v>
      </c>
      <c r="E145" t="n">
        <v>3</v>
      </c>
      <c r="F145" t="n">
        <v>1</v>
      </c>
      <c r="G145" t="n">
        <v>480000</v>
      </c>
      <c r="H145" t="n">
        <v>1230000</v>
      </c>
      <c r="I145" t="n">
        <v>0</v>
      </c>
      <c r="J145" t="n">
        <v>1230000</v>
      </c>
    </row>
    <row r="146">
      <c r="A146" s="5" t="n">
        <v>45983</v>
      </c>
      <c r="B146" t="n">
        <v>117736</v>
      </c>
      <c r="C146" t="n">
        <v>11</v>
      </c>
      <c r="D146" t="n">
        <v>7</v>
      </c>
      <c r="E146" t="n">
        <v>3</v>
      </c>
      <c r="F146" t="n">
        <v>2</v>
      </c>
      <c r="G146" t="n">
        <v>630000</v>
      </c>
      <c r="H146" t="n">
        <v>1110000</v>
      </c>
      <c r="I146" t="n">
        <v>0</v>
      </c>
      <c r="J146" t="n">
        <v>1110000</v>
      </c>
    </row>
    <row r="147">
      <c r="A147" s="5" t="n">
        <v>45984</v>
      </c>
      <c r="B147" t="n">
        <v>111142</v>
      </c>
      <c r="C147" t="n">
        <v>22</v>
      </c>
      <c r="D147" t="n">
        <v>3</v>
      </c>
      <c r="E147" t="n">
        <v>4</v>
      </c>
      <c r="F147" t="n">
        <v>1</v>
      </c>
      <c r="G147" t="n">
        <v>480000</v>
      </c>
      <c r="H147" t="n">
        <v>1230000</v>
      </c>
      <c r="I147" t="n">
        <v>0</v>
      </c>
      <c r="J147" t="n">
        <v>1230000</v>
      </c>
    </row>
    <row r="148">
      <c r="A148" s="5" t="n">
        <v>45985</v>
      </c>
      <c r="B148" t="n">
        <v>115738</v>
      </c>
      <c r="C148" t="n">
        <v>30</v>
      </c>
      <c r="D148" t="n">
        <v>5</v>
      </c>
      <c r="E148" t="n">
        <v>2</v>
      </c>
      <c r="F148" t="n">
        <v>0</v>
      </c>
      <c r="G148" t="n">
        <v>0</v>
      </c>
      <c r="H148" t="n">
        <v>480000</v>
      </c>
      <c r="I148" t="n">
        <v>0</v>
      </c>
      <c r="J148" t="n">
        <v>480000</v>
      </c>
    </row>
    <row r="149">
      <c r="A149" s="5" t="n">
        <v>45986</v>
      </c>
      <c r="B149" t="n">
        <v>112274</v>
      </c>
      <c r="C149" t="n">
        <v>31</v>
      </c>
      <c r="D149" t="n">
        <v>10</v>
      </c>
      <c r="E149" t="n">
        <v>1</v>
      </c>
      <c r="F149" t="n">
        <v>1</v>
      </c>
      <c r="G149" t="n">
        <v>150000</v>
      </c>
      <c r="H149" t="n">
        <v>490000</v>
      </c>
      <c r="I149" t="n">
        <v>0</v>
      </c>
      <c r="J149" t="n">
        <v>490000</v>
      </c>
    </row>
    <row r="150">
      <c r="A150" s="5" t="n">
        <v>45987</v>
      </c>
      <c r="B150" t="n">
        <v>112205</v>
      </c>
      <c r="C150" t="n">
        <v>29</v>
      </c>
      <c r="D150" t="n">
        <v>9</v>
      </c>
      <c r="E150" t="n">
        <v>4</v>
      </c>
      <c r="F150" t="n">
        <v>0</v>
      </c>
      <c r="G150" t="n">
        <v>0</v>
      </c>
      <c r="H150" t="n">
        <v>170000</v>
      </c>
      <c r="I150" t="n">
        <v>75000</v>
      </c>
      <c r="J150" t="n">
        <v>95000</v>
      </c>
    </row>
    <row r="151">
      <c r="A151" s="5" t="n">
        <v>45988</v>
      </c>
      <c r="B151" t="n">
        <v>108350</v>
      </c>
      <c r="C151" t="n">
        <v>23</v>
      </c>
      <c r="D151" t="n">
        <v>7</v>
      </c>
      <c r="E151" t="n">
        <v>5</v>
      </c>
      <c r="F151" t="n">
        <v>1</v>
      </c>
      <c r="G151" t="n">
        <v>1500000</v>
      </c>
      <c r="H151" t="n">
        <v>0</v>
      </c>
      <c r="I151" t="n">
        <v>0</v>
      </c>
      <c r="J151" t="n">
        <v>0</v>
      </c>
    </row>
    <row r="152">
      <c r="A152" s="5" t="n">
        <v>45989</v>
      </c>
      <c r="B152" t="n">
        <v>114749</v>
      </c>
      <c r="C152" t="n">
        <v>29</v>
      </c>
      <c r="D152" t="n">
        <v>11</v>
      </c>
      <c r="E152" t="n">
        <v>3</v>
      </c>
      <c r="F152" t="n">
        <v>2</v>
      </c>
      <c r="G152" t="n">
        <v>1980000</v>
      </c>
      <c r="H152" t="n">
        <v>680000</v>
      </c>
      <c r="I152" t="n">
        <v>0</v>
      </c>
      <c r="J152" t="n">
        <v>680000</v>
      </c>
    </row>
    <row r="153">
      <c r="A153" s="5" t="n">
        <v>45990</v>
      </c>
      <c r="B153" t="n">
        <v>115266</v>
      </c>
      <c r="C153" t="n">
        <v>20</v>
      </c>
      <c r="D153" t="n">
        <v>11</v>
      </c>
      <c r="E153" t="n">
        <v>1</v>
      </c>
      <c r="F153" t="n">
        <v>4</v>
      </c>
      <c r="G153" t="n">
        <v>2280000</v>
      </c>
      <c r="H153" t="n">
        <v>5350000</v>
      </c>
      <c r="I153" t="n">
        <v>0</v>
      </c>
      <c r="J153" t="n">
        <v>5350000</v>
      </c>
    </row>
    <row r="154">
      <c r="A154" s="5" t="n">
        <v>45991</v>
      </c>
      <c r="B154" t="n">
        <v>114353</v>
      </c>
      <c r="C154" t="n">
        <v>23</v>
      </c>
      <c r="D154" t="n">
        <v>11</v>
      </c>
      <c r="E154" t="n">
        <v>4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</row>
    <row r="155">
      <c r="A155" s="5" t="n">
        <v>45992</v>
      </c>
      <c r="B155" t="n">
        <v>116210</v>
      </c>
      <c r="C155" t="n">
        <v>33</v>
      </c>
      <c r="D155" t="n">
        <v>9</v>
      </c>
      <c r="E155" t="n">
        <v>5</v>
      </c>
      <c r="F155" t="n">
        <v>2</v>
      </c>
      <c r="G155" t="n">
        <v>990000</v>
      </c>
      <c r="H155" t="n">
        <v>170000</v>
      </c>
      <c r="I155" t="n">
        <v>0</v>
      </c>
      <c r="J155" t="n">
        <v>170000</v>
      </c>
    </row>
    <row r="156">
      <c r="A156" s="5" t="n">
        <v>45993</v>
      </c>
      <c r="B156" t="n">
        <v>112773</v>
      </c>
      <c r="C156" t="n">
        <v>40</v>
      </c>
      <c r="D156" t="n">
        <v>8</v>
      </c>
      <c r="E156" t="n">
        <v>3</v>
      </c>
      <c r="F156" t="n">
        <v>0</v>
      </c>
      <c r="G156" t="n">
        <v>0</v>
      </c>
      <c r="H156" t="n">
        <v>650000</v>
      </c>
      <c r="I156" t="n">
        <v>0</v>
      </c>
      <c r="J156" t="n">
        <v>650000</v>
      </c>
    </row>
    <row r="157">
      <c r="A157" s="5" t="n">
        <v>45994</v>
      </c>
      <c r="B157" t="n">
        <v>114251</v>
      </c>
      <c r="C157" t="n">
        <v>44</v>
      </c>
      <c r="D157" t="n">
        <v>13</v>
      </c>
      <c r="E157" t="n">
        <v>4</v>
      </c>
      <c r="F157" t="n">
        <v>2</v>
      </c>
      <c r="G157" t="n">
        <v>990000</v>
      </c>
      <c r="H157" t="n">
        <v>0</v>
      </c>
      <c r="I157" t="n">
        <v>0</v>
      </c>
      <c r="J157" t="n">
        <v>0</v>
      </c>
    </row>
    <row r="158">
      <c r="A158" s="5" t="n">
        <v>45995</v>
      </c>
      <c r="B158" t="n">
        <v>110304</v>
      </c>
      <c r="C158" t="n">
        <v>28</v>
      </c>
      <c r="D158" t="n">
        <v>6</v>
      </c>
      <c r="E158" t="n">
        <v>7</v>
      </c>
      <c r="F158" t="n">
        <v>1</v>
      </c>
      <c r="G158" t="n">
        <v>480000</v>
      </c>
      <c r="H158" t="n">
        <v>650000</v>
      </c>
      <c r="I158" t="n">
        <v>170000</v>
      </c>
      <c r="J158" t="n">
        <v>480000</v>
      </c>
    </row>
    <row r="159">
      <c r="A159" s="5" t="n">
        <v>45996</v>
      </c>
      <c r="B159" t="n">
        <v>109662</v>
      </c>
      <c r="C159" t="n">
        <v>21</v>
      </c>
      <c r="D159" t="n">
        <v>15</v>
      </c>
      <c r="E159" t="n">
        <v>3</v>
      </c>
      <c r="F159" t="n">
        <v>0</v>
      </c>
      <c r="G159" t="n">
        <v>0</v>
      </c>
      <c r="H159" t="n">
        <v>480000</v>
      </c>
      <c r="I159" t="n">
        <v>0</v>
      </c>
      <c r="J159" t="n">
        <v>480000</v>
      </c>
    </row>
    <row r="160">
      <c r="A160" s="5" t="n">
        <v>45997</v>
      </c>
      <c r="B160" t="n">
        <v>109326</v>
      </c>
      <c r="C160" t="n">
        <v>19</v>
      </c>
      <c r="D160" t="n">
        <v>5</v>
      </c>
      <c r="E160" t="n">
        <v>4</v>
      </c>
      <c r="F160" t="n">
        <v>1</v>
      </c>
      <c r="G160" t="n">
        <v>480000</v>
      </c>
      <c r="H160" t="n">
        <v>750000</v>
      </c>
      <c r="I160" t="n">
        <v>0</v>
      </c>
      <c r="J160" t="n">
        <v>750000</v>
      </c>
    </row>
    <row r="161">
      <c r="A161" s="5" t="n">
        <v>45998</v>
      </c>
      <c r="B161" t="n">
        <v>116746</v>
      </c>
      <c r="C161" t="n">
        <v>19</v>
      </c>
      <c r="D161" t="n">
        <v>5</v>
      </c>
      <c r="E161" t="n">
        <v>5</v>
      </c>
      <c r="F161" t="n">
        <v>0</v>
      </c>
      <c r="G161" t="n">
        <v>0</v>
      </c>
      <c r="H161" t="n">
        <v>480000</v>
      </c>
      <c r="I161" t="n">
        <v>0</v>
      </c>
      <c r="J161" t="n">
        <v>480000</v>
      </c>
    </row>
    <row r="162">
      <c r="A162" s="5" t="n">
        <v>45999</v>
      </c>
      <c r="B162" t="n">
        <v>115774</v>
      </c>
      <c r="C162" t="n">
        <v>26</v>
      </c>
      <c r="D162" t="n">
        <v>7</v>
      </c>
      <c r="E162" t="n">
        <v>3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</row>
    <row r="163">
      <c r="A163" s="5" t="n">
        <v>46000</v>
      </c>
      <c r="B163" t="n">
        <v>114695</v>
      </c>
      <c r="C163" t="n">
        <v>33</v>
      </c>
      <c r="D163" t="n">
        <v>5</v>
      </c>
      <c r="E163" t="n">
        <v>6</v>
      </c>
      <c r="F163" t="n">
        <v>1</v>
      </c>
      <c r="G163" t="n">
        <v>480000</v>
      </c>
      <c r="H163" t="n">
        <v>170000</v>
      </c>
      <c r="I163" t="n">
        <v>0</v>
      </c>
      <c r="J163" t="n">
        <v>170000</v>
      </c>
    </row>
    <row r="164">
      <c r="A164" s="5" t="n">
        <v>46001</v>
      </c>
      <c r="B164" t="n">
        <v>113104</v>
      </c>
      <c r="C164" t="n">
        <v>26</v>
      </c>
      <c r="D164" t="n">
        <v>12</v>
      </c>
      <c r="E164" t="n">
        <v>1</v>
      </c>
      <c r="F164" t="n">
        <v>0</v>
      </c>
      <c r="G164" t="n">
        <v>0</v>
      </c>
      <c r="H164" t="n">
        <v>650000</v>
      </c>
      <c r="I164" t="n">
        <v>0</v>
      </c>
      <c r="J164" t="n">
        <v>650000</v>
      </c>
    </row>
    <row r="165">
      <c r="A165" s="5" t="n">
        <v>46002</v>
      </c>
      <c r="B165" t="n">
        <v>118466</v>
      </c>
      <c r="C165" t="n">
        <v>45</v>
      </c>
      <c r="D165" t="n">
        <v>1</v>
      </c>
      <c r="E165" t="n">
        <v>2</v>
      </c>
      <c r="F165" t="n">
        <v>1</v>
      </c>
      <c r="G165" t="n">
        <v>480000</v>
      </c>
      <c r="H165" t="n">
        <v>510000</v>
      </c>
      <c r="I165" t="n">
        <v>0</v>
      </c>
      <c r="J165" t="n">
        <v>510000</v>
      </c>
    </row>
    <row r="166">
      <c r="A166" s="5" t="n">
        <v>46003</v>
      </c>
      <c r="B166" t="n">
        <v>114742</v>
      </c>
      <c r="C166" t="n">
        <v>27</v>
      </c>
      <c r="D166" t="n">
        <v>8</v>
      </c>
      <c r="E166" t="n">
        <v>4</v>
      </c>
      <c r="F166" t="n">
        <v>1</v>
      </c>
      <c r="G166" t="n">
        <v>480000</v>
      </c>
      <c r="H166" t="n">
        <v>960000</v>
      </c>
      <c r="I166" t="n">
        <v>0</v>
      </c>
      <c r="J166" t="n">
        <v>960000</v>
      </c>
    </row>
    <row r="167">
      <c r="A167" s="5" t="n">
        <v>46004</v>
      </c>
      <c r="B167" t="n">
        <v>110159</v>
      </c>
      <c r="C167" t="n">
        <v>14</v>
      </c>
      <c r="D167" t="n">
        <v>12</v>
      </c>
      <c r="E167" t="n">
        <v>4</v>
      </c>
      <c r="F167" t="n">
        <v>3</v>
      </c>
      <c r="G167" t="n">
        <v>2160000</v>
      </c>
      <c r="H167" t="n">
        <v>490000</v>
      </c>
      <c r="I167" t="n">
        <v>0</v>
      </c>
      <c r="J167" t="n">
        <v>490000</v>
      </c>
    </row>
    <row r="168">
      <c r="A168" s="5" t="n">
        <v>46005</v>
      </c>
      <c r="B168" t="n">
        <v>110185</v>
      </c>
      <c r="C168" t="n">
        <v>19</v>
      </c>
      <c r="D168" t="n">
        <v>7</v>
      </c>
      <c r="E168" t="n">
        <v>5</v>
      </c>
      <c r="F168" t="n">
        <v>4</v>
      </c>
      <c r="G168" t="n">
        <v>1620000</v>
      </c>
      <c r="H168" t="n">
        <v>2470000</v>
      </c>
      <c r="I168" t="n">
        <v>0</v>
      </c>
      <c r="J168" t="n">
        <v>2470000</v>
      </c>
    </row>
    <row r="169">
      <c r="A169" s="5" t="n">
        <v>46006</v>
      </c>
      <c r="B169" t="n">
        <v>112525</v>
      </c>
      <c r="C169" t="n">
        <v>26</v>
      </c>
      <c r="D169" t="n">
        <v>6</v>
      </c>
      <c r="E169" t="n">
        <v>4</v>
      </c>
      <c r="F169" t="n">
        <v>0</v>
      </c>
      <c r="G169" t="n">
        <v>0</v>
      </c>
      <c r="H169" t="n">
        <v>480000</v>
      </c>
      <c r="I169" t="n">
        <v>0</v>
      </c>
      <c r="J169" t="n">
        <v>480000</v>
      </c>
    </row>
    <row r="170">
      <c r="A170" s="5" t="n">
        <v>46007</v>
      </c>
      <c r="B170" t="n">
        <v>116301</v>
      </c>
      <c r="C170" t="n">
        <v>44</v>
      </c>
      <c r="D170" t="n">
        <v>8</v>
      </c>
      <c r="E170" t="n">
        <v>3</v>
      </c>
      <c r="F170" t="n">
        <v>0</v>
      </c>
      <c r="G170" t="n">
        <v>0</v>
      </c>
      <c r="H170" t="n">
        <v>920000</v>
      </c>
      <c r="I170" t="n">
        <v>0</v>
      </c>
      <c r="J170" t="n">
        <v>920000</v>
      </c>
    </row>
    <row r="171">
      <c r="A171" s="5" t="n">
        <v>46008</v>
      </c>
      <c r="B171" t="n">
        <v>115050</v>
      </c>
      <c r="C171" t="n">
        <v>40</v>
      </c>
      <c r="D171" t="n">
        <v>9</v>
      </c>
      <c r="E171" t="n">
        <v>4</v>
      </c>
      <c r="F171" t="n">
        <v>2</v>
      </c>
      <c r="G171" t="n">
        <v>300000</v>
      </c>
      <c r="H171" t="n">
        <v>470000</v>
      </c>
      <c r="I171" t="n">
        <v>0</v>
      </c>
      <c r="J171" t="n">
        <v>470000</v>
      </c>
    </row>
    <row r="172">
      <c r="A172" s="5" t="n">
        <v>46009</v>
      </c>
      <c r="B172" t="n">
        <v>114018</v>
      </c>
      <c r="C172" t="n">
        <v>31</v>
      </c>
      <c r="D172" t="n">
        <v>9</v>
      </c>
      <c r="E172" t="n">
        <v>2</v>
      </c>
      <c r="F172" t="n">
        <v>0</v>
      </c>
      <c r="G172" t="n">
        <v>0</v>
      </c>
      <c r="H172" t="n">
        <v>170000</v>
      </c>
      <c r="I172" t="n">
        <v>0</v>
      </c>
      <c r="J172" t="n">
        <v>170000</v>
      </c>
    </row>
    <row r="173">
      <c r="A173" s="5" t="n">
        <v>46010</v>
      </c>
      <c r="B173" t="n">
        <v>113386</v>
      </c>
      <c r="C173" t="n">
        <v>25</v>
      </c>
      <c r="D173" t="n">
        <v>14</v>
      </c>
      <c r="E173" t="n">
        <v>8</v>
      </c>
      <c r="F173" t="n">
        <v>2</v>
      </c>
      <c r="G173" t="n">
        <v>1980000</v>
      </c>
      <c r="H173" t="n">
        <v>0</v>
      </c>
      <c r="I173" t="n">
        <v>1500000</v>
      </c>
      <c r="J173" t="n">
        <v>-1500000</v>
      </c>
    </row>
    <row r="174">
      <c r="A174" s="5" t="n">
        <v>46011</v>
      </c>
      <c r="B174" t="n">
        <v>117181</v>
      </c>
      <c r="C174" t="n">
        <v>6</v>
      </c>
      <c r="D174" t="n">
        <v>8</v>
      </c>
      <c r="E174" t="n">
        <v>4</v>
      </c>
      <c r="F174" t="n">
        <v>1</v>
      </c>
      <c r="G174" t="n">
        <v>480000</v>
      </c>
      <c r="H174" t="n">
        <v>2150000</v>
      </c>
      <c r="I174" t="n">
        <v>0</v>
      </c>
      <c r="J174" t="n">
        <v>2150000</v>
      </c>
    </row>
    <row r="175">
      <c r="A175" s="5" t="n">
        <v>46012</v>
      </c>
      <c r="B175" t="n">
        <v>112412</v>
      </c>
      <c r="C175" t="n">
        <v>15</v>
      </c>
      <c r="D175" t="n">
        <v>4</v>
      </c>
      <c r="E175" t="n">
        <v>5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</row>
    <row r="176">
      <c r="A176" s="5" t="n">
        <v>46013</v>
      </c>
      <c r="B176" t="n">
        <v>109218</v>
      </c>
      <c r="C176" t="n">
        <v>28</v>
      </c>
      <c r="D176" t="n">
        <v>3</v>
      </c>
      <c r="E176" t="n">
        <v>8</v>
      </c>
      <c r="F176" t="n">
        <v>2</v>
      </c>
      <c r="G176" t="n">
        <v>660000</v>
      </c>
      <c r="H176" t="n">
        <v>800000</v>
      </c>
      <c r="I176" t="n">
        <v>0</v>
      </c>
      <c r="J176" t="n">
        <v>800000</v>
      </c>
    </row>
    <row r="177">
      <c r="A177" s="5" t="n">
        <v>46014</v>
      </c>
      <c r="B177" t="n">
        <v>106986</v>
      </c>
      <c r="C177" t="n">
        <v>25</v>
      </c>
      <c r="D177" t="n">
        <v>7</v>
      </c>
      <c r="E177" t="n">
        <v>1</v>
      </c>
      <c r="F177" t="n">
        <v>2</v>
      </c>
      <c r="G177" t="n">
        <v>960000</v>
      </c>
      <c r="H177" t="n">
        <v>480000</v>
      </c>
      <c r="I177" t="n">
        <v>0</v>
      </c>
      <c r="J177" t="n">
        <v>480000</v>
      </c>
    </row>
    <row r="178">
      <c r="A178" s="5" t="n">
        <v>46015</v>
      </c>
      <c r="B178" t="n">
        <v>117649</v>
      </c>
      <c r="C178" t="n">
        <v>22</v>
      </c>
      <c r="D178" t="n">
        <v>8</v>
      </c>
      <c r="E178" t="n">
        <v>1</v>
      </c>
      <c r="F178" t="n">
        <v>3</v>
      </c>
      <c r="G178" t="n">
        <v>2490000</v>
      </c>
      <c r="H178" t="n">
        <v>2460000</v>
      </c>
      <c r="I178" t="n">
        <v>0</v>
      </c>
      <c r="J178" t="n">
        <v>2460000</v>
      </c>
    </row>
    <row r="179">
      <c r="A179" s="5" t="n">
        <v>46016</v>
      </c>
      <c r="B179" t="n">
        <v>114137</v>
      </c>
      <c r="C179" t="n">
        <v>12</v>
      </c>
      <c r="D179" t="n">
        <v>7</v>
      </c>
      <c r="E179" t="n">
        <v>4</v>
      </c>
      <c r="F179" t="n">
        <v>3</v>
      </c>
      <c r="G179" t="n">
        <v>1170000</v>
      </c>
      <c r="H179" t="n">
        <v>660000</v>
      </c>
      <c r="I179" t="n">
        <v>0</v>
      </c>
      <c r="J179" t="n">
        <v>660000</v>
      </c>
    </row>
    <row r="180">
      <c r="A180" s="5" t="n">
        <v>46017</v>
      </c>
      <c r="B180" t="n">
        <v>105773</v>
      </c>
      <c r="C180" t="n">
        <v>18</v>
      </c>
      <c r="D180" t="n">
        <v>6</v>
      </c>
      <c r="E180" t="n">
        <v>1</v>
      </c>
      <c r="F180" t="n">
        <v>0</v>
      </c>
      <c r="G180" t="n">
        <v>0</v>
      </c>
      <c r="H180" t="n">
        <v>170000</v>
      </c>
      <c r="I180" t="n">
        <v>0</v>
      </c>
      <c r="J180" t="n">
        <v>170000</v>
      </c>
    </row>
    <row r="181">
      <c r="A181" s="5" t="n">
        <v>46018</v>
      </c>
      <c r="B181" t="n">
        <v>116666</v>
      </c>
      <c r="C181" t="n">
        <v>15</v>
      </c>
      <c r="D181" t="n">
        <v>4</v>
      </c>
      <c r="E181" t="n">
        <v>5</v>
      </c>
      <c r="F181" t="n">
        <v>2</v>
      </c>
      <c r="G181" t="n">
        <v>3000000</v>
      </c>
      <c r="H181" t="n">
        <v>750000</v>
      </c>
      <c r="I181" t="n">
        <v>0</v>
      </c>
      <c r="J181" t="n">
        <v>750000</v>
      </c>
    </row>
    <row r="182">
      <c r="A182" s="5" t="n">
        <v>46019</v>
      </c>
      <c r="B182" t="n">
        <v>115046</v>
      </c>
      <c r="C182" t="n">
        <v>20</v>
      </c>
      <c r="D182" t="n">
        <v>1</v>
      </c>
      <c r="E182" t="n">
        <v>3</v>
      </c>
      <c r="F182" t="n">
        <v>1</v>
      </c>
      <c r="G182" t="n">
        <v>480000</v>
      </c>
      <c r="H182" t="n">
        <v>2320000</v>
      </c>
      <c r="I182" t="n">
        <v>0</v>
      </c>
      <c r="J182" t="n">
        <v>2320000</v>
      </c>
    </row>
    <row r="183">
      <c r="A183" s="5" t="n">
        <v>46020</v>
      </c>
      <c r="B183" t="n">
        <v>116903</v>
      </c>
      <c r="C183" t="n">
        <v>16</v>
      </c>
      <c r="D183" t="n">
        <v>6</v>
      </c>
      <c r="E183" t="n">
        <v>2</v>
      </c>
      <c r="F183" t="n">
        <v>1</v>
      </c>
      <c r="G183" t="n">
        <v>150000</v>
      </c>
      <c r="H183" t="n">
        <v>1070000</v>
      </c>
      <c r="I183" t="n">
        <v>1500000</v>
      </c>
      <c r="J183" t="n">
        <v>-430000</v>
      </c>
    </row>
    <row r="184">
      <c r="A184" s="5" t="n">
        <v>46021</v>
      </c>
      <c r="B184" t="n">
        <v>110397</v>
      </c>
      <c r="C184" t="n">
        <v>27</v>
      </c>
      <c r="D184" t="n">
        <v>6</v>
      </c>
      <c r="E184" t="n">
        <v>2</v>
      </c>
      <c r="F184" t="n">
        <v>2</v>
      </c>
      <c r="G184" t="n">
        <v>3000000</v>
      </c>
      <c r="H184" t="n">
        <v>0</v>
      </c>
      <c r="I184" t="n">
        <v>0</v>
      </c>
      <c r="J184" t="n">
        <v>0</v>
      </c>
    </row>
    <row r="185">
      <c r="A185" s="5" t="n">
        <v>46022</v>
      </c>
      <c r="B185" t="n">
        <v>110137</v>
      </c>
      <c r="C185" t="n">
        <v>26</v>
      </c>
      <c r="D185" t="n">
        <v>7</v>
      </c>
      <c r="E185" t="n">
        <v>0</v>
      </c>
      <c r="F185" t="n">
        <v>0</v>
      </c>
      <c r="G185" t="n">
        <v>0</v>
      </c>
      <c r="H185" t="n">
        <v>3000000</v>
      </c>
      <c r="I185" t="n">
        <v>0</v>
      </c>
      <c r="J185" t="n">
        <v>3000000</v>
      </c>
    </row>
    <row r="186">
      <c r="A186" s="5" t="n">
        <v>46023</v>
      </c>
      <c r="B186" t="n">
        <v>108616</v>
      </c>
      <c r="C186" t="n">
        <v>21</v>
      </c>
      <c r="D186" t="n">
        <v>8</v>
      </c>
      <c r="E186" t="n">
        <v>2</v>
      </c>
      <c r="F186" t="n">
        <v>0</v>
      </c>
      <c r="G186" t="n">
        <v>0</v>
      </c>
      <c r="H186" t="n">
        <v>170000</v>
      </c>
      <c r="I186" t="n">
        <v>0</v>
      </c>
      <c r="J186" t="n">
        <v>170000</v>
      </c>
    </row>
    <row r="187">
      <c r="A187" s="5" t="n">
        <v>46024</v>
      </c>
      <c r="B187" t="n">
        <v>113065</v>
      </c>
      <c r="C187" t="n">
        <v>16</v>
      </c>
      <c r="D187" t="n">
        <v>7</v>
      </c>
      <c r="E187" t="n">
        <v>4</v>
      </c>
      <c r="F187" t="n">
        <v>1</v>
      </c>
      <c r="G187" t="n">
        <v>480000</v>
      </c>
      <c r="H187" t="n">
        <v>0</v>
      </c>
      <c r="I187" t="n">
        <v>0</v>
      </c>
      <c r="J187" t="n">
        <v>0</v>
      </c>
    </row>
    <row r="188">
      <c r="A188" s="5" t="n">
        <v>46025</v>
      </c>
      <c r="B188" t="n">
        <v>116284</v>
      </c>
      <c r="C188" t="n">
        <v>22</v>
      </c>
      <c r="D188" t="n">
        <v>10</v>
      </c>
      <c r="E188" t="n">
        <v>3</v>
      </c>
      <c r="F188" t="n">
        <v>3</v>
      </c>
      <c r="G188" t="n">
        <v>780000</v>
      </c>
      <c r="H188" t="n">
        <v>950000</v>
      </c>
      <c r="I188" t="n">
        <v>0</v>
      </c>
      <c r="J188" t="n">
        <v>950000</v>
      </c>
    </row>
    <row r="189">
      <c r="A189" s="5" t="n">
        <v>46026</v>
      </c>
      <c r="B189" t="n">
        <v>116716</v>
      </c>
      <c r="C189" t="n">
        <v>24</v>
      </c>
      <c r="D189" t="n">
        <v>6</v>
      </c>
      <c r="E189" t="n">
        <v>3</v>
      </c>
      <c r="F189" t="n">
        <v>2</v>
      </c>
      <c r="G189" t="n">
        <v>1650000</v>
      </c>
      <c r="H189" t="n">
        <v>630000</v>
      </c>
      <c r="I189" t="n">
        <v>0</v>
      </c>
      <c r="J189" t="n">
        <v>630000</v>
      </c>
    </row>
    <row r="190">
      <c r="A190" s="5" t="n">
        <v>46027</v>
      </c>
      <c r="B190" t="n">
        <v>113068</v>
      </c>
      <c r="C190" t="n">
        <v>42</v>
      </c>
      <c r="D190" t="n">
        <v>9</v>
      </c>
      <c r="E190" t="n">
        <v>1</v>
      </c>
      <c r="F190" t="n">
        <v>1</v>
      </c>
      <c r="G190" t="n">
        <v>1500000</v>
      </c>
      <c r="H190" t="n">
        <v>2250000</v>
      </c>
      <c r="I190" t="n">
        <v>0</v>
      </c>
      <c r="J190" t="n">
        <v>2250000</v>
      </c>
    </row>
    <row r="191">
      <c r="A191" s="5" t="n">
        <v>46028</v>
      </c>
      <c r="B191" t="n">
        <v>113729</v>
      </c>
      <c r="C191" t="n">
        <v>50</v>
      </c>
      <c r="D191" t="n">
        <v>8</v>
      </c>
      <c r="E191" t="n">
        <v>4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</row>
    <row r="192">
      <c r="A192" s="5" t="n">
        <v>46029</v>
      </c>
      <c r="B192" t="n">
        <v>110622</v>
      </c>
      <c r="C192" t="n">
        <v>32</v>
      </c>
      <c r="D192" t="n">
        <v>10</v>
      </c>
      <c r="E192" t="n">
        <v>6</v>
      </c>
      <c r="F192" t="n">
        <v>1</v>
      </c>
      <c r="G192" t="n">
        <v>510000</v>
      </c>
      <c r="H192" t="n">
        <v>0</v>
      </c>
      <c r="I192" t="n">
        <v>0</v>
      </c>
      <c r="J192" t="n">
        <v>0</v>
      </c>
    </row>
    <row r="193">
      <c r="A193" s="5" t="n">
        <v>46030</v>
      </c>
      <c r="B193" t="n">
        <v>117330</v>
      </c>
      <c r="C193" t="n">
        <v>61</v>
      </c>
      <c r="D193" t="n">
        <v>8</v>
      </c>
      <c r="E193" t="n">
        <v>1</v>
      </c>
      <c r="F193" t="n">
        <v>1</v>
      </c>
      <c r="G193" t="n">
        <v>480000</v>
      </c>
      <c r="H193" t="n">
        <v>340000</v>
      </c>
      <c r="I193" t="n">
        <v>0</v>
      </c>
      <c r="J193" t="n">
        <v>340000</v>
      </c>
    </row>
    <row r="194">
      <c r="A194" s="5" t="n">
        <v>46031</v>
      </c>
      <c r="B194" t="n">
        <v>112222</v>
      </c>
      <c r="C194" t="n">
        <v>34</v>
      </c>
      <c r="D194" t="n">
        <v>17</v>
      </c>
      <c r="E194" t="n">
        <v>3</v>
      </c>
      <c r="F194" t="n">
        <v>0</v>
      </c>
      <c r="G194" t="n">
        <v>0</v>
      </c>
      <c r="H194" t="n">
        <v>650000</v>
      </c>
      <c r="I194" t="n">
        <v>0</v>
      </c>
      <c r="J194" t="n">
        <v>650000</v>
      </c>
    </row>
    <row r="195">
      <c r="A195" s="5" t="n">
        <v>46032</v>
      </c>
      <c r="B195" t="n">
        <v>112131</v>
      </c>
      <c r="C195" t="n">
        <v>24</v>
      </c>
      <c r="D195" t="n">
        <v>12</v>
      </c>
      <c r="E195" t="n">
        <v>5</v>
      </c>
      <c r="F195" t="n">
        <v>1</v>
      </c>
      <c r="G195" t="n">
        <v>510000</v>
      </c>
      <c r="H195" t="n">
        <v>510000</v>
      </c>
      <c r="I195" t="n">
        <v>480000</v>
      </c>
      <c r="J195" t="n">
        <v>30000</v>
      </c>
    </row>
    <row r="196">
      <c r="A196" s="5" t="n">
        <v>46033</v>
      </c>
      <c r="B196" t="n">
        <v>116045</v>
      </c>
      <c r="C196" t="n">
        <v>26</v>
      </c>
      <c r="D196" t="n">
        <v>8</v>
      </c>
      <c r="E196" t="n">
        <v>7</v>
      </c>
      <c r="F196" t="n">
        <v>2</v>
      </c>
      <c r="G196" t="n">
        <v>960000</v>
      </c>
      <c r="H196" t="n">
        <v>650000</v>
      </c>
      <c r="I196" t="n">
        <v>0</v>
      </c>
      <c r="J196" t="n">
        <v>650000</v>
      </c>
    </row>
    <row r="197">
      <c r="A197" s="5" t="n">
        <v>46034</v>
      </c>
      <c r="B197" t="n">
        <v>112695</v>
      </c>
      <c r="C197" t="n">
        <v>26</v>
      </c>
      <c r="D197" t="n">
        <v>9</v>
      </c>
      <c r="E197" t="n">
        <v>5</v>
      </c>
      <c r="F197" t="n">
        <v>0</v>
      </c>
      <c r="G197" t="n">
        <v>0</v>
      </c>
      <c r="H197" t="n">
        <v>820000</v>
      </c>
      <c r="I197" t="n">
        <v>0</v>
      </c>
      <c r="J197" t="n">
        <v>820000</v>
      </c>
    </row>
    <row r="198">
      <c r="A198" s="5" t="n">
        <v>46035</v>
      </c>
      <c r="B198" t="n">
        <v>115338</v>
      </c>
      <c r="C198" t="n">
        <v>37</v>
      </c>
      <c r="D198" t="n">
        <v>9</v>
      </c>
      <c r="E198" t="n">
        <v>4</v>
      </c>
      <c r="F198" t="n">
        <v>0</v>
      </c>
      <c r="G198" t="n">
        <v>0</v>
      </c>
      <c r="H198" t="n">
        <v>340000</v>
      </c>
      <c r="I198" t="n">
        <v>0</v>
      </c>
      <c r="J198" t="n">
        <v>340000</v>
      </c>
    </row>
    <row r="199">
      <c r="A199" s="5" t="n">
        <v>46036</v>
      </c>
      <c r="B199" t="n">
        <v>116694</v>
      </c>
      <c r="C199" t="n">
        <v>33</v>
      </c>
      <c r="D199" t="n">
        <v>7</v>
      </c>
      <c r="E199" t="n">
        <v>5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</row>
    <row r="200">
      <c r="A200" s="5" t="n">
        <v>46037</v>
      </c>
      <c r="B200" t="n">
        <v>108081</v>
      </c>
      <c r="C200" t="n">
        <v>35</v>
      </c>
      <c r="D200" t="n">
        <v>6</v>
      </c>
      <c r="E200" t="n">
        <v>5</v>
      </c>
      <c r="F200" t="n">
        <v>1</v>
      </c>
      <c r="G200" t="n">
        <v>150000</v>
      </c>
      <c r="H200" t="n">
        <v>320000</v>
      </c>
      <c r="I200" t="n">
        <v>0</v>
      </c>
      <c r="J200" t="n">
        <v>320000</v>
      </c>
    </row>
    <row r="201">
      <c r="A201" s="5" t="n">
        <v>46038</v>
      </c>
      <c r="B201" t="n">
        <v>113905</v>
      </c>
      <c r="C201" t="n">
        <v>33</v>
      </c>
      <c r="D201" t="n">
        <v>9</v>
      </c>
      <c r="E201" t="n">
        <v>1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</row>
    <row r="202">
      <c r="A202" s="5" t="n">
        <v>46039</v>
      </c>
      <c r="B202" t="n">
        <v>113159</v>
      </c>
      <c r="C202" t="n">
        <v>21</v>
      </c>
      <c r="D202" t="n">
        <v>5</v>
      </c>
      <c r="E202" t="n">
        <v>8</v>
      </c>
      <c r="F202" t="n">
        <v>1</v>
      </c>
      <c r="G202" t="n">
        <v>150000</v>
      </c>
      <c r="H202" t="n">
        <v>320000</v>
      </c>
      <c r="I202" t="n">
        <v>0</v>
      </c>
      <c r="J202" t="n">
        <v>320000</v>
      </c>
    </row>
    <row r="203">
      <c r="A203" s="5" t="n">
        <v>46040</v>
      </c>
      <c r="B203" t="n">
        <v>110796</v>
      </c>
      <c r="C203" t="n">
        <v>23</v>
      </c>
      <c r="D203" t="n">
        <v>9</v>
      </c>
      <c r="E203" t="n">
        <v>3</v>
      </c>
      <c r="F203" t="n">
        <v>2</v>
      </c>
      <c r="G203" t="n">
        <v>660000</v>
      </c>
      <c r="H203" t="n">
        <v>320000</v>
      </c>
      <c r="I203" t="n">
        <v>0</v>
      </c>
      <c r="J203" t="n">
        <v>320000</v>
      </c>
    </row>
    <row r="204">
      <c r="A204" s="5" t="n">
        <v>46041</v>
      </c>
      <c r="B204" t="n">
        <v>109236</v>
      </c>
      <c r="C204" t="n">
        <v>35</v>
      </c>
      <c r="D204" t="n">
        <v>7</v>
      </c>
      <c r="E204" t="n">
        <v>4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</row>
    <row r="205">
      <c r="A205" s="5" t="n">
        <v>46042</v>
      </c>
      <c r="B205" t="n">
        <v>113736</v>
      </c>
      <c r="C205" t="n">
        <v>52</v>
      </c>
      <c r="D205" t="n">
        <v>10</v>
      </c>
      <c r="E205" t="n">
        <v>5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</row>
    <row r="206">
      <c r="A206" s="5" t="n">
        <v>46043</v>
      </c>
      <c r="B206" t="n">
        <v>114123</v>
      </c>
      <c r="C206" t="n">
        <v>39</v>
      </c>
      <c r="D206" t="n">
        <v>14</v>
      </c>
      <c r="E206" t="n">
        <v>3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</row>
    <row r="207">
      <c r="A207" s="5" t="n">
        <v>46044</v>
      </c>
      <c r="B207" t="n">
        <v>113301</v>
      </c>
      <c r="C207" t="n">
        <v>30</v>
      </c>
      <c r="D207" t="n">
        <v>11</v>
      </c>
      <c r="E207" t="n">
        <v>5</v>
      </c>
      <c r="F207" t="n">
        <v>1</v>
      </c>
      <c r="G207" t="n">
        <v>480000</v>
      </c>
      <c r="H207" t="n">
        <v>0</v>
      </c>
      <c r="I207" t="n">
        <v>0</v>
      </c>
      <c r="J207" t="n">
        <v>0</v>
      </c>
    </row>
    <row r="208">
      <c r="A208" s="5" t="n">
        <v>46045</v>
      </c>
      <c r="B208" t="n">
        <v>113321</v>
      </c>
      <c r="C208" t="n">
        <v>33</v>
      </c>
      <c r="D208" t="n">
        <v>17</v>
      </c>
      <c r="E208" t="n">
        <v>2</v>
      </c>
      <c r="F208" t="n">
        <v>1</v>
      </c>
      <c r="G208" t="n">
        <v>480000</v>
      </c>
      <c r="H208" t="n">
        <v>480000</v>
      </c>
      <c r="I208" t="n">
        <v>0</v>
      </c>
      <c r="J208" t="n">
        <v>480000</v>
      </c>
    </row>
    <row r="209">
      <c r="A209" s="5" t="n">
        <v>46046</v>
      </c>
      <c r="B209" t="n">
        <v>109234</v>
      </c>
      <c r="C209" t="n">
        <v>18</v>
      </c>
      <c r="D209" t="n">
        <v>7</v>
      </c>
      <c r="E209" t="n">
        <v>7</v>
      </c>
      <c r="F209" t="n">
        <v>1</v>
      </c>
      <c r="G209" t="n">
        <v>510000</v>
      </c>
      <c r="H209" t="n">
        <v>170000</v>
      </c>
      <c r="I209" t="n">
        <v>0</v>
      </c>
      <c r="J209" t="n">
        <v>170000</v>
      </c>
    </row>
    <row r="210">
      <c r="A210" s="5" t="n">
        <v>46047</v>
      </c>
      <c r="B210" t="n">
        <v>109091</v>
      </c>
      <c r="C210" t="n">
        <v>20</v>
      </c>
      <c r="D210" t="n">
        <v>12</v>
      </c>
      <c r="E210" t="n">
        <v>1</v>
      </c>
      <c r="F210" t="n">
        <v>1</v>
      </c>
      <c r="G210" t="n">
        <v>1500000</v>
      </c>
      <c r="H210" t="n">
        <v>2320000</v>
      </c>
      <c r="I210" t="n">
        <v>0</v>
      </c>
      <c r="J210" t="n">
        <v>2320000</v>
      </c>
    </row>
    <row r="211">
      <c r="A211" s="5" t="n">
        <v>46048</v>
      </c>
      <c r="B211" t="n">
        <v>108644</v>
      </c>
      <c r="C211" t="n">
        <v>33</v>
      </c>
      <c r="D211" t="n">
        <v>8</v>
      </c>
      <c r="E211" t="n">
        <v>5</v>
      </c>
      <c r="F211" t="n">
        <v>0</v>
      </c>
      <c r="G211" t="n">
        <v>0</v>
      </c>
      <c r="H211" t="n">
        <v>750000</v>
      </c>
      <c r="I211" t="n">
        <v>0</v>
      </c>
      <c r="J211" t="n">
        <v>750000</v>
      </c>
    </row>
    <row r="212">
      <c r="A212" s="5" t="n">
        <v>46049</v>
      </c>
      <c r="B212" t="n">
        <v>110229</v>
      </c>
      <c r="C212" t="n">
        <v>45</v>
      </c>
      <c r="D212" t="n">
        <v>3</v>
      </c>
      <c r="E212" t="n">
        <v>2</v>
      </c>
      <c r="F212" t="n">
        <v>1</v>
      </c>
      <c r="G212" t="n">
        <v>480000</v>
      </c>
      <c r="H212" t="n">
        <v>480000</v>
      </c>
      <c r="I212" t="n">
        <v>0</v>
      </c>
      <c r="J212" t="n">
        <v>480000</v>
      </c>
    </row>
    <row r="213">
      <c r="A213" s="5" t="n">
        <v>46050</v>
      </c>
      <c r="B213" t="n">
        <v>110134</v>
      </c>
      <c r="C213" t="n">
        <v>45</v>
      </c>
      <c r="D213" t="n">
        <v>13</v>
      </c>
      <c r="E213" t="n">
        <v>2</v>
      </c>
      <c r="F213" t="n">
        <v>2</v>
      </c>
      <c r="G213" t="n">
        <v>990000</v>
      </c>
      <c r="H213" t="n">
        <v>480000</v>
      </c>
      <c r="I213" t="n">
        <v>0</v>
      </c>
      <c r="J213" t="n">
        <v>480000</v>
      </c>
    </row>
    <row r="214">
      <c r="A214" s="5" t="n">
        <v>46051</v>
      </c>
      <c r="B214" t="n">
        <v>110663</v>
      </c>
      <c r="C214" t="n">
        <v>31</v>
      </c>
      <c r="D214" t="n">
        <v>11</v>
      </c>
      <c r="E214" t="n">
        <v>2</v>
      </c>
      <c r="F214" t="n">
        <v>2</v>
      </c>
      <c r="G214" t="n">
        <v>1650000</v>
      </c>
      <c r="H214" t="n">
        <v>150000</v>
      </c>
      <c r="I214" t="n">
        <v>0</v>
      </c>
      <c r="J214" t="n">
        <v>150000</v>
      </c>
    </row>
    <row r="215">
      <c r="A215" s="5" t="n">
        <v>46052</v>
      </c>
      <c r="B215" t="n">
        <v>111910</v>
      </c>
      <c r="C215" t="n">
        <v>29</v>
      </c>
      <c r="D215" t="n">
        <v>10</v>
      </c>
      <c r="E215" t="n">
        <v>4</v>
      </c>
      <c r="F215" t="n">
        <v>1</v>
      </c>
      <c r="G215" t="n">
        <v>510000</v>
      </c>
      <c r="H215" t="n">
        <v>920000</v>
      </c>
      <c r="I215" t="n">
        <v>0</v>
      </c>
      <c r="J215" t="n">
        <v>920000</v>
      </c>
    </row>
    <row r="216">
      <c r="A216" s="5" t="n">
        <v>46053</v>
      </c>
      <c r="B216" t="n">
        <v>112199</v>
      </c>
      <c r="C216" t="n">
        <v>25</v>
      </c>
      <c r="D216" t="n">
        <v>5</v>
      </c>
      <c r="E216" t="n">
        <v>5</v>
      </c>
      <c r="F216" t="n">
        <v>0</v>
      </c>
      <c r="G216" t="n">
        <v>0</v>
      </c>
      <c r="H216" t="n">
        <v>340000</v>
      </c>
      <c r="I216" t="n">
        <v>0</v>
      </c>
      <c r="J216" t="n">
        <v>340000</v>
      </c>
    </row>
    <row r="217">
      <c r="A217" s="5" t="n">
        <v>46054</v>
      </c>
      <c r="B217" t="n">
        <v>102153</v>
      </c>
      <c r="C217" t="n">
        <v>24</v>
      </c>
      <c r="D217" t="n">
        <v>12</v>
      </c>
      <c r="E217" t="n">
        <v>8</v>
      </c>
      <c r="F217" t="n">
        <v>1</v>
      </c>
      <c r="G217" t="n">
        <v>510000</v>
      </c>
      <c r="H217" t="n">
        <v>0</v>
      </c>
      <c r="I217" t="n">
        <v>0</v>
      </c>
      <c r="J217" t="n">
        <v>0</v>
      </c>
    </row>
    <row r="218">
      <c r="A218" s="5" t="n">
        <v>46055</v>
      </c>
      <c r="B218" t="n">
        <v>103272</v>
      </c>
      <c r="C218" t="n">
        <v>41</v>
      </c>
      <c r="D218" t="n">
        <v>3</v>
      </c>
      <c r="E218" t="n">
        <v>5</v>
      </c>
      <c r="F218" t="n">
        <v>2</v>
      </c>
      <c r="G218" t="n">
        <v>990000</v>
      </c>
      <c r="H218" t="n">
        <v>820000</v>
      </c>
      <c r="I218" t="n">
        <v>0</v>
      </c>
      <c r="J218" t="n">
        <v>820000</v>
      </c>
    </row>
    <row r="219">
      <c r="A219" s="5" t="n">
        <v>46056</v>
      </c>
      <c r="B219" t="n">
        <v>110982</v>
      </c>
      <c r="C219" t="n">
        <v>46</v>
      </c>
      <c r="D219" t="n">
        <v>10</v>
      </c>
      <c r="E219" t="n">
        <v>3</v>
      </c>
      <c r="F219" t="n">
        <v>2</v>
      </c>
      <c r="G219" t="n">
        <v>300000</v>
      </c>
      <c r="H219" t="n">
        <v>300000</v>
      </c>
      <c r="I219" t="n">
        <v>0</v>
      </c>
      <c r="J219" t="n">
        <v>300000</v>
      </c>
    </row>
    <row r="220">
      <c r="A220" s="5" t="n">
        <v>46057</v>
      </c>
      <c r="B220" t="n">
        <v>110228</v>
      </c>
      <c r="C220" t="n">
        <v>30</v>
      </c>
      <c r="D220" t="n">
        <v>11</v>
      </c>
      <c r="E220" t="n">
        <v>3</v>
      </c>
      <c r="F220" t="n">
        <v>2</v>
      </c>
      <c r="G220" t="n">
        <v>300000</v>
      </c>
      <c r="H220" t="n">
        <v>1220000</v>
      </c>
      <c r="I220" t="n">
        <v>0</v>
      </c>
      <c r="J220" t="n">
        <v>1220000</v>
      </c>
    </row>
    <row r="221">
      <c r="A221" s="5" t="n">
        <v>46058</v>
      </c>
      <c r="B221" t="n">
        <v>109264</v>
      </c>
      <c r="C221" t="n">
        <v>28</v>
      </c>
      <c r="D221" t="n">
        <v>14</v>
      </c>
      <c r="E221" t="n">
        <v>5</v>
      </c>
      <c r="F221" t="n">
        <v>1</v>
      </c>
      <c r="G221" t="n">
        <v>510000</v>
      </c>
      <c r="H221" t="n">
        <v>0</v>
      </c>
      <c r="I221" t="n">
        <v>0</v>
      </c>
      <c r="J221" t="n">
        <v>0</v>
      </c>
    </row>
    <row r="222">
      <c r="A222" s="5" t="n">
        <v>46059</v>
      </c>
      <c r="B222" t="n">
        <v>105827</v>
      </c>
      <c r="C222" t="n">
        <v>23</v>
      </c>
      <c r="D222" t="n">
        <v>11</v>
      </c>
      <c r="E222" t="n">
        <v>5</v>
      </c>
      <c r="F222" t="n">
        <v>1</v>
      </c>
      <c r="G222" t="n">
        <v>480000</v>
      </c>
      <c r="H222" t="n">
        <v>170000</v>
      </c>
      <c r="I222" t="n">
        <v>0</v>
      </c>
      <c r="J222" t="n">
        <v>170000</v>
      </c>
    </row>
    <row r="223">
      <c r="A223" s="5" t="n">
        <v>46060</v>
      </c>
      <c r="B223" t="n">
        <v>118599</v>
      </c>
      <c r="C223" t="n">
        <v>23</v>
      </c>
      <c r="D223" t="n">
        <v>4</v>
      </c>
      <c r="E223" t="n">
        <v>4</v>
      </c>
      <c r="F223" t="n">
        <v>1</v>
      </c>
      <c r="G223" t="n">
        <v>150000</v>
      </c>
      <c r="H223" t="n">
        <v>320000</v>
      </c>
      <c r="I223" t="n">
        <v>0</v>
      </c>
      <c r="J223" t="n">
        <v>320000</v>
      </c>
    </row>
    <row r="224">
      <c r="A224" s="5" t="n">
        <v>46061</v>
      </c>
      <c r="B224" t="n">
        <v>112017</v>
      </c>
      <c r="C224" t="n">
        <v>29</v>
      </c>
      <c r="D224" t="n">
        <v>9</v>
      </c>
      <c r="E224" t="n">
        <v>2</v>
      </c>
      <c r="F224" t="n">
        <v>1</v>
      </c>
      <c r="G224" t="n">
        <v>150000</v>
      </c>
      <c r="H224" t="n">
        <v>630000</v>
      </c>
      <c r="I224" t="n">
        <v>0</v>
      </c>
      <c r="J224" t="n">
        <v>630000</v>
      </c>
    </row>
    <row r="225">
      <c r="A225" s="5" t="n">
        <v>46062</v>
      </c>
      <c r="B225" t="n">
        <v>111994</v>
      </c>
      <c r="C225" t="n">
        <v>31</v>
      </c>
      <c r="D225" t="n">
        <v>6</v>
      </c>
      <c r="E225" t="n">
        <v>1</v>
      </c>
      <c r="F225" t="n">
        <v>1</v>
      </c>
      <c r="G225" t="n">
        <v>150000</v>
      </c>
      <c r="H225" t="n">
        <v>150000</v>
      </c>
      <c r="I225" t="n">
        <v>0</v>
      </c>
      <c r="J225" t="n">
        <v>150000</v>
      </c>
    </row>
    <row r="226">
      <c r="A226" s="5" t="n">
        <v>46063</v>
      </c>
      <c r="B226" t="n">
        <v>113111</v>
      </c>
      <c r="C226" t="n">
        <v>33</v>
      </c>
      <c r="D226" t="n">
        <v>9</v>
      </c>
      <c r="E226" t="n">
        <v>4</v>
      </c>
      <c r="F226" t="n">
        <v>0</v>
      </c>
      <c r="G226" t="n">
        <v>0</v>
      </c>
      <c r="H226" t="n">
        <v>170000</v>
      </c>
      <c r="I226" t="n">
        <v>0</v>
      </c>
      <c r="J226" t="n">
        <v>170000</v>
      </c>
    </row>
    <row r="227">
      <c r="A227" s="5" t="n">
        <v>46064</v>
      </c>
      <c r="B227" t="n">
        <v>107832</v>
      </c>
      <c r="C227" t="n">
        <v>25</v>
      </c>
      <c r="D227" t="n">
        <v>13</v>
      </c>
      <c r="E227" t="n">
        <v>6</v>
      </c>
      <c r="F227" t="n">
        <v>0</v>
      </c>
      <c r="G227" t="n">
        <v>0</v>
      </c>
      <c r="H227" t="n">
        <v>170000</v>
      </c>
      <c r="I227" t="n">
        <v>0</v>
      </c>
      <c r="J227" t="n">
        <v>170000</v>
      </c>
    </row>
    <row r="228">
      <c r="A228" s="5" t="n">
        <v>46065</v>
      </c>
      <c r="B228" t="n">
        <v>102629</v>
      </c>
      <c r="C228" t="n">
        <v>40</v>
      </c>
      <c r="D228" t="n">
        <v>10</v>
      </c>
      <c r="E228" t="n">
        <v>4</v>
      </c>
      <c r="F228" t="n">
        <v>1</v>
      </c>
      <c r="G228" t="n">
        <v>480000</v>
      </c>
      <c r="H228" t="n">
        <v>0</v>
      </c>
      <c r="I228" t="n">
        <v>0</v>
      </c>
      <c r="J228" t="n">
        <v>0</v>
      </c>
    </row>
    <row r="229">
      <c r="A229" s="5" t="n">
        <v>46066</v>
      </c>
      <c r="B229" t="n">
        <v>109771</v>
      </c>
      <c r="C229" t="n">
        <v>31</v>
      </c>
      <c r="D229" t="n">
        <v>7</v>
      </c>
      <c r="E229" t="n">
        <v>3</v>
      </c>
      <c r="F229" t="n">
        <v>0</v>
      </c>
      <c r="G229" t="n">
        <v>0</v>
      </c>
      <c r="H229" t="n">
        <v>480000</v>
      </c>
      <c r="I229" t="n">
        <v>0</v>
      </c>
      <c r="J229" t="n">
        <v>480000</v>
      </c>
    </row>
    <row r="230">
      <c r="A230" s="5" t="n">
        <v>46067</v>
      </c>
      <c r="B230" t="n">
        <v>113000</v>
      </c>
      <c r="C230" t="n">
        <v>26</v>
      </c>
      <c r="D230" t="n">
        <v>12</v>
      </c>
      <c r="E230" t="n">
        <v>3</v>
      </c>
      <c r="F230" t="n">
        <v>0</v>
      </c>
      <c r="G230" t="n">
        <v>0</v>
      </c>
      <c r="H230" t="n">
        <v>170000</v>
      </c>
      <c r="I230" t="n">
        <v>0</v>
      </c>
      <c r="J230" t="n">
        <v>170000</v>
      </c>
    </row>
    <row r="231">
      <c r="A231" s="5" t="n">
        <v>46068</v>
      </c>
      <c r="B231" t="n">
        <v>111041</v>
      </c>
      <c r="C231" t="n">
        <v>17</v>
      </c>
      <c r="D231" t="n">
        <v>14</v>
      </c>
      <c r="E231" t="n">
        <v>6</v>
      </c>
      <c r="F231" t="n">
        <v>1</v>
      </c>
      <c r="G231" t="n">
        <v>480000</v>
      </c>
      <c r="H231" t="n">
        <v>480000</v>
      </c>
      <c r="I231" t="n">
        <v>0</v>
      </c>
      <c r="J231" t="n">
        <v>480000</v>
      </c>
    </row>
    <row r="232">
      <c r="A232" s="5" t="n">
        <v>46069</v>
      </c>
      <c r="B232" t="n">
        <v>113207</v>
      </c>
      <c r="C232" t="n">
        <v>38</v>
      </c>
      <c r="D232" t="n">
        <v>12</v>
      </c>
      <c r="E232" t="n">
        <v>4</v>
      </c>
      <c r="F232" t="n">
        <v>1</v>
      </c>
      <c r="G232" t="n">
        <v>480000</v>
      </c>
      <c r="H232" t="n">
        <v>480000</v>
      </c>
      <c r="I232" t="n">
        <v>0</v>
      </c>
      <c r="J232" t="n">
        <v>480000</v>
      </c>
    </row>
    <row r="233">
      <c r="A233" s="5" t="n">
        <v>46070</v>
      </c>
      <c r="B233" t="n">
        <v>108698</v>
      </c>
      <c r="C233" t="n">
        <v>36</v>
      </c>
      <c r="D233" t="n">
        <v>8</v>
      </c>
      <c r="E233" t="n">
        <v>8</v>
      </c>
      <c r="F233" t="n">
        <v>0</v>
      </c>
      <c r="G233" t="n">
        <v>0</v>
      </c>
      <c r="H233" t="n">
        <v>170000</v>
      </c>
      <c r="I233" t="n">
        <v>0</v>
      </c>
      <c r="J233" t="n">
        <v>170000</v>
      </c>
    </row>
    <row r="234">
      <c r="A234" s="5" t="n">
        <v>46071</v>
      </c>
      <c r="B234" t="n">
        <v>109146</v>
      </c>
      <c r="C234" t="n">
        <v>27</v>
      </c>
      <c r="D234" t="n">
        <v>13</v>
      </c>
      <c r="E234" t="n">
        <v>7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</row>
    <row r="235">
      <c r="A235" s="5" t="n">
        <v>46072</v>
      </c>
      <c r="B235" t="n">
        <v>107756</v>
      </c>
      <c r="C235" t="n">
        <v>18</v>
      </c>
      <c r="D235" t="n">
        <v>5</v>
      </c>
      <c r="E235" t="n">
        <v>5</v>
      </c>
      <c r="F235" t="n">
        <v>1</v>
      </c>
      <c r="G235" t="n">
        <v>150000</v>
      </c>
      <c r="H235" t="n">
        <v>150000</v>
      </c>
      <c r="I235" t="n">
        <v>0</v>
      </c>
      <c r="J235" t="n">
        <v>150000</v>
      </c>
    </row>
    <row r="236">
      <c r="A236" s="5" t="n">
        <v>46073</v>
      </c>
      <c r="B236" t="n">
        <v>105164</v>
      </c>
      <c r="C236" t="n">
        <v>24</v>
      </c>
      <c r="D236" t="n">
        <v>9</v>
      </c>
      <c r="E236" t="n">
        <v>2</v>
      </c>
      <c r="F236" t="n">
        <v>1</v>
      </c>
      <c r="G236" t="n">
        <v>150000</v>
      </c>
      <c r="H236" t="n">
        <v>150000</v>
      </c>
      <c r="I236" t="n">
        <v>0</v>
      </c>
      <c r="J236" t="n">
        <v>150000</v>
      </c>
    </row>
    <row r="237">
      <c r="A237" s="5" t="n">
        <v>46074</v>
      </c>
      <c r="B237" t="n">
        <v>104276</v>
      </c>
      <c r="C237" t="n">
        <v>25</v>
      </c>
      <c r="D237" t="n">
        <v>7</v>
      </c>
      <c r="E237" t="n">
        <v>7</v>
      </c>
      <c r="F237" t="n">
        <v>1</v>
      </c>
      <c r="G237" t="n">
        <v>480000</v>
      </c>
      <c r="H237" t="n">
        <v>480000</v>
      </c>
      <c r="I237" t="n">
        <v>0</v>
      </c>
      <c r="J237" t="n">
        <v>480000</v>
      </c>
    </row>
    <row r="238">
      <c r="A238" s="5" t="n">
        <v>46075</v>
      </c>
      <c r="B238" t="n">
        <v>113838</v>
      </c>
      <c r="C238" t="n">
        <v>22</v>
      </c>
      <c r="D238" t="n">
        <v>5</v>
      </c>
      <c r="E238" t="n">
        <v>2</v>
      </c>
      <c r="F238" t="n">
        <v>1</v>
      </c>
      <c r="G238" t="n">
        <v>480000</v>
      </c>
      <c r="H238" t="n">
        <v>0</v>
      </c>
      <c r="I238" t="n">
        <v>0</v>
      </c>
      <c r="J238" t="n">
        <v>0</v>
      </c>
    </row>
    <row r="239">
      <c r="A239" s="5" t="n">
        <v>46076</v>
      </c>
      <c r="B239" t="n">
        <v>105906</v>
      </c>
      <c r="C239" t="n">
        <v>31</v>
      </c>
      <c r="D239" t="n">
        <v>10</v>
      </c>
      <c r="E239" t="n">
        <v>2</v>
      </c>
      <c r="F239" t="n">
        <v>1</v>
      </c>
      <c r="G239" t="n">
        <v>480000</v>
      </c>
      <c r="H239" t="n">
        <v>1130000</v>
      </c>
      <c r="I239" t="n">
        <v>0</v>
      </c>
      <c r="J239" t="n">
        <v>1130000</v>
      </c>
    </row>
    <row r="240">
      <c r="A240" s="5" t="n">
        <v>46077</v>
      </c>
      <c r="B240" t="n">
        <v>113295</v>
      </c>
      <c r="C240" t="n">
        <v>44</v>
      </c>
      <c r="D240" t="n">
        <v>9</v>
      </c>
      <c r="E240" t="n">
        <v>7</v>
      </c>
      <c r="F240" t="n">
        <v>1</v>
      </c>
      <c r="G240" t="n">
        <v>1500000</v>
      </c>
      <c r="H240" t="n">
        <v>340000</v>
      </c>
      <c r="I240" t="n">
        <v>0</v>
      </c>
      <c r="J240" t="n">
        <v>340000</v>
      </c>
    </row>
    <row r="241">
      <c r="A241" s="5" t="n">
        <v>46078</v>
      </c>
      <c r="B241" t="n">
        <v>106663</v>
      </c>
      <c r="C241" t="n">
        <v>37</v>
      </c>
      <c r="D241" t="n">
        <v>9</v>
      </c>
      <c r="E241" t="n">
        <v>5</v>
      </c>
      <c r="F241" t="n">
        <v>2</v>
      </c>
      <c r="G241" t="n">
        <v>990000</v>
      </c>
      <c r="H241" t="n">
        <v>0</v>
      </c>
      <c r="I241" t="n">
        <v>0</v>
      </c>
      <c r="J241" t="n">
        <v>0</v>
      </c>
    </row>
    <row r="242">
      <c r="A242" s="5" t="n">
        <v>46079</v>
      </c>
      <c r="B242" t="n">
        <v>110642</v>
      </c>
      <c r="C242" t="n">
        <v>27</v>
      </c>
      <c r="D242" t="n">
        <v>13</v>
      </c>
      <c r="E242" t="n">
        <v>4</v>
      </c>
      <c r="F242" t="n">
        <v>3</v>
      </c>
      <c r="G242" t="n">
        <v>2460000</v>
      </c>
      <c r="H242" t="n">
        <v>960000</v>
      </c>
      <c r="I242" t="n">
        <v>0</v>
      </c>
      <c r="J242" t="n">
        <v>960000</v>
      </c>
    </row>
    <row r="243">
      <c r="A243" s="5" t="n">
        <v>46080</v>
      </c>
      <c r="B243" t="n">
        <v>110725</v>
      </c>
      <c r="C243" t="n">
        <v>22</v>
      </c>
      <c r="D243" t="n">
        <v>12</v>
      </c>
      <c r="E243" t="n">
        <v>7</v>
      </c>
      <c r="F243" t="n">
        <v>3</v>
      </c>
      <c r="G243" t="n">
        <v>1500000</v>
      </c>
      <c r="H243" t="n">
        <v>2630000</v>
      </c>
      <c r="I243" t="n">
        <v>0</v>
      </c>
      <c r="J243" t="n">
        <v>2630000</v>
      </c>
    </row>
    <row r="244">
      <c r="A244" s="5" t="n">
        <v>46081</v>
      </c>
      <c r="B244" t="n">
        <v>105090</v>
      </c>
      <c r="C244" t="n">
        <v>22</v>
      </c>
      <c r="D244" t="n">
        <v>10</v>
      </c>
      <c r="E244" t="n">
        <v>4</v>
      </c>
      <c r="F244" t="n">
        <v>3</v>
      </c>
      <c r="G244" t="n">
        <v>1500000</v>
      </c>
      <c r="H244" t="n">
        <v>340000</v>
      </c>
      <c r="I244" t="n">
        <v>0</v>
      </c>
      <c r="J244" t="n">
        <v>340000</v>
      </c>
    </row>
    <row r="245">
      <c r="A245" s="5" t="n">
        <v>46082</v>
      </c>
      <c r="B245" t="n">
        <v>114611</v>
      </c>
      <c r="C245" t="n">
        <v>22</v>
      </c>
      <c r="D245" t="n">
        <v>8</v>
      </c>
      <c r="E245" t="n">
        <v>6</v>
      </c>
      <c r="F245" t="n">
        <v>1</v>
      </c>
      <c r="G245" t="n">
        <v>510000</v>
      </c>
      <c r="H245" t="n">
        <v>1400000</v>
      </c>
      <c r="I245" t="n">
        <v>0</v>
      </c>
      <c r="J245" t="n">
        <v>1400000</v>
      </c>
    </row>
    <row r="246">
      <c r="A246" s="5" t="n">
        <v>46083</v>
      </c>
      <c r="B246" t="n">
        <v>108518</v>
      </c>
      <c r="C246" t="n">
        <v>39</v>
      </c>
      <c r="D246" t="n">
        <v>5</v>
      </c>
      <c r="E246" t="n">
        <v>4</v>
      </c>
      <c r="F246" t="n">
        <v>1</v>
      </c>
      <c r="G246" t="n">
        <v>1500000</v>
      </c>
      <c r="H246" t="n">
        <v>510000</v>
      </c>
      <c r="I246" t="n">
        <v>0</v>
      </c>
      <c r="J246" t="n">
        <v>510000</v>
      </c>
    </row>
    <row r="247">
      <c r="A247" s="5" t="n">
        <v>46084</v>
      </c>
      <c r="B247" t="n">
        <v>106958</v>
      </c>
      <c r="C247" t="n">
        <v>31</v>
      </c>
      <c r="D247" t="n">
        <v>11</v>
      </c>
      <c r="E247" t="n">
        <v>9</v>
      </c>
      <c r="F247" t="n">
        <v>2</v>
      </c>
      <c r="G247" t="n">
        <v>1650000</v>
      </c>
      <c r="H247" t="n">
        <v>150000</v>
      </c>
      <c r="I247" t="n">
        <v>0</v>
      </c>
      <c r="J247" t="n">
        <v>150000</v>
      </c>
    </row>
    <row r="248">
      <c r="A248" s="5" t="n">
        <v>46085</v>
      </c>
      <c r="B248" t="n">
        <v>106387</v>
      </c>
      <c r="C248" t="n">
        <v>29</v>
      </c>
      <c r="D248" t="n">
        <v>7</v>
      </c>
      <c r="E248" t="n">
        <v>3</v>
      </c>
      <c r="F248" t="n">
        <v>0</v>
      </c>
      <c r="G248" t="n">
        <v>0</v>
      </c>
      <c r="H248" t="n">
        <v>2420000</v>
      </c>
      <c r="I248" t="n">
        <v>0</v>
      </c>
      <c r="J248" t="n">
        <v>2420000</v>
      </c>
    </row>
    <row r="249">
      <c r="A249" s="5" t="n">
        <v>46086</v>
      </c>
      <c r="B249" t="n">
        <v>112903</v>
      </c>
      <c r="C249" t="n">
        <v>34</v>
      </c>
      <c r="D249" t="n">
        <v>8</v>
      </c>
      <c r="E249" t="n">
        <v>5</v>
      </c>
      <c r="F249" t="n">
        <v>1</v>
      </c>
      <c r="G249" t="n">
        <v>1500000</v>
      </c>
      <c r="H249" t="n">
        <v>0</v>
      </c>
      <c r="I249" t="n">
        <v>0</v>
      </c>
      <c r="J249" t="n">
        <v>0</v>
      </c>
    </row>
    <row r="250">
      <c r="A250" s="5" t="n">
        <v>46087</v>
      </c>
      <c r="B250" t="n">
        <v>108629</v>
      </c>
      <c r="C250" t="n">
        <v>26</v>
      </c>
      <c r="D250" t="n">
        <v>12</v>
      </c>
      <c r="E250" t="n">
        <v>7</v>
      </c>
      <c r="F250" t="n">
        <v>1</v>
      </c>
      <c r="G250" t="n">
        <v>1500000</v>
      </c>
      <c r="H250" t="n">
        <v>1670000</v>
      </c>
      <c r="I250" t="n">
        <v>0</v>
      </c>
      <c r="J250" t="n">
        <v>1670000</v>
      </c>
    </row>
    <row r="251">
      <c r="A251" s="5" t="n">
        <v>46088</v>
      </c>
      <c r="B251" t="n">
        <v>111000</v>
      </c>
      <c r="C251" t="n">
        <v>20</v>
      </c>
      <c r="D251" t="n">
        <v>10</v>
      </c>
      <c r="E251" t="n">
        <v>5</v>
      </c>
      <c r="F251" t="n">
        <v>1</v>
      </c>
      <c r="G251" t="n">
        <v>150000</v>
      </c>
      <c r="H251" t="n">
        <v>1650000</v>
      </c>
      <c r="I251" t="n">
        <v>750000</v>
      </c>
      <c r="J251" t="n">
        <v>900000</v>
      </c>
    </row>
    <row r="252">
      <c r="A252" s="5" t="n">
        <v>46089</v>
      </c>
      <c r="B252" t="n">
        <v>113070</v>
      </c>
      <c r="C252" t="n">
        <v>27</v>
      </c>
      <c r="D252" t="n">
        <v>10</v>
      </c>
      <c r="E252" t="n">
        <v>5</v>
      </c>
      <c r="F252" t="n">
        <v>2</v>
      </c>
      <c r="G252" t="n">
        <v>990000</v>
      </c>
      <c r="H252" t="n">
        <v>170000</v>
      </c>
      <c r="I252" t="n">
        <v>0</v>
      </c>
      <c r="J252" t="n">
        <v>170000</v>
      </c>
    </row>
    <row r="253">
      <c r="A253" s="5" t="n">
        <v>46090</v>
      </c>
      <c r="B253" t="n">
        <v>111255</v>
      </c>
      <c r="C253" t="n">
        <v>29</v>
      </c>
      <c r="D253" t="n">
        <v>10</v>
      </c>
      <c r="E253" t="n">
        <v>4</v>
      </c>
      <c r="F253" t="n">
        <v>1</v>
      </c>
      <c r="G253" t="n">
        <v>150000</v>
      </c>
      <c r="H253" t="n">
        <v>800000</v>
      </c>
      <c r="I253" t="n">
        <v>0</v>
      </c>
      <c r="J253" t="n">
        <v>800000</v>
      </c>
    </row>
    <row r="254">
      <c r="A254" s="5" t="n">
        <v>46091</v>
      </c>
      <c r="B254" t="n">
        <v>113063</v>
      </c>
      <c r="C254" t="n">
        <v>34</v>
      </c>
      <c r="D254" t="n">
        <v>4</v>
      </c>
      <c r="E254" t="n">
        <v>4</v>
      </c>
      <c r="F254" t="n">
        <v>3</v>
      </c>
      <c r="G254" t="n">
        <v>1470000</v>
      </c>
      <c r="H254" t="n">
        <v>170000</v>
      </c>
      <c r="I254" t="n">
        <v>0</v>
      </c>
      <c r="J254" t="n">
        <v>170000</v>
      </c>
    </row>
    <row r="255">
      <c r="A255" s="5" t="n">
        <v>46092</v>
      </c>
      <c r="B255" t="n">
        <v>108306</v>
      </c>
      <c r="C255" t="n">
        <v>34</v>
      </c>
      <c r="D255" t="n">
        <v>8</v>
      </c>
      <c r="E255" t="n">
        <v>7</v>
      </c>
      <c r="F255" t="n">
        <v>2</v>
      </c>
      <c r="G255" t="n">
        <v>990000</v>
      </c>
      <c r="H255" t="n">
        <v>960000</v>
      </c>
      <c r="I255" t="n">
        <v>0</v>
      </c>
      <c r="J255" t="n">
        <v>960000</v>
      </c>
    </row>
    <row r="256">
      <c r="A256" s="5" t="n">
        <v>46093</v>
      </c>
      <c r="B256" t="n">
        <v>117113</v>
      </c>
      <c r="C256" t="n">
        <v>52</v>
      </c>
      <c r="D256" t="n">
        <v>4</v>
      </c>
      <c r="E256" t="n">
        <v>3</v>
      </c>
      <c r="F256" t="n">
        <v>2</v>
      </c>
      <c r="G256" t="n">
        <v>1650000</v>
      </c>
      <c r="H256" t="n">
        <v>660000</v>
      </c>
      <c r="I256" t="n">
        <v>0</v>
      </c>
      <c r="J256" t="n">
        <v>660000</v>
      </c>
    </row>
    <row r="257">
      <c r="A257" s="5" t="n">
        <v>46094</v>
      </c>
      <c r="B257" t="n">
        <v>110767</v>
      </c>
      <c r="C257" t="n">
        <v>35</v>
      </c>
      <c r="D257" t="n">
        <v>15</v>
      </c>
      <c r="E257" t="n">
        <v>1</v>
      </c>
      <c r="F257" t="n">
        <v>2</v>
      </c>
      <c r="G257" t="n">
        <v>1980000</v>
      </c>
      <c r="H257" t="n">
        <v>3480000</v>
      </c>
      <c r="I257" t="n">
        <v>0</v>
      </c>
      <c r="J257" t="n">
        <v>3480000</v>
      </c>
    </row>
    <row r="258">
      <c r="A258" s="5" t="n">
        <v>46095</v>
      </c>
      <c r="B258" t="n">
        <v>109680</v>
      </c>
      <c r="C258" t="n">
        <v>12</v>
      </c>
      <c r="D258" t="n">
        <v>11</v>
      </c>
      <c r="E258" t="n">
        <v>3</v>
      </c>
      <c r="F258" t="n">
        <v>0</v>
      </c>
      <c r="G258" t="n">
        <v>0</v>
      </c>
      <c r="H258" t="n">
        <v>480000</v>
      </c>
      <c r="I258" t="n">
        <v>0</v>
      </c>
      <c r="J258" t="n">
        <v>480000</v>
      </c>
    </row>
    <row r="259">
      <c r="A259" s="5" t="n">
        <v>46096</v>
      </c>
      <c r="B259" t="n">
        <v>96216</v>
      </c>
      <c r="C259" t="n">
        <v>152</v>
      </c>
      <c r="D259" t="n">
        <v>9</v>
      </c>
      <c r="E259" t="n">
        <v>3</v>
      </c>
      <c r="F259" t="n">
        <v>5</v>
      </c>
      <c r="G259" t="n">
        <v>3090000</v>
      </c>
      <c r="H259" t="n">
        <v>150000</v>
      </c>
      <c r="I259" t="n">
        <v>0</v>
      </c>
      <c r="J259" t="n">
        <v>150000</v>
      </c>
    </row>
    <row r="260">
      <c r="A260" s="5" t="n">
        <v>46097</v>
      </c>
      <c r="B260" t="n">
        <v>91307</v>
      </c>
      <c r="C260" t="n">
        <v>29</v>
      </c>
      <c r="D260" t="n">
        <v>7</v>
      </c>
      <c r="E260" t="n">
        <v>2</v>
      </c>
      <c r="F260" t="n">
        <v>2</v>
      </c>
      <c r="G260" t="n">
        <v>960000</v>
      </c>
      <c r="H260" t="n">
        <v>2190000</v>
      </c>
      <c r="I260" t="n">
        <v>0</v>
      </c>
      <c r="J260" t="n">
        <v>2190000</v>
      </c>
    </row>
    <row r="261">
      <c r="A261" s="5" t="n">
        <v>46098</v>
      </c>
      <c r="B261" t="n">
        <v>94404</v>
      </c>
      <c r="C261" t="n">
        <v>31</v>
      </c>
      <c r="D261" t="n">
        <v>11</v>
      </c>
      <c r="E261" t="n">
        <v>4</v>
      </c>
      <c r="F261" t="n">
        <v>2</v>
      </c>
      <c r="G261" t="n">
        <v>1650000</v>
      </c>
      <c r="H261" t="n">
        <v>2130000</v>
      </c>
      <c r="I261" t="n">
        <v>0</v>
      </c>
      <c r="J261" t="n">
        <v>2130000</v>
      </c>
    </row>
    <row r="262">
      <c r="A262" s="5" t="n">
        <v>46099</v>
      </c>
      <c r="B262" t="n">
        <v>93661</v>
      </c>
      <c r="C262" t="n">
        <v>22</v>
      </c>
      <c r="D262" t="n">
        <v>7</v>
      </c>
      <c r="E262" t="n">
        <v>3</v>
      </c>
      <c r="F262" t="n">
        <v>1</v>
      </c>
      <c r="G262" t="n">
        <v>150000</v>
      </c>
      <c r="H262" t="n">
        <v>150000</v>
      </c>
      <c r="I262" t="n">
        <v>0</v>
      </c>
      <c r="J262" t="n">
        <v>150000</v>
      </c>
    </row>
    <row r="263">
      <c r="A263" s="5" t="n">
        <v>46100</v>
      </c>
      <c r="B263" t="n">
        <v>92873</v>
      </c>
      <c r="C263" t="n">
        <v>32</v>
      </c>
      <c r="D263" t="n">
        <v>13</v>
      </c>
      <c r="E263" t="n">
        <v>3</v>
      </c>
      <c r="F263" t="n">
        <v>1</v>
      </c>
      <c r="G263" t="n">
        <v>480000</v>
      </c>
      <c r="H263" t="n">
        <v>170000</v>
      </c>
      <c r="I263" t="n">
        <v>0</v>
      </c>
      <c r="J263" t="n">
        <v>170000</v>
      </c>
    </row>
    <row r="264">
      <c r="A264" s="5" t="n">
        <v>46101</v>
      </c>
      <c r="B264" t="n">
        <v>92934</v>
      </c>
      <c r="C264" t="n">
        <v>19</v>
      </c>
      <c r="D264" t="n">
        <v>6</v>
      </c>
      <c r="E264" t="n">
        <v>3</v>
      </c>
      <c r="F264" t="n">
        <v>1</v>
      </c>
      <c r="G264" t="n">
        <v>480000</v>
      </c>
      <c r="H264" t="n">
        <v>480000</v>
      </c>
      <c r="I264" t="n">
        <v>0</v>
      </c>
      <c r="J264" t="n">
        <v>480000</v>
      </c>
    </row>
    <row r="265">
      <c r="A265" s="5" t="n">
        <v>46102</v>
      </c>
      <c r="B265" t="n">
        <v>90693</v>
      </c>
      <c r="C265" t="n">
        <v>18</v>
      </c>
      <c r="D265" t="n">
        <v>5</v>
      </c>
      <c r="E265" t="n">
        <v>2</v>
      </c>
      <c r="F265" t="n">
        <v>2</v>
      </c>
      <c r="G265" t="n">
        <v>1980000</v>
      </c>
      <c r="H265" t="n">
        <v>480000</v>
      </c>
      <c r="I265" t="n">
        <v>0</v>
      </c>
      <c r="J265" t="n">
        <v>480000</v>
      </c>
    </row>
    <row r="266">
      <c r="A266" s="5" t="n">
        <v>46103</v>
      </c>
      <c r="B266" t="n">
        <v>101716</v>
      </c>
      <c r="C266" t="n">
        <v>24</v>
      </c>
      <c r="D266" t="n">
        <v>11</v>
      </c>
      <c r="E266" t="n">
        <v>9</v>
      </c>
      <c r="F266" t="n">
        <v>0</v>
      </c>
      <c r="G266" t="n">
        <v>0</v>
      </c>
      <c r="H266" t="n">
        <v>1230000</v>
      </c>
      <c r="I266" t="n">
        <v>0</v>
      </c>
      <c r="J266" t="n">
        <v>1230000</v>
      </c>
    </row>
    <row r="267">
      <c r="A267" s="5" t="n">
        <v>46104</v>
      </c>
      <c r="B267" t="n">
        <v>90623</v>
      </c>
      <c r="C267" t="n">
        <v>29</v>
      </c>
      <c r="D267" t="n">
        <v>9</v>
      </c>
      <c r="E267" t="n">
        <v>4</v>
      </c>
      <c r="F267" t="n">
        <v>3</v>
      </c>
      <c r="G267" t="n">
        <v>2490000</v>
      </c>
      <c r="H267" t="n">
        <v>1500000</v>
      </c>
      <c r="I267" t="n">
        <v>0</v>
      </c>
      <c r="J267" t="n">
        <v>1500000</v>
      </c>
    </row>
    <row r="268">
      <c r="A268" s="5" t="n">
        <v>46105</v>
      </c>
      <c r="B268" t="n">
        <v>92264</v>
      </c>
      <c r="C268" t="n">
        <v>32</v>
      </c>
      <c r="D268" t="n">
        <v>6</v>
      </c>
      <c r="E268" t="n">
        <v>3</v>
      </c>
      <c r="F268" t="n">
        <v>0</v>
      </c>
      <c r="G268" t="n">
        <v>0</v>
      </c>
      <c r="H268" t="n">
        <v>650000</v>
      </c>
      <c r="I268" t="n">
        <v>0</v>
      </c>
      <c r="J268" t="n">
        <v>650000</v>
      </c>
    </row>
    <row r="269">
      <c r="A269" s="5" t="n">
        <v>46106</v>
      </c>
      <c r="B269" t="n">
        <v>94726</v>
      </c>
      <c r="C269" t="n">
        <v>23</v>
      </c>
      <c r="D269" t="n">
        <v>10</v>
      </c>
      <c r="E269" t="n">
        <v>2</v>
      </c>
      <c r="F269" t="n">
        <v>3</v>
      </c>
      <c r="G269" t="n">
        <v>1140000</v>
      </c>
      <c r="H269" t="n">
        <v>320000</v>
      </c>
      <c r="I269" t="n">
        <v>0</v>
      </c>
      <c r="J269" t="n">
        <v>320000</v>
      </c>
    </row>
    <row r="270">
      <c r="A270" s="5" t="n">
        <v>46107</v>
      </c>
      <c r="B270" t="n">
        <v>93627</v>
      </c>
      <c r="C270" t="n">
        <v>26</v>
      </c>
      <c r="D270" t="n">
        <v>9</v>
      </c>
      <c r="E270" t="n">
        <v>3</v>
      </c>
      <c r="F270" t="n">
        <v>0</v>
      </c>
      <c r="G270" t="n">
        <v>0</v>
      </c>
      <c r="H270" t="n">
        <v>650000</v>
      </c>
      <c r="I270" t="n">
        <v>0</v>
      </c>
      <c r="J270" t="n">
        <v>650000</v>
      </c>
    </row>
    <row r="271">
      <c r="A271" s="5" t="n">
        <v>46108</v>
      </c>
      <c r="B271" t="n">
        <v>97526</v>
      </c>
      <c r="C271" t="n">
        <v>29</v>
      </c>
      <c r="D271" t="n">
        <v>8</v>
      </c>
      <c r="E271" t="n">
        <v>3</v>
      </c>
      <c r="F271" t="n">
        <v>1</v>
      </c>
      <c r="G271" t="n">
        <v>480000</v>
      </c>
      <c r="H271" t="n">
        <v>0</v>
      </c>
      <c r="I271" t="n">
        <v>0</v>
      </c>
      <c r="J271" t="n">
        <v>0</v>
      </c>
    </row>
    <row r="272">
      <c r="A272" s="5" t="n">
        <v>46109</v>
      </c>
      <c r="B272" t="n">
        <v>88374</v>
      </c>
      <c r="C272" t="n">
        <v>12</v>
      </c>
      <c r="D272" t="n">
        <v>3</v>
      </c>
      <c r="E272" t="n">
        <v>3</v>
      </c>
      <c r="F272" t="n">
        <v>1</v>
      </c>
      <c r="G272" t="n">
        <v>1500000</v>
      </c>
      <c r="H272" t="n">
        <v>480000</v>
      </c>
      <c r="I272" t="n">
        <v>0</v>
      </c>
      <c r="J272" t="n">
        <v>480000</v>
      </c>
    </row>
    <row r="273">
      <c r="A273" s="5" t="n">
        <v>46110</v>
      </c>
      <c r="B273" t="n">
        <v>95216</v>
      </c>
      <c r="C273" t="n">
        <v>20</v>
      </c>
      <c r="D273" t="n">
        <v>8</v>
      </c>
      <c r="E273" t="n">
        <v>9</v>
      </c>
      <c r="F273" t="n">
        <v>3</v>
      </c>
      <c r="G273" t="n">
        <v>2460000</v>
      </c>
      <c r="H273" t="n">
        <v>1670000</v>
      </c>
      <c r="I273" t="n">
        <v>480000</v>
      </c>
      <c r="J273" t="n">
        <v>1190000</v>
      </c>
    </row>
    <row r="274">
      <c r="A274" s="5" t="n">
        <v>46111</v>
      </c>
      <c r="B274" t="n">
        <v>92310</v>
      </c>
      <c r="C274" t="n">
        <v>37</v>
      </c>
      <c r="D274" t="n">
        <v>8</v>
      </c>
      <c r="E274" t="n">
        <v>3</v>
      </c>
      <c r="F274" t="n">
        <v>2</v>
      </c>
      <c r="G274" t="n">
        <v>630000</v>
      </c>
      <c r="H274" t="n">
        <v>970000</v>
      </c>
      <c r="I274" t="n">
        <v>0</v>
      </c>
      <c r="J274" t="n">
        <v>970000</v>
      </c>
    </row>
    <row r="275">
      <c r="A275" s="5" t="n">
        <v>46112</v>
      </c>
      <c r="B275" t="n">
        <v>98734</v>
      </c>
      <c r="C275" t="n">
        <v>26</v>
      </c>
      <c r="D275" t="n">
        <v>6</v>
      </c>
      <c r="E275" t="n">
        <v>2</v>
      </c>
      <c r="F275" t="n">
        <v>1</v>
      </c>
      <c r="G275" t="n">
        <v>510000</v>
      </c>
      <c r="H275" t="n">
        <v>2050000</v>
      </c>
      <c r="I275" t="n">
        <v>0</v>
      </c>
      <c r="J275" t="n">
        <v>2050000</v>
      </c>
    </row>
    <row r="276">
      <c r="A276" s="5" t="n">
        <v>46113</v>
      </c>
      <c r="B276" t="n">
        <v>100594</v>
      </c>
      <c r="C276" t="n">
        <v>31</v>
      </c>
      <c r="D276" t="n">
        <v>7</v>
      </c>
      <c r="E276" t="n">
        <v>3</v>
      </c>
      <c r="F276" t="n">
        <v>1</v>
      </c>
      <c r="G276" t="n">
        <v>480000</v>
      </c>
      <c r="H276" t="n">
        <v>510000</v>
      </c>
      <c r="I276" t="n">
        <v>0</v>
      </c>
      <c r="J276" t="n">
        <v>510000</v>
      </c>
    </row>
    <row r="277">
      <c r="A277" s="5" t="n">
        <v>46114</v>
      </c>
      <c r="B277" t="n">
        <v>102412</v>
      </c>
      <c r="C277" t="n">
        <v>28</v>
      </c>
      <c r="D277" t="n">
        <v>9</v>
      </c>
      <c r="E277" t="n">
        <v>2</v>
      </c>
      <c r="F277" t="n">
        <v>3</v>
      </c>
      <c r="G277" t="n">
        <v>810000</v>
      </c>
      <c r="H277" t="n">
        <v>780000</v>
      </c>
      <c r="I277" t="n">
        <v>0</v>
      </c>
      <c r="J277" t="n">
        <v>780000</v>
      </c>
    </row>
    <row r="278">
      <c r="A278" s="5" t="n">
        <v>46115</v>
      </c>
      <c r="B278" t="n">
        <v>94607</v>
      </c>
      <c r="C278" t="n">
        <v>32</v>
      </c>
      <c r="D278" t="n">
        <v>8</v>
      </c>
      <c r="E278" t="n">
        <v>6</v>
      </c>
      <c r="F278" t="n">
        <v>1</v>
      </c>
      <c r="G278" t="n">
        <v>1500000</v>
      </c>
      <c r="H278" t="n">
        <v>2590000</v>
      </c>
      <c r="I278" t="n">
        <v>0</v>
      </c>
      <c r="J278" t="n">
        <v>2590000</v>
      </c>
    </row>
    <row r="279">
      <c r="A279" s="5" t="n">
        <v>46116</v>
      </c>
      <c r="B279" t="n">
        <v>105295</v>
      </c>
      <c r="C279" t="n">
        <v>22</v>
      </c>
      <c r="D279" t="n">
        <v>9</v>
      </c>
      <c r="E279" t="n">
        <v>1</v>
      </c>
      <c r="F279" t="n">
        <v>1</v>
      </c>
      <c r="G279" t="n">
        <v>150000</v>
      </c>
      <c r="H279" t="n">
        <v>150000</v>
      </c>
      <c r="I279" t="n">
        <v>750000</v>
      </c>
      <c r="J279" t="n">
        <v>-600000</v>
      </c>
    </row>
    <row r="280">
      <c r="A280" s="5" t="n">
        <v>46117</v>
      </c>
      <c r="B280" t="n">
        <v>97532</v>
      </c>
      <c r="C280" t="n">
        <v>21</v>
      </c>
      <c r="D280" t="n">
        <v>13</v>
      </c>
      <c r="E280" t="n">
        <v>4</v>
      </c>
      <c r="F280" t="n">
        <v>1</v>
      </c>
      <c r="G280" t="n">
        <v>510000</v>
      </c>
      <c r="H280" t="n">
        <v>170000</v>
      </c>
      <c r="I280" t="n">
        <v>0</v>
      </c>
      <c r="J280" t="n">
        <v>170000</v>
      </c>
    </row>
    <row r="281">
      <c r="A281" s="5" t="n">
        <v>46118</v>
      </c>
      <c r="B281" t="n">
        <v>96604</v>
      </c>
      <c r="C281" t="n">
        <v>37</v>
      </c>
      <c r="D281" t="n">
        <v>5</v>
      </c>
      <c r="E281" t="n">
        <v>3</v>
      </c>
      <c r="F281" t="n">
        <v>0</v>
      </c>
      <c r="G281" t="n">
        <v>0</v>
      </c>
      <c r="H281" t="n">
        <v>170000</v>
      </c>
      <c r="I281" t="n">
        <v>75000</v>
      </c>
      <c r="J281" t="n">
        <v>95000</v>
      </c>
    </row>
    <row r="282">
      <c r="A282" s="5" t="n">
        <v>46119</v>
      </c>
      <c r="B282" t="n">
        <v>105238</v>
      </c>
      <c r="C282" t="n">
        <v>37</v>
      </c>
      <c r="D282" t="n">
        <v>11</v>
      </c>
      <c r="E282" t="n">
        <v>3</v>
      </c>
      <c r="F282" t="n">
        <v>1</v>
      </c>
      <c r="G282" t="n">
        <v>1500000</v>
      </c>
      <c r="H282" t="n">
        <v>170000</v>
      </c>
      <c r="I282" t="n">
        <v>0</v>
      </c>
      <c r="J282" t="n">
        <v>170000</v>
      </c>
    </row>
    <row r="283">
      <c r="A283" s="5" t="n">
        <v>46120</v>
      </c>
      <c r="B283" t="n">
        <v>98844</v>
      </c>
      <c r="C283" t="n">
        <v>30</v>
      </c>
      <c r="D283" t="n">
        <v>5</v>
      </c>
      <c r="E283" t="n">
        <v>6</v>
      </c>
      <c r="F283" t="n">
        <v>3</v>
      </c>
      <c r="G283" t="n">
        <v>780000</v>
      </c>
      <c r="H283" t="n">
        <v>300000</v>
      </c>
      <c r="I283" t="n">
        <v>0</v>
      </c>
      <c r="J283" t="n">
        <v>300000</v>
      </c>
    </row>
    <row r="284">
      <c r="A284" s="5" t="n">
        <v>46121</v>
      </c>
      <c r="B284" t="n">
        <v>105639</v>
      </c>
      <c r="C284" t="n">
        <v>48</v>
      </c>
      <c r="D284" t="n">
        <v>7</v>
      </c>
      <c r="E284" t="n">
        <v>2</v>
      </c>
      <c r="F284" t="n">
        <v>0</v>
      </c>
      <c r="G284" t="n">
        <v>0</v>
      </c>
      <c r="H284" t="n">
        <v>2150000</v>
      </c>
      <c r="I284" t="n">
        <v>0</v>
      </c>
      <c r="J284" t="n">
        <v>2150000</v>
      </c>
    </row>
    <row r="285">
      <c r="A285" s="5" t="n">
        <v>46122</v>
      </c>
      <c r="B285" t="n">
        <v>103490</v>
      </c>
      <c r="C285" t="n">
        <v>20</v>
      </c>
      <c r="D285" t="n">
        <v>14</v>
      </c>
      <c r="E285" t="n">
        <v>5</v>
      </c>
      <c r="F285" t="n">
        <v>1</v>
      </c>
      <c r="G285" t="n">
        <v>480000</v>
      </c>
      <c r="H285" t="n">
        <v>0</v>
      </c>
      <c r="I285" t="n">
        <v>750000</v>
      </c>
      <c r="J285" t="n">
        <v>-750000</v>
      </c>
    </row>
    <row r="286">
      <c r="A286" s="5" t="n">
        <v>46123</v>
      </c>
      <c r="B286" t="n">
        <v>100047</v>
      </c>
      <c r="C286" t="n">
        <v>22</v>
      </c>
      <c r="D286" t="n">
        <v>7</v>
      </c>
      <c r="E286" t="n">
        <v>5</v>
      </c>
      <c r="F286" t="n">
        <v>0</v>
      </c>
      <c r="G286" t="n">
        <v>0</v>
      </c>
      <c r="H286" t="n">
        <v>820000</v>
      </c>
      <c r="I286" t="n">
        <v>0</v>
      </c>
      <c r="J286" t="n">
        <v>820000</v>
      </c>
    </row>
    <row r="287">
      <c r="A287" s="5" t="n">
        <v>46124</v>
      </c>
      <c r="B287" t="n">
        <v>101107</v>
      </c>
      <c r="C287" t="n">
        <v>23</v>
      </c>
      <c r="D287" t="n">
        <v>10</v>
      </c>
      <c r="E287" t="n">
        <v>2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</row>
    <row r="288">
      <c r="A288" s="5" t="n">
        <v>46125</v>
      </c>
      <c r="B288" t="n">
        <v>100070</v>
      </c>
      <c r="C288" t="n">
        <v>40</v>
      </c>
      <c r="D288" t="n">
        <v>6</v>
      </c>
      <c r="E288" t="n">
        <v>4</v>
      </c>
      <c r="F288" t="n">
        <v>3</v>
      </c>
      <c r="G288" t="n">
        <v>1800000</v>
      </c>
      <c r="H288" t="n">
        <v>1050000</v>
      </c>
      <c r="I288" t="n">
        <v>240000</v>
      </c>
      <c r="J288" t="n">
        <v>810000</v>
      </c>
    </row>
    <row r="289">
      <c r="A289" s="5" t="n">
        <v>46126</v>
      </c>
      <c r="B289" t="n">
        <v>103233</v>
      </c>
      <c r="C289" t="n">
        <v>33</v>
      </c>
      <c r="D289" t="n">
        <v>7</v>
      </c>
      <c r="E289" t="n">
        <v>2</v>
      </c>
      <c r="F289" t="n">
        <v>2</v>
      </c>
      <c r="G289" t="n">
        <v>1650000</v>
      </c>
      <c r="H289" t="n">
        <v>150000</v>
      </c>
      <c r="I289" t="n">
        <v>0</v>
      </c>
      <c r="J289" t="n">
        <v>150000</v>
      </c>
    </row>
    <row r="290">
      <c r="A290" s="5" t="n">
        <v>46127</v>
      </c>
      <c r="B290" t="n">
        <v>100566</v>
      </c>
      <c r="C290" t="n">
        <v>32</v>
      </c>
      <c r="D290" t="n">
        <v>12</v>
      </c>
      <c r="E290" t="n">
        <v>3</v>
      </c>
      <c r="F290" t="n">
        <v>2</v>
      </c>
      <c r="G290" t="n">
        <v>630000</v>
      </c>
      <c r="H290" t="n">
        <v>2400000</v>
      </c>
      <c r="I290" t="n">
        <v>0</v>
      </c>
      <c r="J290" t="n">
        <v>2400000</v>
      </c>
    </row>
    <row r="291">
      <c r="A291" s="5" t="n">
        <v>46128</v>
      </c>
      <c r="B291" t="n">
        <v>98143</v>
      </c>
      <c r="C291" t="n">
        <v>33</v>
      </c>
      <c r="D291" t="n">
        <v>10</v>
      </c>
      <c r="E291" t="n">
        <v>8</v>
      </c>
      <c r="F291" t="n">
        <v>2</v>
      </c>
      <c r="G291" t="n">
        <v>990000</v>
      </c>
      <c r="H291" t="n">
        <v>480000</v>
      </c>
      <c r="I291" t="n">
        <v>0</v>
      </c>
      <c r="J291" t="n">
        <v>480000</v>
      </c>
    </row>
    <row r="292">
      <c r="A292" s="5" t="n">
        <v>46129</v>
      </c>
      <c r="B292" t="n">
        <v>97195</v>
      </c>
      <c r="C292" t="n">
        <v>24</v>
      </c>
      <c r="D292" t="n">
        <v>10</v>
      </c>
      <c r="E292" t="n">
        <v>0</v>
      </c>
      <c r="F292" t="n">
        <v>2</v>
      </c>
      <c r="G292" t="n">
        <v>2010000</v>
      </c>
      <c r="H292" t="n">
        <v>820000</v>
      </c>
      <c r="I292" t="n">
        <v>0</v>
      </c>
      <c r="J292" t="n">
        <v>820000</v>
      </c>
    </row>
    <row r="293">
      <c r="A293" s="5" t="n">
        <v>46130</v>
      </c>
      <c r="B293" t="n">
        <v>102054</v>
      </c>
      <c r="C293" t="n">
        <v>32</v>
      </c>
      <c r="D293" t="n">
        <v>17</v>
      </c>
      <c r="E293" t="n">
        <v>3</v>
      </c>
      <c r="F293" t="n">
        <v>0</v>
      </c>
      <c r="G293" t="n">
        <v>0</v>
      </c>
      <c r="H293" t="n">
        <v>750000</v>
      </c>
      <c r="I293" t="n">
        <v>0</v>
      </c>
      <c r="J293" t="n">
        <v>750000</v>
      </c>
    </row>
    <row r="294">
      <c r="A294" s="5" t="n">
        <v>46131</v>
      </c>
      <c r="B294" t="n">
        <v>100394</v>
      </c>
      <c r="C294" t="n">
        <v>20</v>
      </c>
      <c r="D294" t="n">
        <v>11</v>
      </c>
      <c r="E294" t="n">
        <v>7</v>
      </c>
      <c r="F294" t="n">
        <v>3</v>
      </c>
      <c r="G294" t="n">
        <v>1470000</v>
      </c>
      <c r="H294" t="n">
        <v>480000</v>
      </c>
      <c r="I294" t="n">
        <v>0</v>
      </c>
      <c r="J294" t="n">
        <v>480000</v>
      </c>
    </row>
    <row r="295">
      <c r="A295" s="5" t="n">
        <v>46132</v>
      </c>
      <c r="B295" t="n">
        <v>93709</v>
      </c>
      <c r="C295" t="n">
        <v>29</v>
      </c>
      <c r="D295" t="n">
        <v>8</v>
      </c>
      <c r="E295" t="n">
        <v>13</v>
      </c>
      <c r="F295" t="n">
        <v>0</v>
      </c>
      <c r="G295" t="n">
        <v>0</v>
      </c>
      <c r="H295" t="n">
        <v>650000</v>
      </c>
      <c r="I295" t="n">
        <v>0</v>
      </c>
      <c r="J295" t="n">
        <v>650000</v>
      </c>
    </row>
    <row r="296">
      <c r="A296" s="5" t="n">
        <v>46133</v>
      </c>
      <c r="B296" t="n">
        <v>101225</v>
      </c>
      <c r="C296" t="n">
        <v>38</v>
      </c>
      <c r="D296" t="n">
        <v>8</v>
      </c>
      <c r="E296" t="n">
        <v>6</v>
      </c>
      <c r="F296" t="n">
        <v>1</v>
      </c>
      <c r="G296" t="n">
        <v>480000</v>
      </c>
      <c r="H296" t="n">
        <v>750000</v>
      </c>
      <c r="I296" t="n">
        <v>0</v>
      </c>
      <c r="J296" t="n">
        <v>750000</v>
      </c>
    </row>
    <row r="297">
      <c r="A297" s="5" t="n">
        <v>46134</v>
      </c>
      <c r="B297" t="n">
        <v>99726</v>
      </c>
      <c r="C297" t="n">
        <v>40</v>
      </c>
      <c r="D297" t="n">
        <v>16</v>
      </c>
      <c r="E297" t="n">
        <v>6</v>
      </c>
      <c r="F297" t="n">
        <v>0</v>
      </c>
      <c r="G297" t="n">
        <v>0</v>
      </c>
      <c r="H297" t="n">
        <v>480000</v>
      </c>
      <c r="I297" t="n">
        <v>0</v>
      </c>
      <c r="J297" t="n">
        <v>480000</v>
      </c>
    </row>
    <row r="298">
      <c r="A298" s="5" t="n">
        <v>46135</v>
      </c>
      <c r="B298" t="n">
        <v>99648</v>
      </c>
      <c r="C298" t="n">
        <v>31</v>
      </c>
      <c r="D298" t="n">
        <v>9</v>
      </c>
      <c r="E298" t="n">
        <v>9</v>
      </c>
      <c r="F298" t="n">
        <v>1</v>
      </c>
      <c r="G298" t="n">
        <v>1500000</v>
      </c>
      <c r="H298" t="n">
        <v>170000</v>
      </c>
      <c r="I298" t="n">
        <v>0</v>
      </c>
      <c r="J298" t="n">
        <v>170000</v>
      </c>
    </row>
    <row r="299">
      <c r="A299" s="5" t="n">
        <v>46136</v>
      </c>
      <c r="B299" t="n">
        <v>96564</v>
      </c>
      <c r="C299" t="n">
        <v>24</v>
      </c>
      <c r="D299" t="n">
        <v>10</v>
      </c>
      <c r="E299" t="n">
        <v>5</v>
      </c>
      <c r="F299" t="n">
        <v>1</v>
      </c>
      <c r="G299" t="n">
        <v>150000</v>
      </c>
      <c r="H299" t="n">
        <v>1820000</v>
      </c>
      <c r="I299" t="n">
        <v>0</v>
      </c>
      <c r="J299" t="n">
        <v>1820000</v>
      </c>
    </row>
    <row r="300">
      <c r="A300" s="5" t="n">
        <v>46137</v>
      </c>
      <c r="B300" t="n">
        <v>102507</v>
      </c>
      <c r="C300" t="n">
        <v>19</v>
      </c>
      <c r="D300" t="n">
        <v>7</v>
      </c>
      <c r="E300" t="n">
        <v>8</v>
      </c>
      <c r="F300" t="n">
        <v>3</v>
      </c>
      <c r="G300" t="n">
        <v>1140000</v>
      </c>
      <c r="H300" t="n">
        <v>150000</v>
      </c>
      <c r="I300" t="n">
        <v>0</v>
      </c>
      <c r="J300" t="n">
        <v>150000</v>
      </c>
    </row>
    <row r="301">
      <c r="A301" s="5" t="n">
        <v>46138</v>
      </c>
      <c r="B301" t="n">
        <v>101238</v>
      </c>
      <c r="C301" t="n">
        <v>30</v>
      </c>
      <c r="D301" t="n">
        <v>4</v>
      </c>
      <c r="E301" t="n">
        <v>6</v>
      </c>
      <c r="F301" t="n">
        <v>0</v>
      </c>
      <c r="G301" t="n">
        <v>0</v>
      </c>
      <c r="H301" t="n">
        <v>170000</v>
      </c>
      <c r="I301" t="n">
        <v>0</v>
      </c>
      <c r="J301" t="n">
        <v>170000</v>
      </c>
    </row>
    <row r="302">
      <c r="A302" s="5" t="n">
        <v>46139</v>
      </c>
      <c r="B302" t="n">
        <v>102627</v>
      </c>
      <c r="C302" t="n">
        <v>41</v>
      </c>
      <c r="D302" t="n">
        <v>12</v>
      </c>
      <c r="E302" t="n">
        <v>3</v>
      </c>
      <c r="F302" t="n">
        <v>2</v>
      </c>
      <c r="G302" t="n">
        <v>990000</v>
      </c>
      <c r="H302" t="n">
        <v>480000</v>
      </c>
      <c r="I302" t="n">
        <v>0</v>
      </c>
      <c r="J302" t="n">
        <v>480000</v>
      </c>
    </row>
    <row r="303">
      <c r="A303" s="5" t="n">
        <v>46140</v>
      </c>
      <c r="B303" t="n">
        <v>98192</v>
      </c>
      <c r="C303" t="n">
        <v>41</v>
      </c>
      <c r="D303" t="n">
        <v>6</v>
      </c>
      <c r="E303" t="n">
        <v>4</v>
      </c>
      <c r="F303" t="n">
        <v>2</v>
      </c>
      <c r="G303" t="n">
        <v>630000</v>
      </c>
      <c r="H303" t="n">
        <v>970000</v>
      </c>
      <c r="I303" t="n">
        <v>0</v>
      </c>
      <c r="J303" t="n">
        <v>970000</v>
      </c>
    </row>
    <row r="304">
      <c r="A304" s="5" t="n">
        <v>46141</v>
      </c>
      <c r="B304" t="n">
        <v>98173</v>
      </c>
      <c r="C304" t="n">
        <v>33</v>
      </c>
      <c r="D304" t="n">
        <v>16</v>
      </c>
      <c r="E304" t="n">
        <v>1</v>
      </c>
      <c r="F304" t="n">
        <v>2</v>
      </c>
      <c r="G304" t="n">
        <v>1650000</v>
      </c>
      <c r="H304" t="n">
        <v>490000</v>
      </c>
      <c r="I304" t="n">
        <v>0</v>
      </c>
      <c r="J304" t="n">
        <v>490000</v>
      </c>
    </row>
    <row r="305">
      <c r="A305" s="5" t="n">
        <v>46142</v>
      </c>
      <c r="B305" t="n">
        <v>100865</v>
      </c>
      <c r="C305" t="n">
        <v>23</v>
      </c>
      <c r="D305" t="n">
        <v>11</v>
      </c>
      <c r="E305" t="n">
        <v>4</v>
      </c>
      <c r="F305" t="n">
        <v>1</v>
      </c>
      <c r="G305" t="n">
        <v>1500000</v>
      </c>
      <c r="H305" t="n">
        <v>1980000</v>
      </c>
      <c r="I305" t="n">
        <v>0</v>
      </c>
      <c r="J305" t="n">
        <v>1980000</v>
      </c>
    </row>
    <row r="306">
      <c r="A306" s="5" t="n">
        <v>46143</v>
      </c>
      <c r="B306" t="n">
        <v>90927</v>
      </c>
      <c r="C306" t="n">
        <v>17</v>
      </c>
      <c r="D306" t="n">
        <v>10</v>
      </c>
      <c r="E306" t="n">
        <v>4</v>
      </c>
      <c r="F306" t="n">
        <v>3</v>
      </c>
      <c r="G306" t="n">
        <v>1530000</v>
      </c>
      <c r="H306" t="n">
        <v>2180000</v>
      </c>
      <c r="I306" t="n">
        <v>0</v>
      </c>
      <c r="J306" t="n">
        <v>2180000</v>
      </c>
    </row>
    <row r="307">
      <c r="A307" s="5" t="n">
        <v>46144</v>
      </c>
      <c r="B307" t="n">
        <v>98344</v>
      </c>
      <c r="C307" t="n">
        <v>18</v>
      </c>
      <c r="D307" t="n">
        <v>7</v>
      </c>
      <c r="E307" t="n">
        <v>3</v>
      </c>
      <c r="F307" t="n">
        <v>2</v>
      </c>
      <c r="G307" t="n">
        <v>1980000</v>
      </c>
      <c r="H307" t="n">
        <v>650000</v>
      </c>
      <c r="I307" t="n">
        <v>0</v>
      </c>
      <c r="J307" t="n">
        <v>650000</v>
      </c>
    </row>
    <row r="308">
      <c r="A308" s="5" t="n">
        <v>46145</v>
      </c>
      <c r="B308" t="n">
        <v>99586</v>
      </c>
      <c r="C308" t="n">
        <v>25</v>
      </c>
      <c r="D308" t="n">
        <v>6</v>
      </c>
      <c r="E308" t="n">
        <v>4</v>
      </c>
      <c r="F308" t="n">
        <v>3</v>
      </c>
      <c r="G308" t="n">
        <v>2130000</v>
      </c>
      <c r="H308" t="n">
        <v>3320000</v>
      </c>
      <c r="I308" t="n">
        <v>0</v>
      </c>
      <c r="J308" t="n">
        <v>3320000</v>
      </c>
    </row>
    <row r="309">
      <c r="A309" s="5" t="n">
        <v>46146</v>
      </c>
      <c r="B309" t="n">
        <v>98041</v>
      </c>
      <c r="C309" t="n">
        <v>38</v>
      </c>
      <c r="D309" t="n">
        <v>8</v>
      </c>
      <c r="E309" t="n">
        <v>6</v>
      </c>
      <c r="F309" t="n">
        <v>1</v>
      </c>
      <c r="G309" t="n">
        <v>510000</v>
      </c>
      <c r="H309" t="n">
        <v>650000</v>
      </c>
      <c r="I309" t="n">
        <v>0</v>
      </c>
      <c r="J309" t="n">
        <v>650000</v>
      </c>
    </row>
    <row r="310">
      <c r="A310" s="5" t="n">
        <v>46147</v>
      </c>
      <c r="B310" t="n">
        <v>104786</v>
      </c>
      <c r="C310" t="n">
        <v>46</v>
      </c>
      <c r="D310" t="n">
        <v>11</v>
      </c>
      <c r="E310" t="n">
        <v>8</v>
      </c>
      <c r="F310" t="n">
        <v>1</v>
      </c>
      <c r="G310" t="n">
        <v>1500000</v>
      </c>
      <c r="H310" t="n">
        <v>170000</v>
      </c>
      <c r="I310" t="n">
        <v>0</v>
      </c>
      <c r="J310" t="n">
        <v>170000</v>
      </c>
    </row>
    <row r="311">
      <c r="A311" s="5" t="n">
        <v>46148</v>
      </c>
      <c r="B311" t="n">
        <v>95075</v>
      </c>
      <c r="C311" t="n">
        <v>40</v>
      </c>
      <c r="D311" t="n">
        <v>6</v>
      </c>
      <c r="E311" t="n">
        <v>4</v>
      </c>
      <c r="F311" t="n">
        <v>1</v>
      </c>
      <c r="G311" t="n">
        <v>480000</v>
      </c>
      <c r="H311" t="n">
        <v>1670000</v>
      </c>
      <c r="I311" t="n">
        <v>0</v>
      </c>
      <c r="J311" t="n">
        <v>1670000</v>
      </c>
    </row>
    <row r="312">
      <c r="A312" s="5" t="n">
        <v>46149</v>
      </c>
      <c r="B312" t="n">
        <v>96808</v>
      </c>
      <c r="C312" t="n">
        <v>36</v>
      </c>
      <c r="D312" t="n">
        <v>16</v>
      </c>
      <c r="E312" t="n">
        <v>4</v>
      </c>
      <c r="F312" t="n">
        <v>2</v>
      </c>
      <c r="G312" t="n">
        <v>660000</v>
      </c>
      <c r="H312" t="n">
        <v>320000</v>
      </c>
      <c r="I312" t="n">
        <v>0</v>
      </c>
      <c r="J312" t="n">
        <v>320000</v>
      </c>
    </row>
    <row r="313">
      <c r="A313" s="5" t="n">
        <v>46150</v>
      </c>
      <c r="B313" t="n">
        <v>104220</v>
      </c>
      <c r="C313" t="n">
        <v>30</v>
      </c>
      <c r="D313" t="n">
        <v>8</v>
      </c>
      <c r="E313" t="n">
        <v>1</v>
      </c>
      <c r="F313" t="n">
        <v>2</v>
      </c>
      <c r="G313" t="n">
        <v>1980000</v>
      </c>
      <c r="H313" t="n">
        <v>480000</v>
      </c>
      <c r="I313" t="n">
        <v>0</v>
      </c>
      <c r="J313" t="n">
        <v>480000</v>
      </c>
    </row>
    <row r="314">
      <c r="A314" s="5" t="n">
        <v>46151</v>
      </c>
      <c r="B314" t="n">
        <v>99457</v>
      </c>
      <c r="C314" t="n">
        <v>24</v>
      </c>
      <c r="D314" t="n">
        <v>7</v>
      </c>
      <c r="E314" t="n">
        <v>4</v>
      </c>
      <c r="F314" t="n">
        <v>2</v>
      </c>
      <c r="G314" t="n">
        <v>630000</v>
      </c>
      <c r="H314" t="n">
        <v>1280000</v>
      </c>
      <c r="I314" t="n">
        <v>0</v>
      </c>
      <c r="J314" t="n">
        <v>1280000</v>
      </c>
    </row>
    <row r="315">
      <c r="A315" s="5" t="n">
        <v>46152</v>
      </c>
      <c r="B315" t="n">
        <v>99554</v>
      </c>
      <c r="C315" t="n">
        <v>29</v>
      </c>
      <c r="D315" t="n">
        <v>12</v>
      </c>
      <c r="E315" t="n">
        <v>5</v>
      </c>
      <c r="F315" t="n">
        <v>2</v>
      </c>
      <c r="G315" t="n">
        <v>1980000</v>
      </c>
      <c r="H315" t="n">
        <v>1230000</v>
      </c>
      <c r="I315" t="n">
        <v>0</v>
      </c>
      <c r="J315" t="n">
        <v>1230000</v>
      </c>
    </row>
    <row r="316">
      <c r="A316" s="5" t="n">
        <v>46153</v>
      </c>
      <c r="B316" t="n">
        <v>99348</v>
      </c>
      <c r="C316" t="n">
        <v>33</v>
      </c>
      <c r="D316" t="n">
        <v>6</v>
      </c>
      <c r="E316" t="n">
        <v>6</v>
      </c>
      <c r="F316" t="n">
        <v>1</v>
      </c>
      <c r="G316" t="n">
        <v>150000</v>
      </c>
      <c r="H316" t="n">
        <v>1240000</v>
      </c>
      <c r="I316" t="n">
        <v>0</v>
      </c>
      <c r="J316" t="n">
        <v>1240000</v>
      </c>
    </row>
    <row r="317">
      <c r="A317" s="5" t="n">
        <v>46154</v>
      </c>
      <c r="B317" t="n">
        <v>101865</v>
      </c>
      <c r="C317" t="n">
        <v>36</v>
      </c>
      <c r="D317" t="n">
        <v>8</v>
      </c>
      <c r="E317" t="n">
        <v>6</v>
      </c>
      <c r="F317" t="n">
        <v>2</v>
      </c>
      <c r="G317" t="n">
        <v>660000</v>
      </c>
      <c r="H317" t="n">
        <v>150000</v>
      </c>
      <c r="I317" t="n">
        <v>0</v>
      </c>
      <c r="J317" t="n">
        <v>150000</v>
      </c>
    </row>
    <row r="318">
      <c r="A318" s="5" t="n">
        <v>46155</v>
      </c>
      <c r="B318" t="n">
        <v>105866</v>
      </c>
      <c r="C318" t="n">
        <v>41</v>
      </c>
      <c r="D318" t="n">
        <v>12</v>
      </c>
      <c r="E318" t="n">
        <v>2</v>
      </c>
      <c r="F318" t="n">
        <v>2</v>
      </c>
      <c r="G318" t="n">
        <v>990000</v>
      </c>
      <c r="H318" t="n">
        <v>1230000</v>
      </c>
      <c r="I318" t="n">
        <v>0</v>
      </c>
      <c r="J318" t="n">
        <v>1230000</v>
      </c>
    </row>
    <row r="319">
      <c r="A319" s="5" t="n">
        <v>46156</v>
      </c>
      <c r="B319" t="n">
        <v>98860</v>
      </c>
      <c r="C319" t="n">
        <v>41</v>
      </c>
      <c r="D319" t="n">
        <v>11</v>
      </c>
      <c r="E319" t="n">
        <v>5</v>
      </c>
      <c r="F319" t="n">
        <v>4</v>
      </c>
      <c r="G319" t="n">
        <v>1620000</v>
      </c>
      <c r="H319" t="n">
        <v>1140000</v>
      </c>
      <c r="I319" t="n">
        <v>0</v>
      </c>
      <c r="J319" t="n">
        <v>1140000</v>
      </c>
    </row>
    <row r="320">
      <c r="A320" s="5" t="n">
        <v>46157</v>
      </c>
      <c r="B320" t="n">
        <v>99339</v>
      </c>
      <c r="C320" t="n">
        <v>33</v>
      </c>
      <c r="D320" t="n">
        <v>4</v>
      </c>
      <c r="E320" t="n">
        <v>7</v>
      </c>
      <c r="F320" t="n">
        <v>4</v>
      </c>
      <c r="G320" t="n">
        <v>1260000</v>
      </c>
      <c r="H320" t="n">
        <v>1260000</v>
      </c>
      <c r="I320" t="n">
        <v>0</v>
      </c>
      <c r="J320" t="n">
        <v>1260000</v>
      </c>
    </row>
    <row r="321">
      <c r="A321" s="5" t="n">
        <v>46158</v>
      </c>
      <c r="B321" t="n">
        <v>100825</v>
      </c>
      <c r="C321" t="n">
        <v>27</v>
      </c>
      <c r="D321" t="n">
        <v>8</v>
      </c>
      <c r="E321" t="n">
        <v>4</v>
      </c>
      <c r="F321" t="n">
        <v>0</v>
      </c>
      <c r="G321" t="n">
        <v>0</v>
      </c>
      <c r="H321" t="n">
        <v>480000</v>
      </c>
      <c r="I321" t="n">
        <v>0</v>
      </c>
      <c r="J321" t="n">
        <v>480000</v>
      </c>
    </row>
    <row r="322">
      <c r="A322" s="5" t="n">
        <v>46159</v>
      </c>
      <c r="B322" t="n">
        <v>102836</v>
      </c>
      <c r="C322" t="n">
        <v>26</v>
      </c>
      <c r="D322" t="n">
        <v>13</v>
      </c>
      <c r="E322" t="n">
        <v>4</v>
      </c>
      <c r="F322" t="n">
        <v>2</v>
      </c>
      <c r="G322" t="n">
        <v>960000</v>
      </c>
      <c r="H322" t="n">
        <v>820000</v>
      </c>
      <c r="I322" t="n">
        <v>0</v>
      </c>
      <c r="J322" t="n">
        <v>820000</v>
      </c>
    </row>
    <row r="323">
      <c r="A323" s="5" t="n">
        <v>46160</v>
      </c>
      <c r="B323" t="n">
        <v>96830</v>
      </c>
      <c r="C323" t="n">
        <v>21</v>
      </c>
      <c r="D323" t="n">
        <v>9</v>
      </c>
      <c r="E323" t="n">
        <v>4</v>
      </c>
      <c r="F323" t="n">
        <v>0</v>
      </c>
      <c r="G323" t="n">
        <v>0</v>
      </c>
      <c r="H323" t="n">
        <v>480000</v>
      </c>
      <c r="I323" t="n">
        <v>0</v>
      </c>
      <c r="J323" t="n">
        <v>480000</v>
      </c>
    </row>
    <row r="324">
      <c r="A324" s="5" t="n">
        <v>46161</v>
      </c>
      <c r="B324" t="n">
        <v>92772</v>
      </c>
      <c r="C324" t="n">
        <v>48</v>
      </c>
      <c r="D324" t="n">
        <v>6</v>
      </c>
      <c r="E324" t="n">
        <v>5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</row>
    <row r="325">
      <c r="A325" s="5" t="n">
        <v>46162</v>
      </c>
      <c r="B325" t="n">
        <v>102914</v>
      </c>
      <c r="C325" t="n">
        <v>35</v>
      </c>
      <c r="D325" t="n">
        <v>12</v>
      </c>
      <c r="E325" t="n">
        <v>3</v>
      </c>
      <c r="F325" t="n">
        <v>5</v>
      </c>
      <c r="G325" t="n">
        <v>1440000</v>
      </c>
      <c r="H325" t="n">
        <v>620000</v>
      </c>
      <c r="I325" t="n">
        <v>0</v>
      </c>
      <c r="J325" t="n">
        <v>620000</v>
      </c>
    </row>
    <row r="326">
      <c r="A326" s="5" t="n">
        <v>46163</v>
      </c>
      <c r="B326" t="n">
        <v>101515</v>
      </c>
      <c r="C326" t="n">
        <v>31</v>
      </c>
      <c r="D326" t="n">
        <v>9</v>
      </c>
      <c r="E326" t="n">
        <v>3</v>
      </c>
      <c r="F326" t="n">
        <v>2</v>
      </c>
      <c r="G326" t="n">
        <v>660000</v>
      </c>
      <c r="H326" t="n">
        <v>970000</v>
      </c>
      <c r="I326" t="n">
        <v>0</v>
      </c>
      <c r="J326" t="n">
        <v>970000</v>
      </c>
    </row>
    <row r="327">
      <c r="A327" s="5" t="n">
        <v>46164</v>
      </c>
      <c r="B327" t="n">
        <v>102779</v>
      </c>
      <c r="C327" t="n">
        <v>30</v>
      </c>
      <c r="D327" t="n">
        <v>10</v>
      </c>
      <c r="E327" t="n">
        <v>3</v>
      </c>
      <c r="F327" t="n">
        <v>2</v>
      </c>
      <c r="G327" t="n">
        <v>960000</v>
      </c>
      <c r="H327" t="n">
        <v>480000</v>
      </c>
      <c r="I327" t="n">
        <v>0</v>
      </c>
      <c r="J327" t="n">
        <v>480000</v>
      </c>
    </row>
    <row r="328">
      <c r="A328" s="5" t="n">
        <v>46165</v>
      </c>
      <c r="B328" t="n">
        <v>101834</v>
      </c>
      <c r="C328" t="n">
        <v>32</v>
      </c>
      <c r="D328" t="n">
        <v>8</v>
      </c>
      <c r="E328" t="n">
        <v>6</v>
      </c>
      <c r="F328" t="n">
        <v>1</v>
      </c>
      <c r="G328" t="n">
        <v>150000</v>
      </c>
      <c r="H328" t="n">
        <v>320000</v>
      </c>
      <c r="I328" t="n">
        <v>0</v>
      </c>
      <c r="J328" t="n">
        <v>320000</v>
      </c>
    </row>
    <row r="329">
      <c r="A329" s="5" t="n">
        <v>46166</v>
      </c>
      <c r="B329" t="n">
        <v>97229</v>
      </c>
      <c r="C329" t="n">
        <v>25</v>
      </c>
      <c r="D329" t="n">
        <v>12</v>
      </c>
      <c r="E329" t="n">
        <v>5</v>
      </c>
      <c r="F329" t="n">
        <v>0</v>
      </c>
      <c r="G329" t="n">
        <v>0</v>
      </c>
      <c r="H329" t="n">
        <v>650000</v>
      </c>
      <c r="I329" t="n">
        <v>0</v>
      </c>
      <c r="J329" t="n">
        <v>650000</v>
      </c>
    </row>
    <row r="330">
      <c r="A330" s="5" t="n">
        <v>46167</v>
      </c>
      <c r="B330" t="n">
        <v>100867</v>
      </c>
      <c r="C330" t="n">
        <v>35</v>
      </c>
      <c r="D330" t="n">
        <v>8</v>
      </c>
      <c r="E330" t="n">
        <v>5</v>
      </c>
      <c r="F330" t="n">
        <v>3</v>
      </c>
      <c r="G330" t="n">
        <v>1470000</v>
      </c>
      <c r="H330" t="n">
        <v>0</v>
      </c>
      <c r="I330" t="n">
        <v>0</v>
      </c>
      <c r="J330" t="n">
        <v>0</v>
      </c>
    </row>
    <row r="331">
      <c r="A331" s="5" t="n">
        <v>46168</v>
      </c>
      <c r="B331" t="n">
        <v>97600</v>
      </c>
      <c r="C331" t="n">
        <v>48</v>
      </c>
      <c r="D331" t="n">
        <v>8</v>
      </c>
      <c r="E331" t="n">
        <v>5</v>
      </c>
      <c r="F331" t="n">
        <v>3</v>
      </c>
      <c r="G331" t="n">
        <v>810000</v>
      </c>
      <c r="H331" t="n">
        <v>1600000</v>
      </c>
      <c r="I331" t="n">
        <v>0</v>
      </c>
      <c r="J331" t="n">
        <v>1600000</v>
      </c>
    </row>
    <row r="332">
      <c r="A332" s="5" t="n">
        <v>46169</v>
      </c>
      <c r="B332" t="n">
        <v>99293</v>
      </c>
      <c r="C332" t="n">
        <v>26</v>
      </c>
      <c r="D332" t="n">
        <v>13</v>
      </c>
      <c r="E332" t="n">
        <v>4</v>
      </c>
      <c r="F332" t="n">
        <v>2</v>
      </c>
      <c r="G332" t="n">
        <v>630000</v>
      </c>
      <c r="H332" t="n">
        <v>320000</v>
      </c>
      <c r="I332" t="n">
        <v>0</v>
      </c>
      <c r="J332" t="n">
        <v>320000</v>
      </c>
    </row>
    <row r="333">
      <c r="A333" s="5" t="n">
        <v>46170</v>
      </c>
      <c r="B333" t="n">
        <v>93977</v>
      </c>
      <c r="C333" t="n">
        <v>37</v>
      </c>
      <c r="D333" t="n">
        <v>7</v>
      </c>
      <c r="E333" t="n">
        <v>2</v>
      </c>
      <c r="F333" t="n">
        <v>2</v>
      </c>
      <c r="G333" t="n">
        <v>990000</v>
      </c>
      <c r="H333" t="n">
        <v>650000</v>
      </c>
      <c r="I333" t="n">
        <v>0</v>
      </c>
      <c r="J333" t="n">
        <v>650000</v>
      </c>
    </row>
    <row r="334">
      <c r="A334" s="5" t="n">
        <v>46171</v>
      </c>
      <c r="B334" t="n">
        <v>100029</v>
      </c>
      <c r="C334" t="n">
        <v>35</v>
      </c>
      <c r="D334" t="n">
        <v>14</v>
      </c>
      <c r="E334" t="n">
        <v>2</v>
      </c>
      <c r="F334" t="n">
        <v>2</v>
      </c>
      <c r="G334" t="n">
        <v>660000</v>
      </c>
      <c r="H334" t="n">
        <v>630000</v>
      </c>
      <c r="I334" t="n">
        <v>0</v>
      </c>
      <c r="J334" t="n">
        <v>630000</v>
      </c>
    </row>
    <row r="335">
      <c r="A335" s="5" t="n">
        <v>46172</v>
      </c>
      <c r="B335" t="n">
        <v>97679</v>
      </c>
      <c r="C335" t="n">
        <v>15</v>
      </c>
      <c r="D335" t="n">
        <v>6</v>
      </c>
      <c r="E335" t="n">
        <v>6</v>
      </c>
      <c r="F335" t="n">
        <v>0</v>
      </c>
      <c r="G335" t="n">
        <v>0</v>
      </c>
      <c r="H335" t="n">
        <v>1090000</v>
      </c>
      <c r="I335" t="n">
        <v>0</v>
      </c>
      <c r="J335" t="n">
        <v>1090000</v>
      </c>
    </row>
    <row r="336">
      <c r="A336" s="5" t="n">
        <v>46173</v>
      </c>
      <c r="B336" t="n">
        <v>102895</v>
      </c>
      <c r="C336" t="n">
        <v>17</v>
      </c>
      <c r="D336" t="n">
        <v>10</v>
      </c>
      <c r="E336" t="n">
        <v>4</v>
      </c>
      <c r="F336" t="n">
        <v>0</v>
      </c>
      <c r="G336" t="n">
        <v>0</v>
      </c>
      <c r="H336" t="n">
        <v>340000</v>
      </c>
      <c r="I336" t="n">
        <v>170000</v>
      </c>
      <c r="J336" t="n">
        <v>170000</v>
      </c>
    </row>
    <row r="337">
      <c r="A337" s="5" t="n">
        <v>46174</v>
      </c>
      <c r="B337" t="n">
        <v>99603</v>
      </c>
      <c r="C337" t="n">
        <v>34</v>
      </c>
      <c r="D337" t="n">
        <v>3</v>
      </c>
      <c r="E337" t="n">
        <v>5</v>
      </c>
      <c r="F337" t="n">
        <v>2</v>
      </c>
      <c r="G337" t="n">
        <v>3000000</v>
      </c>
      <c r="H337" t="n">
        <v>170000</v>
      </c>
      <c r="I337" t="n">
        <v>0</v>
      </c>
      <c r="J337" t="n">
        <v>170000</v>
      </c>
    </row>
    <row r="338">
      <c r="A338" s="5" t="n">
        <v>46175</v>
      </c>
      <c r="B338" t="n">
        <v>100595</v>
      </c>
      <c r="C338" t="n">
        <v>47</v>
      </c>
      <c r="D338" t="n">
        <v>2</v>
      </c>
      <c r="E338" t="n">
        <v>3</v>
      </c>
      <c r="F338" t="n">
        <v>1</v>
      </c>
      <c r="G338" t="n">
        <v>480000</v>
      </c>
      <c r="H338" t="n">
        <v>1670000</v>
      </c>
      <c r="I338" t="n">
        <v>0</v>
      </c>
      <c r="J338" t="n">
        <v>1670000</v>
      </c>
    </row>
    <row r="339">
      <c r="A339" s="5" t="n">
        <v>46176</v>
      </c>
      <c r="B339" t="n">
        <v>98123</v>
      </c>
      <c r="C339" t="n">
        <v>34</v>
      </c>
      <c r="D339" t="n">
        <v>14</v>
      </c>
      <c r="E339" t="n">
        <v>1</v>
      </c>
      <c r="F339" t="n">
        <v>1</v>
      </c>
      <c r="G339" t="n">
        <v>1500000</v>
      </c>
      <c r="H339" t="n">
        <v>2150000</v>
      </c>
      <c r="I339" t="n">
        <v>0</v>
      </c>
      <c r="J339" t="n">
        <v>2150000</v>
      </c>
    </row>
    <row r="340">
      <c r="A340" s="5" t="n">
        <v>46177</v>
      </c>
      <c r="B340" t="n">
        <v>100495</v>
      </c>
      <c r="C340" t="n">
        <v>45</v>
      </c>
      <c r="D340" t="n">
        <v>7</v>
      </c>
      <c r="E340" t="n">
        <v>2</v>
      </c>
      <c r="F340" t="n">
        <v>1</v>
      </c>
      <c r="G340" t="n">
        <v>480000</v>
      </c>
      <c r="H340" t="n">
        <v>170000</v>
      </c>
      <c r="I340" t="n">
        <v>0</v>
      </c>
      <c r="J340" t="n">
        <v>170000</v>
      </c>
    </row>
    <row r="341">
      <c r="A341" s="5" t="n">
        <v>46178</v>
      </c>
      <c r="B341" t="n">
        <v>99680</v>
      </c>
      <c r="C341" t="n">
        <v>23</v>
      </c>
      <c r="D341" t="n">
        <v>10</v>
      </c>
      <c r="E341" t="n">
        <v>2</v>
      </c>
      <c r="F341" t="n">
        <v>3</v>
      </c>
      <c r="G341" t="n">
        <v>1800000</v>
      </c>
      <c r="H341" t="n">
        <v>2450000</v>
      </c>
      <c r="I341" t="n">
        <v>0</v>
      </c>
      <c r="J341" t="n">
        <v>2450000</v>
      </c>
    </row>
    <row r="342">
      <c r="A342" s="5" t="n">
        <v>46179</v>
      </c>
      <c r="B342" t="n">
        <v>102292</v>
      </c>
      <c r="C342" t="n">
        <v>29</v>
      </c>
      <c r="D342" t="n">
        <v>7</v>
      </c>
      <c r="E342" t="n">
        <v>5</v>
      </c>
      <c r="F342" t="n">
        <v>4</v>
      </c>
      <c r="G342" t="n">
        <v>2940000</v>
      </c>
      <c r="H342" t="n">
        <v>1670000</v>
      </c>
      <c r="I342" t="n">
        <v>0</v>
      </c>
      <c r="J342" t="n">
        <v>1670000</v>
      </c>
    </row>
    <row r="343">
      <c r="A343" s="5" t="n">
        <v>46180</v>
      </c>
      <c r="B343" t="n">
        <v>102153</v>
      </c>
      <c r="C343" t="n">
        <v>23</v>
      </c>
      <c r="D343" t="n">
        <v>11</v>
      </c>
      <c r="E343" t="n">
        <v>3</v>
      </c>
      <c r="F343" t="n">
        <v>1</v>
      </c>
      <c r="G343" t="n">
        <v>150000</v>
      </c>
      <c r="H343" t="n">
        <v>1860000</v>
      </c>
      <c r="I343" t="n">
        <v>0</v>
      </c>
      <c r="J343" t="n">
        <v>1860000</v>
      </c>
    </row>
    <row r="344">
      <c r="A344" s="5" t="n">
        <v>46181</v>
      </c>
      <c r="B344" t="n">
        <v>96026</v>
      </c>
      <c r="C344" t="n">
        <v>30</v>
      </c>
      <c r="D344" t="n">
        <v>13</v>
      </c>
      <c r="E344" t="n">
        <v>1</v>
      </c>
      <c r="F344" t="n">
        <v>1</v>
      </c>
      <c r="G344" t="n">
        <v>510000</v>
      </c>
      <c r="H344" t="n">
        <v>480000</v>
      </c>
      <c r="I344" t="n">
        <v>0</v>
      </c>
      <c r="J344" t="n">
        <v>480000</v>
      </c>
    </row>
    <row r="345">
      <c r="A345" s="5" t="n">
        <v>46182</v>
      </c>
      <c r="B345" t="n">
        <v>105108</v>
      </c>
      <c r="C345" t="n">
        <v>47</v>
      </c>
      <c r="D345" t="n">
        <v>7</v>
      </c>
      <c r="E345" t="n">
        <v>6</v>
      </c>
      <c r="F345" t="n">
        <v>0</v>
      </c>
      <c r="G345" t="n">
        <v>0</v>
      </c>
      <c r="H345" t="n">
        <v>750000</v>
      </c>
      <c r="I345" t="n">
        <v>0</v>
      </c>
      <c r="J345" t="n">
        <v>750000</v>
      </c>
    </row>
    <row r="346">
      <c r="A346" s="5" t="n">
        <v>46183</v>
      </c>
      <c r="B346" t="n">
        <v>94978</v>
      </c>
      <c r="C346" t="n">
        <v>24</v>
      </c>
      <c r="D346" t="n">
        <v>6</v>
      </c>
      <c r="E346" t="n">
        <v>6</v>
      </c>
      <c r="F346" t="n">
        <v>0</v>
      </c>
      <c r="G346" t="n">
        <v>0</v>
      </c>
      <c r="H346" t="n">
        <v>920000</v>
      </c>
      <c r="I346" t="n">
        <v>0</v>
      </c>
      <c r="J346" t="n">
        <v>920000</v>
      </c>
    </row>
    <row r="347">
      <c r="A347" s="5" t="n">
        <v>46184</v>
      </c>
      <c r="B347" t="n">
        <v>99547</v>
      </c>
      <c r="C347" t="n">
        <v>47</v>
      </c>
      <c r="D347" t="n">
        <v>11</v>
      </c>
      <c r="E347" t="n">
        <v>6</v>
      </c>
      <c r="F347" t="n">
        <v>1</v>
      </c>
      <c r="G347" t="n">
        <v>1500000</v>
      </c>
      <c r="H347" t="n">
        <v>1500000</v>
      </c>
      <c r="I347" t="n">
        <v>240000</v>
      </c>
      <c r="J347" t="n">
        <v>1260000</v>
      </c>
    </row>
    <row r="348">
      <c r="A348" s="5" t="n">
        <v>46185</v>
      </c>
      <c r="B348" t="n">
        <v>102736</v>
      </c>
      <c r="C348" t="n">
        <v>30</v>
      </c>
      <c r="D348" t="n">
        <v>6</v>
      </c>
      <c r="E348" t="n">
        <v>2</v>
      </c>
      <c r="F348" t="n">
        <v>3</v>
      </c>
      <c r="G348" t="n">
        <v>1110000</v>
      </c>
      <c r="H348" t="n">
        <v>150000</v>
      </c>
      <c r="I348" t="n">
        <v>0</v>
      </c>
      <c r="J348" t="n">
        <v>150000</v>
      </c>
    </row>
    <row r="349">
      <c r="A349" s="5" t="n">
        <v>46186</v>
      </c>
      <c r="B349" t="n">
        <v>102845</v>
      </c>
      <c r="C349" t="n">
        <v>20</v>
      </c>
      <c r="D349" t="n">
        <v>10</v>
      </c>
      <c r="E349" t="n">
        <v>3</v>
      </c>
      <c r="F349" t="n">
        <v>2</v>
      </c>
      <c r="G349" t="n">
        <v>960000</v>
      </c>
      <c r="H349" t="n">
        <v>1470000</v>
      </c>
      <c r="I349" t="n">
        <v>0</v>
      </c>
      <c r="J349" t="n">
        <v>1470000</v>
      </c>
    </row>
    <row r="350">
      <c r="A350" s="5" t="n">
        <v>46187</v>
      </c>
      <c r="B350" t="n">
        <v>103337</v>
      </c>
      <c r="C350" t="n">
        <v>24</v>
      </c>
      <c r="D350" t="n">
        <v>5</v>
      </c>
      <c r="E350" t="n">
        <v>2</v>
      </c>
      <c r="F350" t="n">
        <v>0</v>
      </c>
      <c r="G350" t="n">
        <v>0</v>
      </c>
      <c r="H350" t="n">
        <v>480000</v>
      </c>
      <c r="I350" t="n">
        <v>0</v>
      </c>
      <c r="J350" t="n">
        <v>480000</v>
      </c>
    </row>
    <row r="351">
      <c r="A351" s="5" t="n">
        <v>46188</v>
      </c>
      <c r="B351" t="n">
        <v>99346</v>
      </c>
      <c r="C351" t="n">
        <v>47</v>
      </c>
      <c r="D351" t="n">
        <v>7</v>
      </c>
      <c r="E351" t="n">
        <v>4</v>
      </c>
      <c r="F351" t="n">
        <v>1</v>
      </c>
      <c r="G351" t="n">
        <v>150000</v>
      </c>
      <c r="H351" t="n">
        <v>150000</v>
      </c>
      <c r="I351" t="n">
        <v>0</v>
      </c>
      <c r="J351" t="n">
        <v>150000</v>
      </c>
    </row>
    <row r="352">
      <c r="A352" s="5" t="n">
        <v>46189</v>
      </c>
      <c r="B352" t="n">
        <v>100518</v>
      </c>
      <c r="C352" t="n">
        <v>46</v>
      </c>
      <c r="D352" t="n">
        <v>5</v>
      </c>
      <c r="E352" t="n">
        <v>3</v>
      </c>
      <c r="F352" t="n">
        <v>2</v>
      </c>
      <c r="G352" t="n">
        <v>300000</v>
      </c>
      <c r="H352" t="n">
        <v>640000</v>
      </c>
      <c r="I352" t="n">
        <v>0</v>
      </c>
      <c r="J352" t="n">
        <v>640000</v>
      </c>
    </row>
    <row r="353">
      <c r="A353" s="5" t="n">
        <v>46190</v>
      </c>
      <c r="B353" t="n">
        <v>98606</v>
      </c>
      <c r="C353" t="n">
        <v>35</v>
      </c>
      <c r="D353" t="n">
        <v>13</v>
      </c>
      <c r="E353" t="n">
        <v>2</v>
      </c>
      <c r="F353" t="n">
        <v>2</v>
      </c>
      <c r="G353" t="n">
        <v>990000</v>
      </c>
      <c r="H353" t="n">
        <v>0</v>
      </c>
      <c r="I353" t="n">
        <v>0</v>
      </c>
      <c r="J353" t="n">
        <v>0</v>
      </c>
    </row>
    <row r="354">
      <c r="A354" s="5" t="n">
        <v>46191</v>
      </c>
      <c r="B354" t="n">
        <v>95841</v>
      </c>
      <c r="C354" t="n">
        <v>25</v>
      </c>
      <c r="D354" t="n">
        <v>23</v>
      </c>
      <c r="E354" t="n">
        <v>5</v>
      </c>
      <c r="F354" t="n">
        <v>1</v>
      </c>
      <c r="G354" t="n">
        <v>480000</v>
      </c>
      <c r="H354" t="n">
        <v>650000</v>
      </c>
      <c r="I354" t="n">
        <v>0</v>
      </c>
      <c r="J354" t="n">
        <v>650000</v>
      </c>
    </row>
    <row r="355">
      <c r="A355" s="5" t="n">
        <v>46192</v>
      </c>
      <c r="B355" t="n">
        <v>99629</v>
      </c>
      <c r="C355" t="n">
        <v>30</v>
      </c>
      <c r="D355" t="n">
        <v>7</v>
      </c>
      <c r="E355" t="n">
        <v>5</v>
      </c>
      <c r="F355" t="n">
        <v>1</v>
      </c>
      <c r="G355" t="n">
        <v>1500000</v>
      </c>
      <c r="H355" t="n">
        <v>170000</v>
      </c>
      <c r="I355" t="n">
        <v>480000</v>
      </c>
      <c r="J355" t="n">
        <v>-310000</v>
      </c>
    </row>
    <row r="356">
      <c r="A356" s="5" t="n">
        <v>46193</v>
      </c>
      <c r="B356" t="n">
        <v>105109</v>
      </c>
      <c r="C356" t="n">
        <v>19</v>
      </c>
      <c r="D356" t="n">
        <v>11</v>
      </c>
      <c r="E356" t="n">
        <v>4</v>
      </c>
      <c r="F356" t="n">
        <v>2</v>
      </c>
      <c r="G356" t="n">
        <v>630000</v>
      </c>
      <c r="H356" t="n">
        <v>2470000</v>
      </c>
      <c r="I356" t="n">
        <v>0</v>
      </c>
      <c r="J356" t="n">
        <v>2470000</v>
      </c>
    </row>
    <row r="357">
      <c r="A357" s="5" t="n">
        <v>46194</v>
      </c>
      <c r="B357" t="n">
        <v>101769</v>
      </c>
      <c r="C357" t="n">
        <v>24</v>
      </c>
      <c r="D357" t="n">
        <v>8</v>
      </c>
      <c r="E357" t="n">
        <v>3</v>
      </c>
      <c r="F357" t="n">
        <v>0</v>
      </c>
      <c r="G357" t="n">
        <v>0</v>
      </c>
      <c r="H357" t="n">
        <v>480000</v>
      </c>
      <c r="I357" t="n">
        <v>0</v>
      </c>
      <c r="J357" t="n">
        <v>480000</v>
      </c>
    </row>
    <row r="358">
      <c r="A358" s="5" t="n">
        <v>46195</v>
      </c>
      <c r="B358" t="n">
        <v>97975</v>
      </c>
      <c r="C358" t="n">
        <v>31</v>
      </c>
      <c r="D358" t="n">
        <v>4</v>
      </c>
      <c r="E358" t="n">
        <v>7</v>
      </c>
      <c r="F358" t="n">
        <v>0</v>
      </c>
      <c r="G358" t="n">
        <v>0</v>
      </c>
      <c r="H358" t="n">
        <v>0</v>
      </c>
      <c r="I358" t="n">
        <v>0</v>
      </c>
      <c r="J358" t="n">
        <v>0</v>
      </c>
    </row>
    <row r="359">
      <c r="A359" s="5" t="n">
        <v>46196</v>
      </c>
      <c r="B359" t="n">
        <v>104034</v>
      </c>
      <c r="C359" t="n">
        <v>47</v>
      </c>
      <c r="D359" t="n">
        <v>8</v>
      </c>
      <c r="E359" t="n">
        <v>3</v>
      </c>
      <c r="F359" t="n">
        <v>1</v>
      </c>
      <c r="G359" t="n">
        <v>150000</v>
      </c>
      <c r="H359" t="n">
        <v>150000</v>
      </c>
      <c r="I359" t="n">
        <v>0</v>
      </c>
      <c r="J359" t="n">
        <v>150000</v>
      </c>
    </row>
    <row r="360">
      <c r="A360" s="5" t="n">
        <v>46197</v>
      </c>
      <c r="B360" t="n">
        <v>92012</v>
      </c>
      <c r="C360" t="n">
        <v>31</v>
      </c>
      <c r="D360" t="n">
        <v>8</v>
      </c>
      <c r="E360" t="n">
        <v>2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</row>
    <row r="361">
      <c r="A361" s="5" t="n">
        <v>46198</v>
      </c>
      <c r="B361" t="n">
        <v>100556</v>
      </c>
      <c r="C361" t="n">
        <v>50</v>
      </c>
      <c r="D361" t="n">
        <v>11</v>
      </c>
      <c r="E361" t="n">
        <v>3</v>
      </c>
      <c r="F361" t="n">
        <v>0</v>
      </c>
      <c r="G361" t="n">
        <v>0</v>
      </c>
      <c r="H361" t="n">
        <v>340000</v>
      </c>
      <c r="I361" t="n">
        <v>0</v>
      </c>
      <c r="J361" t="n">
        <v>340000</v>
      </c>
    </row>
    <row r="362">
      <c r="A362" s="5" t="n">
        <v>46199</v>
      </c>
      <c r="B362" t="n">
        <v>98943</v>
      </c>
      <c r="C362" t="n">
        <v>36</v>
      </c>
      <c r="D362" t="n">
        <v>11</v>
      </c>
      <c r="E362" t="n">
        <v>6</v>
      </c>
      <c r="F362" t="n">
        <v>2</v>
      </c>
      <c r="G362" t="n">
        <v>2010000</v>
      </c>
      <c r="H362" t="n">
        <v>170000</v>
      </c>
      <c r="I362" t="n">
        <v>0</v>
      </c>
      <c r="J362" t="n">
        <v>170000</v>
      </c>
    </row>
    <row r="363">
      <c r="A363" s="5" t="n">
        <v>46200</v>
      </c>
      <c r="B363" t="n">
        <v>100693</v>
      </c>
      <c r="C363" t="n">
        <v>17</v>
      </c>
      <c r="D363" t="n">
        <v>12</v>
      </c>
      <c r="E363" t="n">
        <v>2</v>
      </c>
      <c r="F363" t="n">
        <v>1</v>
      </c>
      <c r="G363" t="n">
        <v>480000</v>
      </c>
      <c r="H363" t="n">
        <v>920000</v>
      </c>
      <c r="I363" t="n">
        <v>0</v>
      </c>
      <c r="J363" t="n">
        <v>920000</v>
      </c>
    </row>
    <row r="364">
      <c r="A364" s="5" t="n">
        <v>46201</v>
      </c>
      <c r="B364" t="n">
        <v>96154</v>
      </c>
      <c r="C364" t="n">
        <v>21</v>
      </c>
      <c r="D364" t="n">
        <v>6</v>
      </c>
      <c r="E364" t="n">
        <v>6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</row>
    <row r="365">
      <c r="A365" s="5" t="n">
        <v>46202</v>
      </c>
      <c r="B365" t="n">
        <v>95738</v>
      </c>
      <c r="C365" t="n">
        <v>29</v>
      </c>
      <c r="D365" t="n">
        <v>7</v>
      </c>
      <c r="E365" t="n">
        <v>4</v>
      </c>
      <c r="F365" t="n">
        <v>2</v>
      </c>
      <c r="G365" t="n">
        <v>1980000</v>
      </c>
      <c r="H365" t="n">
        <v>650000</v>
      </c>
      <c r="I365" t="n">
        <v>0</v>
      </c>
      <c r="J365" t="n">
        <v>650000</v>
      </c>
    </row>
    <row r="366">
      <c r="A366" s="5" t="n">
        <v>46203</v>
      </c>
      <c r="B366" t="n">
        <v>95255</v>
      </c>
      <c r="C366" t="n">
        <v>35</v>
      </c>
      <c r="D366" t="n">
        <v>10</v>
      </c>
      <c r="E366" t="n">
        <v>4</v>
      </c>
      <c r="F366" t="n">
        <v>1</v>
      </c>
      <c r="G366" t="n">
        <v>510000</v>
      </c>
      <c r="H366" t="n">
        <v>2320000</v>
      </c>
      <c r="I366" t="n">
        <v>0</v>
      </c>
      <c r="J366" t="n">
        <v>2320000</v>
      </c>
    </row>
    <row r="367">
      <c r="A367" s="5" t="n">
        <v>46204</v>
      </c>
      <c r="B367" t="n">
        <v>95838</v>
      </c>
      <c r="C367" t="n">
        <v>30</v>
      </c>
      <c r="D367" t="n">
        <v>10</v>
      </c>
      <c r="E367" t="n">
        <v>1</v>
      </c>
      <c r="F367" t="n">
        <v>1</v>
      </c>
      <c r="G367" t="n">
        <v>510000</v>
      </c>
      <c r="H367" t="n">
        <v>510000</v>
      </c>
      <c r="I367" t="n">
        <v>0</v>
      </c>
      <c r="J367" t="n">
        <v>510000</v>
      </c>
    </row>
    <row r="368">
      <c r="A368" s="5" t="n">
        <v>46205</v>
      </c>
      <c r="B368" t="n">
        <v>101368</v>
      </c>
      <c r="C368" t="n">
        <v>30</v>
      </c>
      <c r="D368" t="n">
        <v>14</v>
      </c>
      <c r="E368" t="n">
        <v>5</v>
      </c>
      <c r="F368" t="n">
        <v>2</v>
      </c>
      <c r="G368" t="n">
        <v>990000</v>
      </c>
      <c r="H368" t="n">
        <v>0</v>
      </c>
      <c r="I368" t="n">
        <v>0</v>
      </c>
      <c r="J368" t="n">
        <v>0</v>
      </c>
    </row>
    <row r="369">
      <c r="A369" s="5" t="n">
        <v>46206</v>
      </c>
      <c r="B369" t="n">
        <v>98113</v>
      </c>
      <c r="C369" t="n">
        <v>30</v>
      </c>
      <c r="D369" t="n">
        <v>11</v>
      </c>
      <c r="E369" t="n">
        <v>3</v>
      </c>
      <c r="F369" t="n">
        <v>1</v>
      </c>
      <c r="G369" t="n">
        <v>510000</v>
      </c>
      <c r="H369" t="n">
        <v>650000</v>
      </c>
      <c r="I369" t="n">
        <v>0</v>
      </c>
      <c r="J369" t="n">
        <v>650000</v>
      </c>
    </row>
    <row r="370">
      <c r="A370" s="5" t="n">
        <v>46207</v>
      </c>
      <c r="B370" t="n">
        <v>102205</v>
      </c>
      <c r="C370" t="n">
        <v>23</v>
      </c>
      <c r="D370" t="n">
        <v>6</v>
      </c>
      <c r="E370" t="n">
        <v>2</v>
      </c>
      <c r="F370" t="n">
        <v>3</v>
      </c>
      <c r="G370" t="n">
        <v>3150000</v>
      </c>
      <c r="H370" t="n">
        <v>1240000</v>
      </c>
      <c r="I370" t="n">
        <v>0</v>
      </c>
      <c r="J370" t="n">
        <v>1240000</v>
      </c>
    </row>
    <row r="371">
      <c r="A371" s="5" t="n">
        <v>46208</v>
      </c>
      <c r="B371" t="n">
        <v>96076</v>
      </c>
      <c r="C371" t="n">
        <v>18</v>
      </c>
      <c r="D371" t="n">
        <v>10</v>
      </c>
      <c r="E371" t="n">
        <v>4</v>
      </c>
      <c r="F371" t="n">
        <v>2</v>
      </c>
      <c r="G371" t="n">
        <v>1650000</v>
      </c>
      <c r="H371" t="n">
        <v>1650000</v>
      </c>
      <c r="I371" t="n">
        <v>0</v>
      </c>
      <c r="J371" t="n">
        <v>1650000</v>
      </c>
    </row>
    <row r="372">
      <c r="A372" s="5" t="n">
        <v>46209</v>
      </c>
      <c r="B372" t="n">
        <v>99339</v>
      </c>
      <c r="C372" t="n">
        <v>35</v>
      </c>
      <c r="D372" t="n">
        <v>4</v>
      </c>
      <c r="E372" t="n">
        <v>6</v>
      </c>
      <c r="F372" t="n">
        <v>0</v>
      </c>
      <c r="G372" t="n">
        <v>0</v>
      </c>
      <c r="H372" t="n">
        <v>170000</v>
      </c>
      <c r="I372" t="n">
        <v>150000</v>
      </c>
      <c r="J372" t="n">
        <v>20000</v>
      </c>
    </row>
    <row r="373">
      <c r="A373" s="5" t="n">
        <v>46210</v>
      </c>
      <c r="B373" t="n">
        <v>104843</v>
      </c>
      <c r="C373" t="n">
        <v>50</v>
      </c>
      <c r="D373" t="n">
        <v>14</v>
      </c>
      <c r="E373" t="n">
        <v>6</v>
      </c>
      <c r="F373" t="n">
        <v>1</v>
      </c>
      <c r="G373" t="n">
        <v>510000</v>
      </c>
      <c r="H373" t="n">
        <v>2250000</v>
      </c>
      <c r="I373" t="n">
        <v>0</v>
      </c>
      <c r="J373" t="n">
        <v>2250000</v>
      </c>
    </row>
    <row r="374">
      <c r="A374" s="5" t="n">
        <v>46211</v>
      </c>
      <c r="B374" t="n">
        <v>103770</v>
      </c>
      <c r="C374" t="n">
        <v>30</v>
      </c>
      <c r="D374" t="n">
        <v>11</v>
      </c>
      <c r="E374" t="n">
        <v>4</v>
      </c>
      <c r="F374" t="n">
        <v>2</v>
      </c>
      <c r="G374" t="n">
        <v>300000</v>
      </c>
      <c r="H374" t="n">
        <v>470000</v>
      </c>
      <c r="I374" t="n">
        <v>0</v>
      </c>
      <c r="J374" t="n">
        <v>470000</v>
      </c>
    </row>
    <row r="375">
      <c r="A375" s="5" t="n">
        <v>46212</v>
      </c>
      <c r="B375" t="n">
        <v>96615</v>
      </c>
      <c r="C375" t="n">
        <v>41</v>
      </c>
      <c r="D375" t="n">
        <v>7</v>
      </c>
      <c r="E375" t="n">
        <v>12</v>
      </c>
      <c r="F375" t="n">
        <v>1</v>
      </c>
      <c r="G375" t="n">
        <v>510000</v>
      </c>
      <c r="H375" t="n">
        <v>0</v>
      </c>
      <c r="I375" t="n">
        <v>0</v>
      </c>
      <c r="J375" t="n">
        <v>0</v>
      </c>
    </row>
    <row r="376">
      <c r="A376" s="5" t="n">
        <v>46213</v>
      </c>
      <c r="B376" t="n">
        <v>101915</v>
      </c>
      <c r="C376" t="n">
        <v>30</v>
      </c>
      <c r="D376" t="n">
        <v>10</v>
      </c>
      <c r="E376" t="n">
        <v>2</v>
      </c>
      <c r="F376" t="n">
        <v>3</v>
      </c>
      <c r="G376" t="n">
        <v>2520000</v>
      </c>
      <c r="H376" t="n">
        <v>510000</v>
      </c>
      <c r="I376" t="n">
        <v>0</v>
      </c>
      <c r="J376" t="n">
        <v>510000</v>
      </c>
    </row>
    <row r="377">
      <c r="A377" s="5" t="n">
        <v>46214</v>
      </c>
      <c r="B377" t="n">
        <v>101088</v>
      </c>
      <c r="C377" t="n">
        <v>20</v>
      </c>
      <c r="D377" t="n">
        <v>10</v>
      </c>
      <c r="E377" t="n">
        <v>3</v>
      </c>
      <c r="F377" t="n">
        <v>1</v>
      </c>
      <c r="G377" t="n">
        <v>1500000</v>
      </c>
      <c r="H377" t="n">
        <v>0</v>
      </c>
      <c r="I377" t="n">
        <v>0</v>
      </c>
      <c r="J377" t="n">
        <v>0</v>
      </c>
    </row>
    <row r="378">
      <c r="A378" s="5" t="n">
        <v>46215</v>
      </c>
      <c r="B378" t="n">
        <v>99887</v>
      </c>
      <c r="C378" t="n">
        <v>23</v>
      </c>
      <c r="D378" t="n">
        <v>9</v>
      </c>
      <c r="E378" t="n">
        <v>2</v>
      </c>
      <c r="F378" t="n">
        <v>0</v>
      </c>
      <c r="G378" t="n">
        <v>0</v>
      </c>
      <c r="H378" t="n">
        <v>3000000</v>
      </c>
      <c r="I378" t="n">
        <v>0</v>
      </c>
      <c r="J378" t="n">
        <v>3000000</v>
      </c>
    </row>
    <row r="379">
      <c r="A379" s="5" t="n">
        <v>46216</v>
      </c>
      <c r="B379" t="n">
        <v>98635</v>
      </c>
      <c r="C379" t="n">
        <v>38</v>
      </c>
      <c r="D379" t="n">
        <v>10</v>
      </c>
      <c r="E379" t="n">
        <v>4</v>
      </c>
      <c r="F379" t="n">
        <v>0</v>
      </c>
      <c r="G379" t="n">
        <v>0</v>
      </c>
      <c r="H379" t="n">
        <v>510000</v>
      </c>
      <c r="I379" t="n">
        <v>0</v>
      </c>
      <c r="J379" t="n">
        <v>510000</v>
      </c>
    </row>
    <row r="380">
      <c r="A380" s="5" t="n">
        <v>46217</v>
      </c>
      <c r="B380" t="n">
        <v>101822</v>
      </c>
      <c r="C380" t="n">
        <v>54</v>
      </c>
      <c r="D380" t="n">
        <v>11</v>
      </c>
      <c r="E380" t="n">
        <v>6</v>
      </c>
      <c r="F380" t="n">
        <v>4</v>
      </c>
      <c r="G380" t="n">
        <v>2310000</v>
      </c>
      <c r="H380" t="n">
        <v>300000</v>
      </c>
      <c r="I380" t="n">
        <v>1500000</v>
      </c>
      <c r="J380" t="n">
        <v>-1200000</v>
      </c>
    </row>
    <row r="381">
      <c r="A381" s="5" t="n">
        <v>46218</v>
      </c>
      <c r="B381" t="n">
        <v>105058</v>
      </c>
      <c r="C381" t="n">
        <v>26</v>
      </c>
      <c r="D381" t="n">
        <v>9</v>
      </c>
      <c r="E381" t="n">
        <v>4</v>
      </c>
      <c r="F381" t="n">
        <v>0</v>
      </c>
      <c r="G381" t="n">
        <v>0</v>
      </c>
      <c r="H381" t="n">
        <v>1670000</v>
      </c>
      <c r="I381" t="n">
        <v>0</v>
      </c>
      <c r="J381" t="n">
        <v>1670000</v>
      </c>
    </row>
    <row r="382">
      <c r="A382" s="5" t="n">
        <v>46219</v>
      </c>
      <c r="B382" t="n">
        <v>102353</v>
      </c>
      <c r="C382" t="n">
        <v>33</v>
      </c>
      <c r="D382" t="n">
        <v>9</v>
      </c>
      <c r="E382" t="n">
        <v>4</v>
      </c>
      <c r="F382" t="n">
        <v>0</v>
      </c>
      <c r="G382" t="n">
        <v>0</v>
      </c>
      <c r="H382" t="n">
        <v>0</v>
      </c>
      <c r="I382" t="n">
        <v>0</v>
      </c>
      <c r="J382" t="n">
        <v>0</v>
      </c>
    </row>
    <row r="383">
      <c r="A383" s="5" t="n">
        <v>46220</v>
      </c>
      <c r="B383" t="n">
        <v>104208</v>
      </c>
      <c r="C383" t="n">
        <v>39</v>
      </c>
      <c r="D383" t="n">
        <v>13</v>
      </c>
      <c r="E383" t="n">
        <v>5</v>
      </c>
      <c r="F383" t="n">
        <v>1</v>
      </c>
      <c r="G383" t="n">
        <v>150000</v>
      </c>
      <c r="H383" t="n">
        <v>150000</v>
      </c>
      <c r="I383" t="n">
        <v>0</v>
      </c>
      <c r="J383" t="n">
        <v>150000</v>
      </c>
    </row>
    <row r="384">
      <c r="A384" s="5" t="n">
        <v>46221</v>
      </c>
      <c r="B384" t="n">
        <v>98103</v>
      </c>
      <c r="C384" t="n">
        <v>31</v>
      </c>
      <c r="D384" t="n">
        <v>12</v>
      </c>
      <c r="E384" t="n">
        <v>4</v>
      </c>
      <c r="F384" t="n">
        <v>0</v>
      </c>
      <c r="G384" t="n">
        <v>0</v>
      </c>
      <c r="H384" t="n">
        <v>170000</v>
      </c>
      <c r="I384" t="n">
        <v>0</v>
      </c>
      <c r="J384" t="n">
        <v>170000</v>
      </c>
    </row>
    <row r="385">
      <c r="A385" s="5" t="n">
        <v>46222</v>
      </c>
      <c r="B385" t="n">
        <v>97940</v>
      </c>
      <c r="C385" t="n">
        <v>24</v>
      </c>
      <c r="D385" t="n">
        <v>9</v>
      </c>
      <c r="E385" t="n">
        <v>8</v>
      </c>
      <c r="F385" t="n">
        <v>2</v>
      </c>
      <c r="G385" t="n">
        <v>990000</v>
      </c>
      <c r="H385" t="n">
        <v>480000</v>
      </c>
      <c r="I385" t="n">
        <v>0</v>
      </c>
      <c r="J385" t="n">
        <v>480000</v>
      </c>
    </row>
    <row r="386">
      <c r="A386" s="5" t="n">
        <v>46223</v>
      </c>
      <c r="B386" t="n">
        <v>95670</v>
      </c>
      <c r="C386" t="n">
        <v>27</v>
      </c>
      <c r="D386" t="n">
        <v>9</v>
      </c>
      <c r="E386" t="n">
        <v>5</v>
      </c>
      <c r="F386" t="n">
        <v>0</v>
      </c>
      <c r="G386" t="n">
        <v>0</v>
      </c>
      <c r="H386" t="n">
        <v>340000</v>
      </c>
      <c r="I386" t="n">
        <v>0</v>
      </c>
      <c r="J386" t="n">
        <v>340000</v>
      </c>
    </row>
    <row r="387">
      <c r="A387" s="5" t="n">
        <v>46224</v>
      </c>
      <c r="B387" t="n">
        <v>99154</v>
      </c>
      <c r="C387" t="n">
        <v>43</v>
      </c>
      <c r="D387" t="n">
        <v>8</v>
      </c>
      <c r="E387" t="n">
        <v>9</v>
      </c>
      <c r="F387" t="n">
        <v>2</v>
      </c>
      <c r="G387" t="n">
        <v>630000</v>
      </c>
      <c r="H387" t="n">
        <v>950000</v>
      </c>
      <c r="I387" t="n">
        <v>0</v>
      </c>
      <c r="J387" t="n">
        <v>950000</v>
      </c>
    </row>
    <row r="388">
      <c r="A388" s="5" t="n">
        <v>46225</v>
      </c>
      <c r="B388" t="n">
        <v>105142</v>
      </c>
      <c r="C388" t="n">
        <v>39</v>
      </c>
      <c r="D388" t="n">
        <v>8</v>
      </c>
      <c r="E388" t="n">
        <v>4</v>
      </c>
      <c r="F388" t="n">
        <v>1</v>
      </c>
      <c r="G388" t="n">
        <v>1500000</v>
      </c>
      <c r="H388" t="n">
        <v>0</v>
      </c>
      <c r="I388" t="n">
        <v>0</v>
      </c>
      <c r="J388" t="n">
        <v>0</v>
      </c>
    </row>
    <row r="389">
      <c r="A389" s="5" t="n">
        <v>46226</v>
      </c>
      <c r="B389" t="n">
        <v>102458</v>
      </c>
      <c r="C389" t="n">
        <v>36</v>
      </c>
      <c r="D389" t="n">
        <v>15</v>
      </c>
      <c r="E389" t="n">
        <v>7</v>
      </c>
      <c r="F389" t="n">
        <v>3</v>
      </c>
      <c r="G389" t="n">
        <v>2130000</v>
      </c>
      <c r="H389" t="n">
        <v>2400000</v>
      </c>
      <c r="I389" t="n">
        <v>0</v>
      </c>
      <c r="J389" t="n">
        <v>2400000</v>
      </c>
    </row>
    <row r="390">
      <c r="A390" s="5" t="n">
        <v>46227</v>
      </c>
      <c r="B390" t="n">
        <v>97362</v>
      </c>
      <c r="C390" t="n">
        <v>36</v>
      </c>
      <c r="D390" t="n">
        <v>9</v>
      </c>
      <c r="E390" t="n">
        <v>3</v>
      </c>
      <c r="F390" t="n">
        <v>3</v>
      </c>
      <c r="G390" t="n">
        <v>2520000</v>
      </c>
      <c r="H390" t="n">
        <v>650000</v>
      </c>
      <c r="I390" t="n">
        <v>0</v>
      </c>
      <c r="J390" t="n">
        <v>650000</v>
      </c>
    </row>
    <row r="391">
      <c r="A391" s="5" t="n">
        <v>46228</v>
      </c>
      <c r="B391" t="n">
        <v>100845</v>
      </c>
      <c r="C391" t="n">
        <v>29</v>
      </c>
      <c r="D391" t="n">
        <v>12</v>
      </c>
      <c r="E391" t="n">
        <v>6</v>
      </c>
      <c r="F391" t="n">
        <v>2</v>
      </c>
      <c r="G391" t="n">
        <v>630000</v>
      </c>
      <c r="H391" t="n">
        <v>1240000</v>
      </c>
      <c r="I391" t="n">
        <v>0</v>
      </c>
      <c r="J391" t="n">
        <v>1240000</v>
      </c>
    </row>
    <row r="392">
      <c r="A392" s="5" t="n">
        <v>46229</v>
      </c>
      <c r="B392" t="n">
        <v>99677</v>
      </c>
      <c r="C392" t="n">
        <v>23</v>
      </c>
      <c r="D392" t="n">
        <v>10</v>
      </c>
      <c r="E392" t="n">
        <v>7</v>
      </c>
      <c r="F392" t="n">
        <v>4</v>
      </c>
      <c r="G392" t="n">
        <v>3630000</v>
      </c>
      <c r="H392" t="n">
        <v>2300000</v>
      </c>
      <c r="I392" t="n">
        <v>0</v>
      </c>
      <c r="J392" t="n">
        <v>2300000</v>
      </c>
    </row>
    <row r="393">
      <c r="A393" s="5" t="n">
        <v>46230</v>
      </c>
      <c r="B393" t="n">
        <v>104501</v>
      </c>
      <c r="C393" t="n">
        <v>25</v>
      </c>
      <c r="D393" t="n">
        <v>13</v>
      </c>
      <c r="E393" t="n">
        <v>3</v>
      </c>
      <c r="F393" t="n">
        <v>1</v>
      </c>
      <c r="G393" t="n">
        <v>480000</v>
      </c>
      <c r="H393" t="n">
        <v>2300000</v>
      </c>
      <c r="I393" t="n">
        <v>0</v>
      </c>
      <c r="J393" t="n">
        <v>2300000</v>
      </c>
    </row>
    <row r="394">
      <c r="A394" s="5" t="n">
        <v>46231</v>
      </c>
      <c r="B394" t="n">
        <v>103082</v>
      </c>
      <c r="C394" t="n">
        <v>29</v>
      </c>
      <c r="D394" t="n">
        <v>7</v>
      </c>
      <c r="E394" t="n">
        <v>7</v>
      </c>
      <c r="F394" t="n">
        <v>0</v>
      </c>
      <c r="G394" t="n">
        <v>0</v>
      </c>
      <c r="H394" t="n">
        <v>480000</v>
      </c>
      <c r="I394" t="n">
        <v>0</v>
      </c>
      <c r="J394" t="n">
        <v>480000</v>
      </c>
    </row>
    <row r="395">
      <c r="A395" s="5" t="n">
        <v>46232</v>
      </c>
      <c r="B395" t="n">
        <v>105208</v>
      </c>
      <c r="C395" t="n">
        <v>25</v>
      </c>
      <c r="D395" t="n">
        <v>10</v>
      </c>
      <c r="E395" t="n">
        <v>4</v>
      </c>
      <c r="F395" t="n">
        <v>2</v>
      </c>
      <c r="G395" t="n">
        <v>660000</v>
      </c>
      <c r="H395" t="n">
        <v>470000</v>
      </c>
      <c r="I395" t="n">
        <v>0</v>
      </c>
      <c r="J395" t="n">
        <v>470000</v>
      </c>
    </row>
    <row r="396">
      <c r="A396" s="5" t="n">
        <v>46233</v>
      </c>
      <c r="B396" t="n">
        <v>104835</v>
      </c>
      <c r="C396" t="n">
        <v>32</v>
      </c>
      <c r="D396" t="n">
        <v>9</v>
      </c>
      <c r="E396" t="n">
        <v>2</v>
      </c>
      <c r="F396" t="n">
        <v>0</v>
      </c>
      <c r="G396" t="n">
        <v>0</v>
      </c>
      <c r="H396" t="n">
        <v>170000</v>
      </c>
      <c r="I396" t="n">
        <v>0</v>
      </c>
      <c r="J396" t="n">
        <v>170000</v>
      </c>
    </row>
    <row r="397">
      <c r="A397" s="5" t="n">
        <v>46234</v>
      </c>
      <c r="B397" t="n">
        <v>101081</v>
      </c>
      <c r="C397" t="n">
        <v>38</v>
      </c>
      <c r="D397" t="n">
        <v>6</v>
      </c>
      <c r="E397" t="n">
        <v>8</v>
      </c>
      <c r="F397" t="n">
        <v>0</v>
      </c>
      <c r="G397" t="n">
        <v>0</v>
      </c>
      <c r="H397" t="n">
        <v>340000</v>
      </c>
      <c r="I397" t="n">
        <v>0</v>
      </c>
      <c r="J397" t="n">
        <v>340000</v>
      </c>
    </row>
    <row r="398">
      <c r="A398" s="5" t="n">
        <v>46235</v>
      </c>
      <c r="B398" t="n">
        <v>97493</v>
      </c>
      <c r="C398" t="n">
        <v>21</v>
      </c>
      <c r="D398" t="n">
        <v>10</v>
      </c>
      <c r="E398" t="n">
        <v>4</v>
      </c>
      <c r="F398" t="n">
        <v>3</v>
      </c>
      <c r="G398" t="n">
        <v>2460000</v>
      </c>
      <c r="H398" t="n">
        <v>750000</v>
      </c>
      <c r="I398" t="n">
        <v>0</v>
      </c>
      <c r="J398" t="n">
        <v>750000</v>
      </c>
    </row>
    <row r="399">
      <c r="A399" s="5" t="n">
        <v>46236</v>
      </c>
      <c r="B399" t="n">
        <v>99570</v>
      </c>
      <c r="C399" t="n">
        <v>17</v>
      </c>
      <c r="D399" t="n">
        <v>14</v>
      </c>
      <c r="E399" t="n">
        <v>4</v>
      </c>
      <c r="F399" t="n">
        <v>1</v>
      </c>
      <c r="G399" t="n">
        <v>510000</v>
      </c>
      <c r="H399" t="n">
        <v>1450000</v>
      </c>
      <c r="I399" t="n">
        <v>0</v>
      </c>
      <c r="J399" t="n">
        <v>1450000</v>
      </c>
    </row>
    <row r="400">
      <c r="A400" s="5" t="n">
        <v>46237</v>
      </c>
      <c r="B400" t="n">
        <v>97208</v>
      </c>
      <c r="C400" t="n">
        <v>40</v>
      </c>
      <c r="D400" t="n">
        <v>5</v>
      </c>
      <c r="E400" t="n">
        <v>5</v>
      </c>
      <c r="F400" t="n">
        <v>3</v>
      </c>
      <c r="G400" t="n">
        <v>2160000</v>
      </c>
      <c r="H400" t="n">
        <v>2570000</v>
      </c>
      <c r="I400" t="n">
        <v>0</v>
      </c>
      <c r="J400" t="n">
        <v>2570000</v>
      </c>
    </row>
    <row r="401">
      <c r="A401" s="5" t="n">
        <v>46238</v>
      </c>
      <c r="B401" t="n">
        <v>96044</v>
      </c>
      <c r="C401" t="n">
        <v>33</v>
      </c>
      <c r="D401" t="n">
        <v>9</v>
      </c>
      <c r="E401" t="n">
        <v>1</v>
      </c>
      <c r="F401" t="n">
        <v>1</v>
      </c>
      <c r="G401" t="n">
        <v>510000</v>
      </c>
      <c r="H401" t="n">
        <v>0</v>
      </c>
      <c r="I401" t="n">
        <v>0</v>
      </c>
      <c r="J401" t="n">
        <v>0</v>
      </c>
    </row>
    <row r="402">
      <c r="A402" s="5" t="n">
        <v>46239</v>
      </c>
      <c r="B402" t="n">
        <v>104942</v>
      </c>
      <c r="C402" t="n">
        <v>39</v>
      </c>
      <c r="D402" t="n">
        <v>13</v>
      </c>
      <c r="E402" t="n">
        <v>5</v>
      </c>
      <c r="F402" t="n">
        <v>0</v>
      </c>
      <c r="G402" t="n">
        <v>0</v>
      </c>
      <c r="H402" t="n">
        <v>0</v>
      </c>
      <c r="I402" t="n">
        <v>240000</v>
      </c>
      <c r="J402" t="n">
        <v>-240000</v>
      </c>
    </row>
    <row r="403">
      <c r="A403" s="5" t="n">
        <v>46240</v>
      </c>
      <c r="B403" t="n">
        <v>96868</v>
      </c>
      <c r="C403" t="n">
        <v>30</v>
      </c>
      <c r="D403" t="n">
        <v>10</v>
      </c>
      <c r="E403" t="n">
        <v>4</v>
      </c>
      <c r="F403" t="n">
        <v>3</v>
      </c>
      <c r="G403" t="n">
        <v>1800000</v>
      </c>
      <c r="H403" t="n">
        <v>470000</v>
      </c>
      <c r="I403" t="n">
        <v>0</v>
      </c>
      <c r="J403" t="n">
        <v>470000</v>
      </c>
    </row>
    <row r="404">
      <c r="A404" s="5" t="n">
        <v>46241</v>
      </c>
      <c r="B404" t="n">
        <v>99633</v>
      </c>
      <c r="C404" t="n">
        <v>29</v>
      </c>
      <c r="D404" t="n">
        <v>7</v>
      </c>
      <c r="E404" t="n">
        <v>5</v>
      </c>
      <c r="F404" t="n">
        <v>0</v>
      </c>
      <c r="G404" t="n">
        <v>0</v>
      </c>
      <c r="H404" t="n">
        <v>1840000</v>
      </c>
      <c r="I404" t="n">
        <v>0</v>
      </c>
      <c r="J404" t="n">
        <v>1840000</v>
      </c>
    </row>
    <row r="405">
      <c r="A405" s="5" t="n">
        <v>46242</v>
      </c>
      <c r="B405" t="n">
        <v>104137</v>
      </c>
      <c r="C405" t="n">
        <v>17</v>
      </c>
      <c r="D405" t="n">
        <v>6</v>
      </c>
      <c r="E405" t="n">
        <v>10</v>
      </c>
      <c r="F405" t="n">
        <v>2</v>
      </c>
      <c r="G405" t="n">
        <v>630000</v>
      </c>
      <c r="H405" t="n">
        <v>150000</v>
      </c>
      <c r="I405" t="n">
        <v>0</v>
      </c>
      <c r="J405" t="n">
        <v>150000</v>
      </c>
    </row>
    <row r="406">
      <c r="A406" s="5" t="n">
        <v>46243</v>
      </c>
      <c r="B406" t="n">
        <v>96361</v>
      </c>
      <c r="C406" t="n">
        <v>25</v>
      </c>
      <c r="D406" t="n">
        <v>11</v>
      </c>
      <c r="E406" t="n">
        <v>3</v>
      </c>
      <c r="F406" t="n">
        <v>1</v>
      </c>
      <c r="G406" t="n">
        <v>510000</v>
      </c>
      <c r="H406" t="n">
        <v>820000</v>
      </c>
      <c r="I406" t="n">
        <v>750000</v>
      </c>
      <c r="J406" t="n">
        <v>70000</v>
      </c>
    </row>
    <row r="407">
      <c r="A407" s="5" t="n">
        <v>46244</v>
      </c>
      <c r="B407" t="n">
        <v>151704</v>
      </c>
      <c r="C407" t="n">
        <v>60</v>
      </c>
      <c r="D407" t="n">
        <v>7</v>
      </c>
      <c r="E407" t="n">
        <v>3</v>
      </c>
      <c r="F407" t="n">
        <v>1</v>
      </c>
      <c r="G407" t="n">
        <v>1500000</v>
      </c>
      <c r="H407" t="n">
        <v>170000</v>
      </c>
      <c r="I407" t="n">
        <v>0</v>
      </c>
      <c r="J407" t="n">
        <v>170000</v>
      </c>
    </row>
    <row r="408">
      <c r="A408" s="5" t="n">
        <v>46245</v>
      </c>
      <c r="B408" t="n">
        <v>143999</v>
      </c>
      <c r="C408" t="n">
        <v>61</v>
      </c>
      <c r="D408" t="n">
        <v>9</v>
      </c>
      <c r="E408" t="n">
        <v>6</v>
      </c>
      <c r="F408" t="n">
        <v>2</v>
      </c>
      <c r="G408" t="n">
        <v>3000000</v>
      </c>
      <c r="H408" t="n">
        <v>3000000</v>
      </c>
      <c r="I408" t="n">
        <v>0</v>
      </c>
      <c r="J408" t="n">
        <v>3000000</v>
      </c>
    </row>
    <row r="409">
      <c r="A409" s="5" t="n">
        <v>46246</v>
      </c>
      <c r="B409" t="n">
        <v>146624</v>
      </c>
      <c r="C409" t="n">
        <v>72</v>
      </c>
      <c r="D409" t="n">
        <v>17</v>
      </c>
      <c r="E409" t="n">
        <v>7</v>
      </c>
      <c r="F409" t="n">
        <v>4</v>
      </c>
      <c r="G409" t="n">
        <v>2010000</v>
      </c>
      <c r="H409" t="n">
        <v>2150000</v>
      </c>
      <c r="I409" t="n">
        <v>0</v>
      </c>
      <c r="J409" t="n">
        <v>2150000</v>
      </c>
    </row>
    <row r="410">
      <c r="A410" s="5" t="n">
        <v>46247</v>
      </c>
      <c r="B410" t="n">
        <v>147022</v>
      </c>
      <c r="C410" t="n">
        <v>74</v>
      </c>
      <c r="D410" t="n">
        <v>10</v>
      </c>
      <c r="E410" t="n">
        <v>3</v>
      </c>
      <c r="F410" t="n">
        <v>2</v>
      </c>
      <c r="G410" t="n">
        <v>630000</v>
      </c>
      <c r="H410" t="n">
        <v>1140000</v>
      </c>
      <c r="I410" t="n">
        <v>0</v>
      </c>
      <c r="J410" t="n">
        <v>1140000</v>
      </c>
    </row>
    <row r="411">
      <c r="A411" s="5" t="n">
        <v>46248</v>
      </c>
      <c r="B411" t="n">
        <v>145912</v>
      </c>
      <c r="C411" t="n">
        <v>48</v>
      </c>
      <c r="D411" t="n">
        <v>10</v>
      </c>
      <c r="E411" t="n">
        <v>7</v>
      </c>
      <c r="F411" t="n">
        <v>3</v>
      </c>
      <c r="G411" t="n">
        <v>1140000</v>
      </c>
      <c r="H411" t="n">
        <v>320000</v>
      </c>
      <c r="I411" t="n">
        <v>0</v>
      </c>
      <c r="J411" t="n">
        <v>320000</v>
      </c>
    </row>
    <row r="412">
      <c r="A412" s="5" t="n">
        <v>46249</v>
      </c>
      <c r="B412" t="n">
        <v>142003</v>
      </c>
      <c r="C412" t="n">
        <v>43</v>
      </c>
      <c r="D412" t="n">
        <v>17</v>
      </c>
      <c r="E412" t="n">
        <v>11</v>
      </c>
      <c r="F412" t="n">
        <v>1</v>
      </c>
      <c r="G412" t="n">
        <v>150000</v>
      </c>
      <c r="H412" t="n">
        <v>630000</v>
      </c>
      <c r="I412" t="n">
        <v>240000</v>
      </c>
      <c r="J412" t="n">
        <v>390000</v>
      </c>
    </row>
    <row r="413">
      <c r="A413" s="5" t="n">
        <v>46250</v>
      </c>
      <c r="B413" t="n">
        <v>152007</v>
      </c>
      <c r="C413" t="n">
        <v>47</v>
      </c>
      <c r="D413" t="n">
        <v>2</v>
      </c>
      <c r="E413" t="n">
        <v>4</v>
      </c>
      <c r="F413" t="n">
        <v>0</v>
      </c>
      <c r="G413" t="n">
        <v>0</v>
      </c>
      <c r="H413" t="n">
        <v>170000</v>
      </c>
      <c r="I413" t="n">
        <v>0</v>
      </c>
      <c r="J413" t="n">
        <v>170000</v>
      </c>
    </row>
    <row r="414">
      <c r="A414" s="5" t="n">
        <v>46251</v>
      </c>
      <c r="B414" t="n">
        <v>149606</v>
      </c>
      <c r="C414" t="n">
        <v>62</v>
      </c>
      <c r="D414" t="n">
        <v>8</v>
      </c>
      <c r="E414" t="n">
        <v>2</v>
      </c>
      <c r="F414" t="n">
        <v>2</v>
      </c>
      <c r="G414" t="n">
        <v>990000</v>
      </c>
      <c r="H414" t="n">
        <v>170000</v>
      </c>
      <c r="I414" t="n">
        <v>150000</v>
      </c>
      <c r="J414" t="n">
        <v>20000</v>
      </c>
    </row>
    <row r="415">
      <c r="A415" s="5" t="n">
        <v>46252</v>
      </c>
      <c r="B415" t="n">
        <v>151868</v>
      </c>
      <c r="C415" t="n">
        <v>73</v>
      </c>
      <c r="D415" t="n">
        <v>14</v>
      </c>
      <c r="E415" t="n">
        <v>2</v>
      </c>
      <c r="F415" t="n">
        <v>0</v>
      </c>
      <c r="G415" t="n">
        <v>0</v>
      </c>
      <c r="H415" t="n">
        <v>150000</v>
      </c>
      <c r="I415" t="n">
        <v>0</v>
      </c>
      <c r="J415" t="n">
        <v>150000</v>
      </c>
    </row>
    <row r="416">
      <c r="A416" s="5" t="n">
        <v>46253</v>
      </c>
      <c r="B416" t="n">
        <v>141157</v>
      </c>
      <c r="C416" t="n">
        <v>69</v>
      </c>
      <c r="D416" t="n">
        <v>13</v>
      </c>
      <c r="E416" t="n">
        <v>7</v>
      </c>
      <c r="F416" t="n">
        <v>3</v>
      </c>
      <c r="G416" t="n">
        <v>1140000</v>
      </c>
      <c r="H416" t="n">
        <v>950000</v>
      </c>
      <c r="I416" t="n">
        <v>0</v>
      </c>
      <c r="J416" t="n">
        <v>950000</v>
      </c>
    </row>
    <row r="417">
      <c r="A417" s="5" t="n">
        <v>46254</v>
      </c>
      <c r="B417" t="n">
        <v>152050</v>
      </c>
      <c r="C417" t="n">
        <v>48</v>
      </c>
      <c r="D417" t="n">
        <v>20</v>
      </c>
      <c r="E417" t="n">
        <v>1</v>
      </c>
      <c r="F417" t="n">
        <v>0</v>
      </c>
      <c r="G417" t="n">
        <v>0</v>
      </c>
      <c r="H417" t="n">
        <v>650000</v>
      </c>
      <c r="I417" t="n">
        <v>0</v>
      </c>
      <c r="J417" t="n">
        <v>650000</v>
      </c>
    </row>
    <row r="418">
      <c r="A418" s="5" t="n">
        <v>46255</v>
      </c>
      <c r="B418" t="n">
        <v>141257</v>
      </c>
      <c r="C418" t="n">
        <v>50</v>
      </c>
      <c r="D418" t="n">
        <v>13</v>
      </c>
      <c r="E418" t="n">
        <v>6</v>
      </c>
      <c r="F418" t="n">
        <v>3</v>
      </c>
      <c r="G418" t="n">
        <v>3480000</v>
      </c>
      <c r="H418" t="n">
        <v>750000</v>
      </c>
      <c r="I418" t="n">
        <v>0</v>
      </c>
      <c r="J418" t="n">
        <v>750000</v>
      </c>
    </row>
    <row r="419">
      <c r="A419" s="5" t="n">
        <v>46256</v>
      </c>
      <c r="B419" t="n">
        <v>143428</v>
      </c>
      <c r="C419" t="n">
        <v>33</v>
      </c>
      <c r="D419" t="n">
        <v>9</v>
      </c>
      <c r="E419" t="n">
        <v>11</v>
      </c>
      <c r="F419" t="n">
        <v>1</v>
      </c>
      <c r="G419" t="n">
        <v>1500000</v>
      </c>
      <c r="H419" t="n">
        <v>2730000</v>
      </c>
      <c r="I419" t="n">
        <v>0</v>
      </c>
      <c r="J419" t="n">
        <v>2730000</v>
      </c>
    </row>
    <row r="420">
      <c r="A420" s="5" t="n">
        <v>46257</v>
      </c>
      <c r="B420" t="n">
        <v>152844</v>
      </c>
      <c r="C420" t="n">
        <v>41</v>
      </c>
      <c r="D420" t="n">
        <v>10</v>
      </c>
      <c r="E420" t="n">
        <v>5</v>
      </c>
      <c r="F420" t="n">
        <v>2</v>
      </c>
      <c r="G420" t="n">
        <v>990000</v>
      </c>
      <c r="H420" t="n">
        <v>170000</v>
      </c>
      <c r="I420" t="n">
        <v>480000</v>
      </c>
      <c r="J420" t="n">
        <v>-310000</v>
      </c>
    </row>
    <row r="421">
      <c r="A421" s="5" t="n">
        <v>46258</v>
      </c>
      <c r="B421" t="n">
        <v>148489</v>
      </c>
      <c r="C421" t="n">
        <v>60</v>
      </c>
      <c r="D421" t="n">
        <v>5</v>
      </c>
      <c r="E421" t="n">
        <v>6</v>
      </c>
      <c r="F421" t="n">
        <v>1</v>
      </c>
      <c r="G421" t="n">
        <v>510000</v>
      </c>
      <c r="H421" t="n">
        <v>2590000</v>
      </c>
      <c r="I421" t="n">
        <v>0</v>
      </c>
      <c r="J421" t="n">
        <v>2590000</v>
      </c>
    </row>
    <row r="422">
      <c r="A422" s="5" t="n">
        <v>46259</v>
      </c>
      <c r="B422" t="n">
        <v>146646</v>
      </c>
      <c r="C422" t="n">
        <v>49</v>
      </c>
      <c r="D422" t="n">
        <v>14</v>
      </c>
      <c r="E422" t="n">
        <v>4</v>
      </c>
      <c r="F422" t="n">
        <v>1</v>
      </c>
      <c r="G422" t="n">
        <v>150000</v>
      </c>
      <c r="H422" t="n">
        <v>800000</v>
      </c>
      <c r="I422" t="n">
        <v>0</v>
      </c>
      <c r="J422" t="n">
        <v>800000</v>
      </c>
    </row>
    <row r="423">
      <c r="A423" s="5" t="n">
        <v>46260</v>
      </c>
      <c r="B423" t="n">
        <v>153570</v>
      </c>
      <c r="C423" t="n">
        <v>64</v>
      </c>
      <c r="D423" t="n">
        <v>12</v>
      </c>
      <c r="E423" t="n">
        <v>6</v>
      </c>
      <c r="F423" t="n">
        <v>1</v>
      </c>
      <c r="G423" t="n">
        <v>1500000</v>
      </c>
      <c r="H423" t="n">
        <v>1070000</v>
      </c>
      <c r="I423" t="n">
        <v>0</v>
      </c>
      <c r="J423" t="n">
        <v>1070000</v>
      </c>
    </row>
    <row r="424">
      <c r="A424" s="5" t="n">
        <v>46261</v>
      </c>
      <c r="B424" t="n">
        <v>151899</v>
      </c>
      <c r="C424" t="n">
        <v>53</v>
      </c>
      <c r="D424" t="n">
        <v>9</v>
      </c>
      <c r="E424" t="n">
        <v>3</v>
      </c>
      <c r="F424" t="n">
        <v>0</v>
      </c>
      <c r="G424" t="n">
        <v>0</v>
      </c>
      <c r="H424" t="n">
        <v>1650000</v>
      </c>
      <c r="I424" t="n">
        <v>0</v>
      </c>
      <c r="J424" t="n">
        <v>1650000</v>
      </c>
    </row>
    <row r="425">
      <c r="A425" s="5" t="n">
        <v>46262</v>
      </c>
      <c r="B425" t="n">
        <v>151970</v>
      </c>
      <c r="C425" t="n">
        <v>59</v>
      </c>
      <c r="D425" t="n">
        <v>12</v>
      </c>
      <c r="E425" t="n">
        <v>11</v>
      </c>
      <c r="F425" t="n">
        <v>1</v>
      </c>
      <c r="G425" t="n">
        <v>480000</v>
      </c>
      <c r="H425" t="n">
        <v>0</v>
      </c>
      <c r="I425" t="n">
        <v>0</v>
      </c>
      <c r="J425" t="n">
        <v>0</v>
      </c>
    </row>
    <row r="426">
      <c r="A426" s="5" t="n">
        <v>46263</v>
      </c>
      <c r="B426" t="n">
        <v>143777</v>
      </c>
      <c r="C426" t="n">
        <v>43</v>
      </c>
      <c r="D426" t="n">
        <v>12</v>
      </c>
      <c r="E426" t="n">
        <v>5</v>
      </c>
      <c r="F426" t="n">
        <v>3</v>
      </c>
      <c r="G426" t="n">
        <v>2130000</v>
      </c>
      <c r="H426" t="n">
        <v>800000</v>
      </c>
      <c r="I426" t="n">
        <v>0</v>
      </c>
      <c r="J426" t="n">
        <v>800000</v>
      </c>
    </row>
    <row r="427">
      <c r="A427" s="5" t="n">
        <v>46264</v>
      </c>
      <c r="B427" t="n">
        <v>143557</v>
      </c>
      <c r="C427" t="n">
        <v>41</v>
      </c>
      <c r="D427" t="n">
        <v>12</v>
      </c>
      <c r="E427" t="n">
        <v>5</v>
      </c>
      <c r="F427" t="n">
        <v>2</v>
      </c>
      <c r="G427" t="n">
        <v>630000</v>
      </c>
      <c r="H427" t="n">
        <v>2470000</v>
      </c>
      <c r="I427" t="n">
        <v>0</v>
      </c>
      <c r="J427" t="n">
        <v>2470000</v>
      </c>
    </row>
    <row r="428">
      <c r="A428" s="5" t="n">
        <v>46265</v>
      </c>
      <c r="B428" t="n">
        <v>145477</v>
      </c>
      <c r="C428" t="n">
        <v>59</v>
      </c>
      <c r="D428" t="n">
        <v>14</v>
      </c>
      <c r="E428" t="n">
        <v>2</v>
      </c>
      <c r="F428" t="n">
        <v>1</v>
      </c>
      <c r="G428" t="n">
        <v>510000</v>
      </c>
      <c r="H428" t="n">
        <v>750000</v>
      </c>
      <c r="I428" t="n">
        <v>0</v>
      </c>
      <c r="J428" t="n">
        <v>750000</v>
      </c>
    </row>
    <row r="429">
      <c r="A429" s="5" t="n">
        <v>46266</v>
      </c>
      <c r="B429" t="n">
        <v>149910</v>
      </c>
      <c r="C429" t="n">
        <v>70</v>
      </c>
      <c r="D429" t="n">
        <v>9</v>
      </c>
      <c r="E429" t="n">
        <v>5</v>
      </c>
      <c r="F429" t="n">
        <v>0</v>
      </c>
      <c r="G429" t="n">
        <v>0</v>
      </c>
      <c r="H429" t="n">
        <v>510000</v>
      </c>
      <c r="I429" t="n">
        <v>0</v>
      </c>
      <c r="J429" t="n">
        <v>510000</v>
      </c>
    </row>
    <row r="430">
      <c r="A430" s="5" t="n">
        <v>46267</v>
      </c>
      <c r="B430" t="n">
        <v>147177</v>
      </c>
      <c r="C430" t="n">
        <v>59</v>
      </c>
      <c r="D430" t="n">
        <v>10</v>
      </c>
      <c r="E430" t="n">
        <v>6</v>
      </c>
      <c r="F430" t="n">
        <v>2</v>
      </c>
      <c r="G430" t="n">
        <v>990000</v>
      </c>
      <c r="H430" t="n">
        <v>800000</v>
      </c>
      <c r="I430" t="n">
        <v>0</v>
      </c>
      <c r="J430" t="n">
        <v>800000</v>
      </c>
    </row>
    <row r="431">
      <c r="A431" s="5" t="n">
        <v>46268</v>
      </c>
      <c r="B431" t="n">
        <v>155886</v>
      </c>
      <c r="C431" t="n">
        <v>45</v>
      </c>
      <c r="D431" t="n">
        <v>16</v>
      </c>
      <c r="E431" t="n">
        <v>7</v>
      </c>
      <c r="F431" t="n">
        <v>1</v>
      </c>
      <c r="G431" t="n">
        <v>480000</v>
      </c>
      <c r="H431" t="n">
        <v>170000</v>
      </c>
      <c r="I431" t="n">
        <v>0</v>
      </c>
      <c r="J431" t="n">
        <v>170000</v>
      </c>
    </row>
    <row r="432">
      <c r="A432" s="5" t="n">
        <v>46269</v>
      </c>
      <c r="B432" t="n">
        <v>148064</v>
      </c>
      <c r="C432" t="n">
        <v>55</v>
      </c>
      <c r="D432" t="n">
        <v>7</v>
      </c>
      <c r="E432" t="n">
        <v>3</v>
      </c>
      <c r="F432" t="n">
        <v>1</v>
      </c>
      <c r="G432" t="n">
        <v>510000</v>
      </c>
      <c r="H432" t="n">
        <v>480000</v>
      </c>
      <c r="I432" t="n">
        <v>0</v>
      </c>
      <c r="J432" t="n">
        <v>480000</v>
      </c>
    </row>
    <row r="433">
      <c r="A433" s="5" t="n">
        <v>46270</v>
      </c>
      <c r="B433" t="n">
        <v>147108</v>
      </c>
      <c r="C433" t="n">
        <v>50</v>
      </c>
      <c r="D433" t="n">
        <v>9</v>
      </c>
      <c r="E433" t="n">
        <v>8</v>
      </c>
      <c r="F433" t="n">
        <v>2</v>
      </c>
      <c r="G433" t="n">
        <v>2010000</v>
      </c>
      <c r="H433" t="n">
        <v>490000</v>
      </c>
      <c r="I433" t="n">
        <v>0</v>
      </c>
      <c r="J433" t="n">
        <v>490000</v>
      </c>
    </row>
    <row r="434">
      <c r="A434" s="5" t="n">
        <v>46271</v>
      </c>
      <c r="B434" t="n">
        <v>143357</v>
      </c>
      <c r="C434" t="n">
        <v>32</v>
      </c>
      <c r="D434" t="n">
        <v>8</v>
      </c>
      <c r="E434" t="n">
        <v>2</v>
      </c>
      <c r="F434" t="n">
        <v>4</v>
      </c>
      <c r="G434" t="n">
        <v>2310000</v>
      </c>
      <c r="H434" t="n">
        <v>2310000</v>
      </c>
      <c r="I434" t="n">
        <v>0</v>
      </c>
      <c r="J434" t="n">
        <v>2310000</v>
      </c>
    </row>
    <row r="435">
      <c r="A435" s="5" t="n">
        <v>46272</v>
      </c>
      <c r="B435" t="n">
        <v>146697</v>
      </c>
      <c r="C435" t="n">
        <v>48</v>
      </c>
      <c r="D435" t="n">
        <v>16</v>
      </c>
      <c r="E435" t="n">
        <v>6</v>
      </c>
      <c r="F435" t="n">
        <v>2</v>
      </c>
      <c r="G435" t="n">
        <v>630000</v>
      </c>
      <c r="H435" t="n">
        <v>2130000</v>
      </c>
      <c r="I435" t="n">
        <v>0</v>
      </c>
      <c r="J435" t="n">
        <v>2130000</v>
      </c>
    </row>
    <row r="436">
      <c r="A436" s="5" t="n">
        <v>46273</v>
      </c>
      <c r="B436" t="n">
        <v>147510</v>
      </c>
      <c r="C436" t="n">
        <v>64</v>
      </c>
      <c r="D436" t="n">
        <v>11</v>
      </c>
      <c r="E436" t="n">
        <v>4</v>
      </c>
      <c r="F436" t="n">
        <v>1</v>
      </c>
      <c r="G436" t="n">
        <v>150000</v>
      </c>
      <c r="H436" t="n">
        <v>320000</v>
      </c>
      <c r="I436" t="n">
        <v>0</v>
      </c>
      <c r="J436" t="n">
        <v>320000</v>
      </c>
    </row>
    <row r="437">
      <c r="A437" s="5" t="n">
        <v>46274</v>
      </c>
      <c r="B437" t="n">
        <v>140348</v>
      </c>
      <c r="C437" t="n">
        <v>46</v>
      </c>
      <c r="D437" t="n">
        <v>8</v>
      </c>
      <c r="E437" t="n">
        <v>4</v>
      </c>
      <c r="F437" t="n">
        <v>2</v>
      </c>
      <c r="G437" t="n">
        <v>960000</v>
      </c>
      <c r="H437" t="n">
        <v>650000</v>
      </c>
      <c r="I437" t="n">
        <v>0</v>
      </c>
      <c r="J437" t="n">
        <v>650000</v>
      </c>
    </row>
    <row r="438">
      <c r="A438" s="5" t="n">
        <v>46275</v>
      </c>
      <c r="B438" t="n">
        <v>146240</v>
      </c>
      <c r="C438" t="n">
        <v>64</v>
      </c>
      <c r="D438" t="n">
        <v>13</v>
      </c>
      <c r="E438" t="n">
        <v>5</v>
      </c>
      <c r="F438" t="n">
        <v>0</v>
      </c>
      <c r="G438" t="n">
        <v>0</v>
      </c>
      <c r="H438" t="n">
        <v>150000</v>
      </c>
      <c r="I438" t="n">
        <v>0</v>
      </c>
      <c r="J438" t="n">
        <v>150000</v>
      </c>
    </row>
    <row r="439">
      <c r="A439" s="5" t="n">
        <v>46276</v>
      </c>
      <c r="B439" t="n">
        <v>145452</v>
      </c>
      <c r="C439" t="n">
        <v>43</v>
      </c>
      <c r="D439" t="n">
        <v>10</v>
      </c>
      <c r="E439" t="n">
        <v>7</v>
      </c>
      <c r="F439" t="n">
        <v>2</v>
      </c>
      <c r="G439" t="n">
        <v>990000</v>
      </c>
      <c r="H439" t="n">
        <v>480000</v>
      </c>
      <c r="I439" t="n">
        <v>0</v>
      </c>
      <c r="J439" t="n">
        <v>480000</v>
      </c>
    </row>
    <row r="440">
      <c r="A440" s="5" t="n">
        <v>46277</v>
      </c>
      <c r="B440" t="n">
        <v>147043</v>
      </c>
      <c r="C440" t="n">
        <v>28</v>
      </c>
      <c r="D440" t="n">
        <v>10</v>
      </c>
      <c r="E440" t="n">
        <v>7</v>
      </c>
      <c r="F440" t="n">
        <v>2</v>
      </c>
      <c r="G440" t="n">
        <v>660000</v>
      </c>
      <c r="H440" t="n">
        <v>1310000</v>
      </c>
      <c r="I440" t="n">
        <v>0</v>
      </c>
      <c r="J440" t="n">
        <v>1310000</v>
      </c>
    </row>
    <row r="441">
      <c r="A441" s="5" t="n">
        <v>46278</v>
      </c>
      <c r="B441" t="n">
        <v>152504</v>
      </c>
      <c r="C441" t="n">
        <v>33</v>
      </c>
      <c r="D441" t="n">
        <v>8</v>
      </c>
      <c r="E441" t="n">
        <v>3</v>
      </c>
      <c r="F441" t="n">
        <v>0</v>
      </c>
      <c r="G441" t="n">
        <v>0</v>
      </c>
      <c r="H441" t="n">
        <v>490000</v>
      </c>
      <c r="I441" t="n">
        <v>0</v>
      </c>
      <c r="J441" t="n">
        <v>490000</v>
      </c>
    </row>
    <row r="442">
      <c r="A442" s="5" t="n">
        <v>46279</v>
      </c>
      <c r="B442" t="n">
        <v>144902</v>
      </c>
      <c r="C442" t="n">
        <v>47</v>
      </c>
      <c r="D442" t="n">
        <v>4</v>
      </c>
      <c r="E442" t="n">
        <v>6</v>
      </c>
      <c r="F442" t="n">
        <v>1</v>
      </c>
      <c r="G442" t="n">
        <v>480000</v>
      </c>
      <c r="H442" t="n">
        <v>0</v>
      </c>
      <c r="I442" t="n">
        <v>0</v>
      </c>
      <c r="J442" t="n">
        <v>0</v>
      </c>
    </row>
    <row r="443">
      <c r="A443" s="5" t="n">
        <v>46280</v>
      </c>
      <c r="B443" t="n">
        <v>151614</v>
      </c>
      <c r="C443" t="n">
        <v>64</v>
      </c>
      <c r="D443" t="n">
        <v>7</v>
      </c>
      <c r="E443" t="n">
        <v>10</v>
      </c>
      <c r="F443" t="n">
        <v>2</v>
      </c>
      <c r="G443" t="n">
        <v>630000</v>
      </c>
      <c r="H443" t="n">
        <v>1120000</v>
      </c>
      <c r="I443" t="n">
        <v>0</v>
      </c>
      <c r="J443" t="n">
        <v>1120000</v>
      </c>
    </row>
    <row r="444">
      <c r="A444" s="5" t="n">
        <v>46281</v>
      </c>
      <c r="B444" t="n">
        <v>139355</v>
      </c>
      <c r="C444" t="n">
        <v>44</v>
      </c>
      <c r="D444" t="n">
        <v>6</v>
      </c>
      <c r="E444" t="n">
        <v>4</v>
      </c>
      <c r="F444" t="n">
        <v>1</v>
      </c>
      <c r="G444" t="n">
        <v>1500000</v>
      </c>
      <c r="H444" t="n">
        <v>2130000</v>
      </c>
      <c r="I444" t="n">
        <v>170000</v>
      </c>
      <c r="J444" t="n">
        <v>1960000</v>
      </c>
    </row>
    <row r="445">
      <c r="A445" s="5" t="n">
        <v>46282</v>
      </c>
      <c r="B445" t="n">
        <v>145124</v>
      </c>
      <c r="C445" t="n">
        <v>47</v>
      </c>
      <c r="D445" t="n">
        <v>14</v>
      </c>
      <c r="E445" t="n">
        <v>3</v>
      </c>
      <c r="F445" t="n">
        <v>2</v>
      </c>
      <c r="G445" t="n">
        <v>630000</v>
      </c>
      <c r="H445" t="n">
        <v>150000</v>
      </c>
      <c r="I445" t="n">
        <v>0</v>
      </c>
      <c r="J445" t="n">
        <v>150000</v>
      </c>
    </row>
    <row r="446">
      <c r="A446" s="5" t="n">
        <v>46283</v>
      </c>
      <c r="B446" t="n">
        <v>151272</v>
      </c>
      <c r="C446" t="n">
        <v>45</v>
      </c>
      <c r="D446" t="n">
        <v>9</v>
      </c>
      <c r="E446" t="n">
        <v>2</v>
      </c>
      <c r="F446" t="n">
        <v>20</v>
      </c>
      <c r="G446" t="n">
        <v>11790000</v>
      </c>
      <c r="H446" t="n">
        <v>10740000</v>
      </c>
      <c r="I446" t="n">
        <v>0</v>
      </c>
      <c r="J446" t="n">
        <v>10740000</v>
      </c>
    </row>
    <row r="447">
      <c r="A447" s="5" t="n">
        <v>46284</v>
      </c>
      <c r="B447" t="n">
        <v>151353</v>
      </c>
      <c r="C447" t="n">
        <v>33</v>
      </c>
      <c r="D447" t="n">
        <v>13</v>
      </c>
      <c r="E447" t="n">
        <v>6</v>
      </c>
      <c r="F447" t="n">
        <v>1</v>
      </c>
      <c r="G447" t="n">
        <v>150000</v>
      </c>
      <c r="H447" t="n">
        <v>470000</v>
      </c>
      <c r="I447" t="n">
        <v>0</v>
      </c>
      <c r="J447" t="n">
        <v>470000</v>
      </c>
    </row>
    <row r="448">
      <c r="A448" s="5" t="n">
        <v>46285</v>
      </c>
      <c r="B448" t="n">
        <v>148850</v>
      </c>
      <c r="C448" t="n">
        <v>36</v>
      </c>
      <c r="D448" t="n">
        <v>15</v>
      </c>
      <c r="E448" t="n">
        <v>3</v>
      </c>
      <c r="F448" t="n">
        <v>1</v>
      </c>
      <c r="G448" t="n">
        <v>510000</v>
      </c>
      <c r="H448" t="n">
        <v>750000</v>
      </c>
      <c r="I448" t="n">
        <v>0</v>
      </c>
      <c r="J448" t="n">
        <v>750000</v>
      </c>
    </row>
    <row r="449">
      <c r="A449" s="5" t="n">
        <v>46286</v>
      </c>
      <c r="B449" t="n">
        <v>149294</v>
      </c>
      <c r="C449" t="n">
        <v>42</v>
      </c>
      <c r="D449" t="n">
        <v>8</v>
      </c>
      <c r="E449" t="n">
        <v>5</v>
      </c>
      <c r="F449" t="n">
        <v>0</v>
      </c>
      <c r="G449" t="n">
        <v>0</v>
      </c>
      <c r="H449" t="n">
        <v>470000</v>
      </c>
      <c r="I449" t="n">
        <v>0</v>
      </c>
      <c r="J449" t="n">
        <v>470000</v>
      </c>
    </row>
    <row r="450">
      <c r="A450" s="5" t="n">
        <v>46287</v>
      </c>
      <c r="B450" t="n">
        <v>148015</v>
      </c>
      <c r="C450" t="n">
        <v>68</v>
      </c>
      <c r="D450" t="n">
        <v>9</v>
      </c>
      <c r="E450" t="n">
        <v>6</v>
      </c>
      <c r="F450" t="n">
        <v>2</v>
      </c>
      <c r="G450" t="n">
        <v>300000</v>
      </c>
      <c r="H450" t="n">
        <v>470000</v>
      </c>
      <c r="I450" t="n">
        <v>240000</v>
      </c>
      <c r="J450" t="n">
        <v>230000</v>
      </c>
    </row>
    <row r="451">
      <c r="A451" s="5" t="n">
        <v>46288</v>
      </c>
      <c r="B451" t="n">
        <v>149237</v>
      </c>
      <c r="C451" t="n">
        <v>57</v>
      </c>
      <c r="D451" t="n">
        <v>15</v>
      </c>
      <c r="E451" t="n">
        <v>3</v>
      </c>
      <c r="F451" t="n">
        <v>1</v>
      </c>
      <c r="G451" t="n">
        <v>150000</v>
      </c>
      <c r="H451" t="n">
        <v>320000</v>
      </c>
      <c r="I451" t="n">
        <v>0</v>
      </c>
      <c r="J451" t="n">
        <v>320000</v>
      </c>
    </row>
    <row r="452">
      <c r="A452" s="5" t="n">
        <v>46289</v>
      </c>
      <c r="B452" t="n">
        <v>143844</v>
      </c>
      <c r="C452" t="n">
        <v>58</v>
      </c>
      <c r="D452" t="n">
        <v>13</v>
      </c>
      <c r="E452" t="n">
        <v>5</v>
      </c>
      <c r="F452" t="n">
        <v>1</v>
      </c>
      <c r="G452" t="n">
        <v>510000</v>
      </c>
      <c r="H452" t="n">
        <v>300000</v>
      </c>
      <c r="I452" t="n">
        <v>0</v>
      </c>
      <c r="J452" t="n">
        <v>300000</v>
      </c>
    </row>
    <row r="453">
      <c r="A453" s="5" t="n">
        <v>46290</v>
      </c>
      <c r="B453" t="n">
        <v>143399</v>
      </c>
      <c r="C453" t="n">
        <v>38</v>
      </c>
      <c r="D453" t="n">
        <v>9</v>
      </c>
      <c r="E453" t="n">
        <v>2</v>
      </c>
      <c r="F453" t="n">
        <v>0</v>
      </c>
      <c r="G453" t="n">
        <v>0</v>
      </c>
      <c r="H453" t="n">
        <v>170000</v>
      </c>
      <c r="I453" t="n">
        <v>0</v>
      </c>
      <c r="J453" t="n">
        <v>170000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J453"/>
  <pageMargins left="0.75" right="0.75" top="1" bottom="1" header="0.5" footer="0.5"/>
  <pageSetup orientation="landscape" fitToHeight="0" fitToWidth="1"/>
  <headerFooter>
    <oddHeader/>
    <oddFooter>&amp;LGrowthOps OS · synthetic data&amp;R&amp;A ·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A0A09C"/>
    <outlinePr summaryBelow="1" summaryRight="1"/>
    <pageSetUpPr fitToPage="1"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6" customWidth="1" min="8" max="8"/>
  </cols>
  <sheetData>
    <row r="1">
      <c r="A1" s="35" t="inlineStr">
        <is>
          <t>campaign_id</t>
        </is>
      </c>
      <c r="B1" s="35" t="inlineStr">
        <is>
          <t>source</t>
        </is>
      </c>
      <c r="C1" s="35" t="inlineStr">
        <is>
          <t>medium</t>
        </is>
      </c>
      <c r="D1" s="35" t="inlineStr">
        <is>
          <t>spend_cents</t>
        </is>
      </c>
      <c r="E1" s="35" t="inlineStr">
        <is>
          <t>leads</t>
        </is>
      </c>
      <c r="F1" s="35" t="inlineStr">
        <is>
          <t>mqls</t>
        </is>
      </c>
      <c r="G1" s="35" t="inlineStr">
        <is>
          <t>customers</t>
        </is>
      </c>
      <c r="H1" s="35" t="inlineStr">
        <is>
          <t>net_cash_cents</t>
        </is>
      </c>
    </row>
    <row r="2">
      <c r="A2" s="2" t="inlineStr">
        <is>
          <t>linkedin_ceo_abm</t>
        </is>
      </c>
      <c r="B2" s="2" t="inlineStr">
        <is>
          <t>linkedin</t>
        </is>
      </c>
      <c r="C2" s="2" t="inlineStr">
        <is>
          <t>paid_social</t>
        </is>
      </c>
      <c r="D2" s="2" t="n">
        <v>9197296</v>
      </c>
      <c r="E2" s="2" t="n">
        <v>581</v>
      </c>
      <c r="F2" s="2" t="n">
        <v>256</v>
      </c>
      <c r="G2" s="2" t="n">
        <v>53</v>
      </c>
      <c r="H2" s="2" t="n">
        <v>54820000</v>
      </c>
    </row>
    <row r="3">
      <c r="A3" t="inlineStr">
        <is>
          <t>google_brand_search</t>
        </is>
      </c>
      <c r="B3" t="inlineStr">
        <is>
          <t>google</t>
        </is>
      </c>
      <c r="C3" t="inlineStr">
        <is>
          <t>paid_search</t>
        </is>
      </c>
      <c r="D3" t="n">
        <v>3095072</v>
      </c>
      <c r="E3" t="n">
        <v>1210</v>
      </c>
      <c r="F3" t="n">
        <v>611</v>
      </c>
      <c r="G3" t="n">
        <v>68</v>
      </c>
      <c r="H3" t="n">
        <v>51265000</v>
      </c>
    </row>
    <row r="4">
      <c r="A4" t="inlineStr">
        <is>
          <t>meta_prospecting_founder</t>
        </is>
      </c>
      <c r="B4" t="inlineStr">
        <is>
          <t>meta</t>
        </is>
      </c>
      <c r="C4" t="inlineStr">
        <is>
          <t>paid_social</t>
        </is>
      </c>
      <c r="D4" t="n">
        <v>15857171</v>
      </c>
      <c r="E4" t="n">
        <v>3773</v>
      </c>
      <c r="F4" t="n">
        <v>872</v>
      </c>
      <c r="G4" t="n">
        <v>75</v>
      </c>
      <c r="H4" t="n">
        <v>47425000</v>
      </c>
    </row>
    <row r="5">
      <c r="A5" t="inlineStr">
        <is>
          <t>youtube_founder_guide</t>
        </is>
      </c>
      <c r="B5" t="inlineStr">
        <is>
          <t>youtube</t>
        </is>
      </c>
      <c r="C5" t="inlineStr">
        <is>
          <t>organic_video</t>
        </is>
      </c>
      <c r="D5" t="n">
        <v>0</v>
      </c>
      <c r="E5" t="n">
        <v>1885</v>
      </c>
      <c r="F5" t="n">
        <v>451</v>
      </c>
      <c r="G5" t="n">
        <v>44</v>
      </c>
      <c r="H5" t="n">
        <v>32690000</v>
      </c>
    </row>
    <row r="6">
      <c r="A6" t="inlineStr">
        <is>
          <t>meta_retargeting_webinar</t>
        </is>
      </c>
      <c r="B6" t="inlineStr">
        <is>
          <t>meta</t>
        </is>
      </c>
      <c r="C6" t="inlineStr">
        <is>
          <t>paid_social</t>
        </is>
      </c>
      <c r="D6" t="n">
        <v>4208155</v>
      </c>
      <c r="E6" t="n">
        <v>1297</v>
      </c>
      <c r="F6" t="n">
        <v>465</v>
      </c>
      <c r="G6" t="n">
        <v>43</v>
      </c>
      <c r="H6" t="n">
        <v>26005000</v>
      </c>
    </row>
    <row r="7">
      <c r="A7" t="inlineStr">
        <is>
          <t>google_nonbrand_growth</t>
        </is>
      </c>
      <c r="B7" t="inlineStr">
        <is>
          <t>google</t>
        </is>
      </c>
      <c r="C7" t="inlineStr">
        <is>
          <t>paid_search</t>
        </is>
      </c>
      <c r="D7" t="n">
        <v>9394809</v>
      </c>
      <c r="E7" t="n">
        <v>1309</v>
      </c>
      <c r="F7" t="n">
        <v>359</v>
      </c>
      <c r="G7" t="n">
        <v>36</v>
      </c>
      <c r="H7" t="n">
        <v>20910000</v>
      </c>
    </row>
    <row r="8">
      <c r="A8" t="inlineStr">
        <is>
          <t>newsletter_weekly</t>
        </is>
      </c>
      <c r="B8" t="inlineStr">
        <is>
          <t>newsletter</t>
        </is>
      </c>
      <c r="C8" t="inlineStr">
        <is>
          <t>owned_email</t>
        </is>
      </c>
      <c r="D8" t="n">
        <v>0</v>
      </c>
      <c r="E8" t="n">
        <v>1094</v>
      </c>
      <c r="F8" t="n">
        <v>348</v>
      </c>
      <c r="G8" t="n">
        <v>26</v>
      </c>
      <c r="H8" t="n">
        <v>17190000</v>
      </c>
    </row>
    <row r="9">
      <c r="A9" t="inlineStr">
        <is>
          <t>webinar_growth_os</t>
        </is>
      </c>
      <c r="B9" t="inlineStr">
        <is>
          <t>webinar</t>
        </is>
      </c>
      <c r="C9" t="inlineStr">
        <is>
          <t>event</t>
        </is>
      </c>
      <c r="D9" t="n">
        <v>0</v>
      </c>
      <c r="E9" t="n">
        <v>368</v>
      </c>
      <c r="F9" t="n">
        <v>153</v>
      </c>
      <c r="G9" t="n">
        <v>23</v>
      </c>
      <c r="H9" t="n">
        <v>14760000</v>
      </c>
    </row>
    <row r="10">
      <c r="A10" t="inlineStr">
        <is>
          <t>partner_podcast</t>
        </is>
      </c>
      <c r="B10" t="inlineStr">
        <is>
          <t>partner</t>
        </is>
      </c>
      <c r="C10" t="inlineStr">
        <is>
          <t>referral</t>
        </is>
      </c>
      <c r="D10" t="n">
        <v>0</v>
      </c>
      <c r="E10" t="n">
        <v>335</v>
      </c>
      <c r="F10" t="n">
        <v>132</v>
      </c>
      <c r="G10" t="n">
        <v>16</v>
      </c>
      <c r="H10" t="n">
        <v>13810000</v>
      </c>
    </row>
    <row r="11">
      <c r="A11" t="inlineStr">
        <is>
          <t>FB-Broad</t>
        </is>
      </c>
      <c r="B11" t="inlineStr">
        <is>
          <t>FB</t>
        </is>
      </c>
      <c r="C11" t="inlineStr">
        <is>
          <t>paid_social</t>
        </is>
      </c>
      <c r="D11" t="n">
        <v>4281152</v>
      </c>
      <c r="E11" t="n">
        <v>1017</v>
      </c>
      <c r="F11" t="n">
        <v>209</v>
      </c>
      <c r="G11" t="n">
        <v>22</v>
      </c>
      <c r="H11" t="n">
        <v>12660000</v>
      </c>
    </row>
    <row r="12">
      <c r="A12" t="inlineStr">
        <is>
          <t>direct</t>
        </is>
      </c>
      <c r="B12" t="inlineStr">
        <is>
          <t>direct</t>
        </is>
      </c>
      <c r="C12" t="inlineStr">
        <is>
          <t>none</t>
        </is>
      </c>
      <c r="D12" t="n">
        <v>0</v>
      </c>
      <c r="E12" t="n">
        <v>380</v>
      </c>
      <c r="F12" t="n">
        <v>103</v>
      </c>
      <c r="G12" t="n">
        <v>13</v>
      </c>
      <c r="H12" t="n">
        <v>9630000</v>
      </c>
    </row>
    <row r="13">
      <c r="A13" t="inlineStr">
        <is>
          <t>meta_broad_v17</t>
        </is>
      </c>
      <c r="B13" t="inlineStr">
        <is>
          <t>meta</t>
        </is>
      </c>
      <c r="C13" t="inlineStr">
        <is>
          <t>paid_social</t>
        </is>
      </c>
      <c r="D13" t="n">
        <v>2205650</v>
      </c>
      <c r="E13" t="n">
        <v>965</v>
      </c>
      <c r="F13" t="n">
        <v>77</v>
      </c>
      <c r="G13" t="n">
        <v>2</v>
      </c>
      <c r="H13" t="n">
        <v>340000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H13"/>
  <pageMargins left="0.75" right="0.75" top="1" bottom="1" header="0.5" footer="0.5"/>
  <pageSetup orientation="landscape" fitToHeight="0" fitToWidth="1"/>
  <headerFooter>
    <oddHeader/>
    <oddFooter>&amp;LGrowthOps OS · synthetic data&amp;R&amp;A ·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A0A09C"/>
    <outlinePr summaryBelow="1" summaryRight="1"/>
    <pageSetUpPr fitToPage="1"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0" customWidth="1" min="4" max="4"/>
  </cols>
  <sheetData>
    <row r="1">
      <c r="A1" s="35" t="inlineStr">
        <is>
          <t>stage</t>
        </is>
      </c>
      <c r="B1" s="35" t="inlineStr">
        <is>
          <t>ordinal</t>
        </is>
      </c>
      <c r="C1" s="35" t="inlineStr">
        <is>
          <t>people</t>
        </is>
      </c>
      <c r="D1" s="35" t="inlineStr">
        <is>
          <t>from_previous_rate</t>
        </is>
      </c>
    </row>
    <row r="2">
      <c r="A2" s="2" t="inlineStr">
        <is>
          <t>lead</t>
        </is>
      </c>
      <c r="B2" s="2" t="n">
        <v>1</v>
      </c>
      <c r="C2" s="2" t="n">
        <v>14693</v>
      </c>
      <c r="D2" s="2" t="n"/>
    </row>
    <row r="3">
      <c r="A3" t="inlineStr">
        <is>
          <t>mql</t>
        </is>
      </c>
      <c r="B3" t="n">
        <v>2</v>
      </c>
      <c r="C3" t="n">
        <v>4115</v>
      </c>
      <c r="D3" t="n">
        <v>0.2801</v>
      </c>
    </row>
    <row r="4">
      <c r="A4" t="inlineStr">
        <is>
          <t>call_booked</t>
        </is>
      </c>
      <c r="B4" t="n">
        <v>3</v>
      </c>
      <c r="C4" t="n">
        <v>1896</v>
      </c>
      <c r="D4" t="n">
        <v>0.4608</v>
      </c>
    </row>
    <row r="5">
      <c r="A5" t="inlineStr">
        <is>
          <t>call_attended</t>
        </is>
      </c>
      <c r="B5" t="n">
        <v>4</v>
      </c>
      <c r="C5" t="n">
        <v>1420</v>
      </c>
      <c r="D5" t="n">
        <v>0.7489</v>
      </c>
    </row>
    <row r="6">
      <c r="A6" t="inlineStr">
        <is>
          <t>opportunity</t>
        </is>
      </c>
      <c r="B6" t="n">
        <v>5</v>
      </c>
      <c r="C6" t="n">
        <v>1199</v>
      </c>
      <c r="D6" t="n">
        <v>0.8444</v>
      </c>
    </row>
    <row r="7">
      <c r="A7" t="inlineStr">
        <is>
          <t>closed_won</t>
        </is>
      </c>
      <c r="B7" t="n">
        <v>6</v>
      </c>
      <c r="C7" t="n">
        <v>438</v>
      </c>
      <c r="D7" t="n">
        <v>0.3578</v>
      </c>
    </row>
    <row r="8">
      <c r="A8" t="inlineStr">
        <is>
          <t>paid</t>
        </is>
      </c>
      <c r="B8" t="n">
        <v>7</v>
      </c>
      <c r="C8" t="n">
        <v>427</v>
      </c>
      <c r="D8" t="n">
        <v>0.9749</v>
      </c>
    </row>
    <row r="9">
      <c r="A9" t="inlineStr">
        <is>
          <t>activated</t>
        </is>
      </c>
      <c r="B9" t="n">
        <v>8</v>
      </c>
      <c r="C9" t="n">
        <v>418</v>
      </c>
      <c r="D9" t="n">
        <v>0.9789</v>
      </c>
    </row>
    <row r="10">
      <c r="A10" t="inlineStr">
        <is>
          <t>renewed</t>
        </is>
      </c>
      <c r="B10" t="n">
        <v>9</v>
      </c>
      <c r="C10" t="n">
        <v>19</v>
      </c>
      <c r="D10" t="n">
        <v>0.0455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D10"/>
  <pageMargins left="0.75" right="0.75" top="1" bottom="1" header="0.5" footer="0.5"/>
  <pageSetup orientation="landscape" fitToHeight="0" fitToWidth="1"/>
  <headerFooter>
    <oddHeader/>
    <oddFooter>&amp;LGrowthOps OS · synthetic data&amp;R&amp;A ·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A0A09C"/>
    <outlinePr summaryBelow="1" summaryRight="1"/>
    <pageSetUpPr fitToPage="1"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3" customWidth="1" min="2" max="2"/>
    <col width="15" customWidth="1" min="3" max="3"/>
    <col width="21" customWidth="1" min="4" max="4"/>
  </cols>
  <sheetData>
    <row r="1">
      <c r="A1" s="35" t="inlineStr">
        <is>
          <t>booked_cents</t>
        </is>
      </c>
      <c r="B1" s="35" t="inlineStr">
        <is>
          <t>gross_collected_cents</t>
        </is>
      </c>
      <c r="C1" s="35" t="inlineStr">
        <is>
          <t>refunds_cents</t>
        </is>
      </c>
      <c r="D1" s="35" t="inlineStr">
        <is>
          <t>net_collected_cents</t>
        </is>
      </c>
    </row>
    <row r="2">
      <c r="A2" s="2" t="n">
        <v>332340000</v>
      </c>
      <c r="B2" s="2" t="n">
        <v>319080000</v>
      </c>
      <c r="C2" s="2" t="n">
        <v>13345000</v>
      </c>
      <c r="D2" s="2" t="n">
        <v>305735000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D2"/>
  <pageMargins left="0.75" right="0.75" top="1" bottom="1" header="0.5" footer="0.5"/>
  <pageSetup orientation="landscape" fitToHeight="0" fitToWidth="1"/>
  <headerFooter>
    <oddHeader/>
    <oddFooter>&amp;LGrowthOps OS · synthetic data&amp;R&amp;A ·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A0A09C"/>
    <outlinePr summaryBelow="1" summaryRight="1"/>
    <pageSetUpPr fitToPage="1"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35" t="inlineStr">
        <is>
          <t>ordinal</t>
        </is>
      </c>
      <c r="B1" s="35" t="inlineStr">
        <is>
          <t>step</t>
        </is>
      </c>
      <c r="C1" s="35" t="inlineStr">
        <is>
          <t>kind</t>
        </is>
      </c>
      <c r="D1" s="35" t="inlineStr">
        <is>
          <t>cents</t>
        </is>
      </c>
    </row>
    <row r="2">
      <c r="A2" s="2" t="n">
        <v>1</v>
      </c>
      <c r="B2" s="2" t="inlineStr">
        <is>
          <t>crm_booked</t>
        </is>
      </c>
      <c r="C2" s="2" t="inlineStr">
        <is>
          <t>total</t>
        </is>
      </c>
      <c r="D2" s="2" t="n">
        <v>332340000</v>
      </c>
    </row>
    <row r="3">
      <c r="A3" t="n">
        <v>2</v>
      </c>
      <c r="B3" t="inlineStr">
        <is>
          <t>duplicate_deals</t>
        </is>
      </c>
      <c r="C3" t="inlineStr">
        <is>
          <t>delta</t>
        </is>
      </c>
      <c r="D3" t="n">
        <v>-480000</v>
      </c>
    </row>
    <row r="4">
      <c r="A4" t="n">
        <v>3</v>
      </c>
      <c r="B4" t="inlineStr">
        <is>
          <t>not_yet_collected</t>
        </is>
      </c>
      <c r="C4" t="inlineStr">
        <is>
          <t>delta</t>
        </is>
      </c>
      <c r="D4" t="n">
        <v>-18960000</v>
      </c>
    </row>
    <row r="5">
      <c r="A5" t="n">
        <v>4</v>
      </c>
      <c r="B5" t="inlineStr">
        <is>
          <t>unlinked_payments</t>
        </is>
      </c>
      <c r="C5" t="inlineStr">
        <is>
          <t>delta</t>
        </is>
      </c>
      <c r="D5" t="n">
        <v>3330000</v>
      </c>
    </row>
    <row r="6">
      <c r="A6" t="n">
        <v>5</v>
      </c>
      <c r="B6" t="inlineStr">
        <is>
          <t>renewals</t>
        </is>
      </c>
      <c r="C6" t="inlineStr">
        <is>
          <t>delta</t>
        </is>
      </c>
      <c r="D6" t="n">
        <v>2850000</v>
      </c>
    </row>
    <row r="7">
      <c r="A7" t="n">
        <v>6</v>
      </c>
      <c r="B7" t="inlineStr">
        <is>
          <t>gross_collected</t>
        </is>
      </c>
      <c r="C7" t="inlineStr">
        <is>
          <t>total</t>
        </is>
      </c>
      <c r="D7" t="n">
        <v>319080000</v>
      </c>
    </row>
    <row r="8">
      <c r="A8" t="n">
        <v>7</v>
      </c>
      <c r="B8" t="inlineStr">
        <is>
          <t>refunds</t>
        </is>
      </c>
      <c r="C8" t="inlineStr">
        <is>
          <t>delta</t>
        </is>
      </c>
      <c r="D8" t="n">
        <v>-13345000</v>
      </c>
    </row>
    <row r="9">
      <c r="A9" t="n">
        <v>8</v>
      </c>
      <c r="B9" t="inlineStr">
        <is>
          <t>net_collected</t>
        </is>
      </c>
      <c r="C9" t="inlineStr">
        <is>
          <t>total</t>
        </is>
      </c>
      <c r="D9" t="n">
        <v>305735000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D9"/>
  <pageMargins left="0.75" right="0.75" top="1" bottom="1" header="0.5" footer="0.5"/>
  <pageSetup orientation="landscape" fitToHeight="0" fitToWidth="1"/>
  <headerFooter>
    <oddHeader/>
    <oddFooter>&amp;LGrowthOps OS · synthetic data&amp;R&amp;A · 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A0A09C"/>
    <outlinePr summaryBelow="1" summaryRight="1"/>
    <pageSetUpPr fitToPage="1"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2" customWidth="1" min="3" max="3"/>
    <col width="22" customWidth="1" min="4" max="4"/>
    <col width="26" customWidth="1" min="5" max="5"/>
  </cols>
  <sheetData>
    <row r="1">
      <c r="A1" s="35" t="inlineStr">
        <is>
          <t>platform</t>
        </is>
      </c>
      <c r="B1" s="35" t="inlineStr">
        <is>
          <t>spend_cents</t>
        </is>
      </c>
      <c r="C1" s="35" t="inlineStr">
        <is>
          <t>reported_conversions</t>
        </is>
      </c>
      <c r="D1" s="35" t="inlineStr">
        <is>
          <t>reported_value_cents</t>
        </is>
      </c>
      <c r="E1" s="35" t="inlineStr">
        <is>
          <t>warehouse_net_cash_cents</t>
        </is>
      </c>
    </row>
    <row r="2">
      <c r="A2" s="2" t="inlineStr">
        <is>
          <t>google</t>
        </is>
      </c>
      <c r="B2" s="2" t="n">
        <v>12489881</v>
      </c>
      <c r="C2" s="2" t="n">
        <v>157</v>
      </c>
      <c r="D2" s="2" t="n">
        <v>108360000</v>
      </c>
      <c r="E2" s="2" t="n">
        <v>72175000</v>
      </c>
    </row>
    <row r="3">
      <c r="A3" t="inlineStr">
        <is>
          <t>linkedin</t>
        </is>
      </c>
      <c r="B3" t="n">
        <v>9197296</v>
      </c>
      <c r="C3" t="n">
        <v>79</v>
      </c>
      <c r="D3" t="n">
        <v>71100000</v>
      </c>
      <c r="E3" t="n">
        <v>54820000</v>
      </c>
    </row>
    <row r="4">
      <c r="A4" t="inlineStr">
        <is>
          <t>meta</t>
        </is>
      </c>
      <c r="B4" t="n">
        <v>26552128</v>
      </c>
      <c r="C4" t="n">
        <v>280</v>
      </c>
      <c r="D4" t="n">
        <v>192960000</v>
      </c>
      <c r="E4" t="n">
        <v>86430000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E4"/>
  <pageMargins left="0.75" right="0.75" top="1" bottom="1" header="0.5" footer="0.5"/>
  <pageSetup orientation="landscape" fitToHeight="0" fitToWidth="1"/>
  <headerFooter>
    <oddHeader/>
    <oddFooter>&amp;LGrowthOps OS · synthetic data&amp;R&amp;A ·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A0A09C"/>
    <outlinePr summaryBelow="1" summaryRight="1"/>
    <pageSetUpPr fitToPage="1"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  <col width="12" customWidth="1" min="8" max="8"/>
    <col width="14" customWidth="1" min="9" max="9"/>
    <col width="12" customWidth="1" min="10" max="10"/>
    <col width="27" customWidth="1" min="11" max="11"/>
  </cols>
  <sheetData>
    <row r="1">
      <c r="A1" s="35" t="inlineStr">
        <is>
          <t>content_id</t>
        </is>
      </c>
      <c r="B1" s="35" t="inlineStr">
        <is>
          <t>title</t>
        </is>
      </c>
      <c r="C1" s="35" t="inlineStr">
        <is>
          <t>platform</t>
        </is>
      </c>
      <c r="D1" s="35" t="inlineStr">
        <is>
          <t>topic</t>
        </is>
      </c>
      <c r="E1" s="35" t="inlineStr">
        <is>
          <t>views</t>
        </is>
      </c>
      <c r="F1" s="35" t="inlineStr">
        <is>
          <t>clicks</t>
        </is>
      </c>
      <c r="G1" s="35" t="inlineStr">
        <is>
          <t>engaged_leads</t>
        </is>
      </c>
      <c r="H1" s="35" t="inlineStr">
        <is>
          <t>mqls</t>
        </is>
      </c>
      <c r="I1" s="35" t="inlineStr">
        <is>
          <t>calls_booked</t>
        </is>
      </c>
      <c r="J1" s="35" t="inlineStr">
        <is>
          <t>customers</t>
        </is>
      </c>
      <c r="K1" s="35" t="inlineStr">
        <is>
          <t>influenced_net_cash_cents</t>
        </is>
      </c>
    </row>
    <row r="2">
      <c r="A2" s="2" t="inlineStr">
        <is>
          <t>video-01</t>
        </is>
      </c>
      <c r="B2" s="2" t="inlineStr">
        <is>
          <t>Why founders burn out (ep. 1)</t>
        </is>
      </c>
      <c r="C2" s="2" t="inlineStr">
        <is>
          <t>youtube</t>
        </is>
      </c>
      <c r="D2" s="2" t="inlineStr">
        <is>
          <t>mindset</t>
        </is>
      </c>
      <c r="E2" s="2" t="n">
        <v>44650</v>
      </c>
      <c r="F2" s="2" t="n">
        <v>556</v>
      </c>
      <c r="G2" s="2" t="n">
        <v>1122</v>
      </c>
      <c r="H2" s="2" t="n">
        <v>232</v>
      </c>
      <c r="I2" s="2" t="n">
        <v>104</v>
      </c>
      <c r="J2" s="2" t="n">
        <v>16</v>
      </c>
      <c r="K2" s="2" t="n">
        <v>13500000</v>
      </c>
    </row>
    <row r="3">
      <c r="A3" t="inlineStr">
        <is>
          <t>video-07</t>
        </is>
      </c>
      <c r="B3" t="inlineStr">
        <is>
          <t>The discovery call script (ep. 7)</t>
        </is>
      </c>
      <c r="C3" t="inlineStr">
        <is>
          <t>youtube</t>
        </is>
      </c>
      <c r="D3" t="inlineStr">
        <is>
          <t>sales</t>
        </is>
      </c>
      <c r="E3" t="n">
        <v>11740</v>
      </c>
      <c r="F3" t="n">
        <v>324</v>
      </c>
      <c r="G3" t="n">
        <v>246</v>
      </c>
      <c r="H3" t="n">
        <v>82</v>
      </c>
      <c r="I3" t="n">
        <v>40</v>
      </c>
      <c r="J3" t="n">
        <v>15</v>
      </c>
      <c r="K3" t="n">
        <v>12070000</v>
      </c>
    </row>
    <row r="4">
      <c r="A4" t="inlineStr">
        <is>
          <t>video-05</t>
        </is>
      </c>
      <c r="B4" t="inlineStr">
        <is>
          <t>Morning routine of a CEO (ep. 5)</t>
        </is>
      </c>
      <c r="C4" t="inlineStr">
        <is>
          <t>youtube</t>
        </is>
      </c>
      <c r="D4" t="inlineStr">
        <is>
          <t>mindset</t>
        </is>
      </c>
      <c r="E4" t="n">
        <v>24910</v>
      </c>
      <c r="F4" t="n">
        <v>252</v>
      </c>
      <c r="G4" t="n">
        <v>604</v>
      </c>
      <c r="H4" t="n">
        <v>130</v>
      </c>
      <c r="I4" t="n">
        <v>50</v>
      </c>
      <c r="J4" t="n">
        <v>15</v>
      </c>
      <c r="K4" t="n">
        <v>10460000</v>
      </c>
    </row>
    <row r="5">
      <c r="A5" t="inlineStr">
        <is>
          <t>video-03</t>
        </is>
      </c>
      <c r="B5" t="inlineStr">
        <is>
          <t>Delegating the inbox (ep. 3)</t>
        </is>
      </c>
      <c r="C5" t="inlineStr">
        <is>
          <t>youtube</t>
        </is>
      </c>
      <c r="D5" t="inlineStr">
        <is>
          <t>systems</t>
        </is>
      </c>
      <c r="E5" t="n">
        <v>11177</v>
      </c>
      <c r="F5" t="n">
        <v>297</v>
      </c>
      <c r="G5" t="n">
        <v>270</v>
      </c>
      <c r="H5" t="n">
        <v>88</v>
      </c>
      <c r="I5" t="n">
        <v>37</v>
      </c>
      <c r="J5" t="n">
        <v>8</v>
      </c>
      <c r="K5" t="n">
        <v>5790000</v>
      </c>
    </row>
    <row r="6">
      <c r="A6" t="inlineStr">
        <is>
          <t>video-13</t>
        </is>
      </c>
      <c r="B6" t="inlineStr">
        <is>
          <t>Founder operating system (ep. 13)</t>
        </is>
      </c>
      <c r="C6" t="inlineStr">
        <is>
          <t>youtube</t>
        </is>
      </c>
      <c r="D6" t="inlineStr">
        <is>
          <t>systems</t>
        </is>
      </c>
      <c r="E6" t="n">
        <v>12532</v>
      </c>
      <c r="F6" t="n">
        <v>249</v>
      </c>
      <c r="G6" t="n">
        <v>166</v>
      </c>
      <c r="H6" t="n">
        <v>42</v>
      </c>
      <c r="I6" t="n">
        <v>23</v>
      </c>
      <c r="J6" t="n">
        <v>7</v>
      </c>
      <c r="K6" t="n">
        <v>5260000</v>
      </c>
    </row>
    <row r="7">
      <c r="A7" t="inlineStr">
        <is>
          <t>video-06</t>
        </is>
      </c>
      <c r="B7" t="inlineStr">
        <is>
          <t>Value-based pricing teardown (ep. 6)</t>
        </is>
      </c>
      <c r="C7" t="inlineStr">
        <is>
          <t>youtube</t>
        </is>
      </c>
      <c r="D7" t="inlineStr">
        <is>
          <t>pricing</t>
        </is>
      </c>
      <c r="E7" t="n">
        <v>5936</v>
      </c>
      <c r="F7" t="n">
        <v>256</v>
      </c>
      <c r="G7" t="n">
        <v>165</v>
      </c>
      <c r="H7" t="n">
        <v>71</v>
      </c>
      <c r="I7" t="n">
        <v>37</v>
      </c>
      <c r="J7" t="n">
        <v>7</v>
      </c>
      <c r="K7" t="n">
        <v>4890000</v>
      </c>
    </row>
    <row r="8">
      <c r="A8" t="inlineStr">
        <is>
          <t>video-02</t>
        </is>
      </c>
      <c r="B8" t="inlineStr">
        <is>
          <t>Handling the budget objection (ep. 2)</t>
        </is>
      </c>
      <c r="C8" t="inlineStr">
        <is>
          <t>youtube</t>
        </is>
      </c>
      <c r="D8" t="inlineStr">
        <is>
          <t>sales</t>
        </is>
      </c>
      <c r="E8" t="n">
        <v>8300</v>
      </c>
      <c r="F8" t="n">
        <v>324</v>
      </c>
      <c r="G8" t="n">
        <v>221</v>
      </c>
      <c r="H8" t="n">
        <v>73</v>
      </c>
      <c r="I8" t="n">
        <v>36</v>
      </c>
      <c r="J8" t="n">
        <v>8</v>
      </c>
      <c r="K8" t="n">
        <v>4830000</v>
      </c>
    </row>
    <row r="9">
      <c r="A9" t="inlineStr">
        <is>
          <t>video-15</t>
        </is>
      </c>
      <c r="B9" t="inlineStr">
        <is>
          <t>Value-based pricing teardown (ep. 15)</t>
        </is>
      </c>
      <c r="C9" t="inlineStr">
        <is>
          <t>youtube</t>
        </is>
      </c>
      <c r="D9" t="inlineStr">
        <is>
          <t>pricing</t>
        </is>
      </c>
      <c r="E9" t="n">
        <v>7182</v>
      </c>
      <c r="F9" t="n">
        <v>160</v>
      </c>
      <c r="G9" t="n">
        <v>73</v>
      </c>
      <c r="H9" t="n">
        <v>27</v>
      </c>
      <c r="I9" t="n">
        <v>18</v>
      </c>
      <c r="J9" t="n">
        <v>6</v>
      </c>
      <c r="K9" t="n">
        <v>4380000</v>
      </c>
    </row>
    <row r="10">
      <c r="A10" t="inlineStr">
        <is>
          <t>video-08</t>
        </is>
      </c>
      <c r="B10" t="inlineStr">
        <is>
          <t>Handling the budget objection (ep. 8)</t>
        </is>
      </c>
      <c r="C10" t="inlineStr">
        <is>
          <t>youtube</t>
        </is>
      </c>
      <c r="D10" t="inlineStr">
        <is>
          <t>sales</t>
        </is>
      </c>
      <c r="E10" t="n">
        <v>5805</v>
      </c>
      <c r="F10" t="n">
        <v>195</v>
      </c>
      <c r="G10" t="n">
        <v>112</v>
      </c>
      <c r="H10" t="n">
        <v>41</v>
      </c>
      <c r="I10" t="n">
        <v>18</v>
      </c>
      <c r="J10" t="n">
        <v>5</v>
      </c>
      <c r="K10" t="n">
        <v>4200000</v>
      </c>
    </row>
    <row r="11">
      <c r="A11" t="inlineStr">
        <is>
          <t>video-12</t>
        </is>
      </c>
      <c r="B11" t="inlineStr">
        <is>
          <t>Closing without pressure (ep. 12)</t>
        </is>
      </c>
      <c r="C11" t="inlineStr">
        <is>
          <t>youtube</t>
        </is>
      </c>
      <c r="D11" t="inlineStr">
        <is>
          <t>sales</t>
        </is>
      </c>
      <c r="E11" t="n">
        <v>7187</v>
      </c>
      <c r="F11" t="n">
        <v>227</v>
      </c>
      <c r="G11" t="n">
        <v>114</v>
      </c>
      <c r="H11" t="n">
        <v>34</v>
      </c>
      <c r="I11" t="n">
        <v>14</v>
      </c>
      <c r="J11" t="n">
        <v>2</v>
      </c>
      <c r="K11" t="n">
        <v>3150000</v>
      </c>
    </row>
    <row r="12">
      <c r="A12" t="inlineStr">
        <is>
          <t>video-04</t>
        </is>
      </c>
      <c r="B12" t="inlineStr">
        <is>
          <t>Your first operations hire (ep. 4)</t>
        </is>
      </c>
      <c r="C12" t="inlineStr">
        <is>
          <t>youtube</t>
        </is>
      </c>
      <c r="D12" t="inlineStr">
        <is>
          <t>hiring</t>
        </is>
      </c>
      <c r="E12" t="n">
        <v>17570</v>
      </c>
      <c r="F12" t="n">
        <v>440</v>
      </c>
      <c r="G12" t="n">
        <v>455</v>
      </c>
      <c r="H12" t="n">
        <v>137</v>
      </c>
      <c r="I12" t="n">
        <v>60</v>
      </c>
      <c r="J12" t="n">
        <v>7</v>
      </c>
      <c r="K12" t="n">
        <v>3120000</v>
      </c>
    </row>
    <row r="13">
      <c r="A13" t="inlineStr">
        <is>
          <t>video-16</t>
        </is>
      </c>
      <c r="B13" t="inlineStr">
        <is>
          <t>Raise prices without losing clients (ep. 16)</t>
        </is>
      </c>
      <c r="C13" t="inlineStr">
        <is>
          <t>youtube</t>
        </is>
      </c>
      <c r="D13" t="inlineStr">
        <is>
          <t>pricing</t>
        </is>
      </c>
      <c r="E13" t="n">
        <v>9707</v>
      </c>
      <c r="F13" t="n">
        <v>360</v>
      </c>
      <c r="G13" t="n">
        <v>118</v>
      </c>
      <c r="H13" t="n">
        <v>44</v>
      </c>
      <c r="I13" t="n">
        <v>16</v>
      </c>
      <c r="J13" t="n">
        <v>4</v>
      </c>
      <c r="K13" t="n">
        <v>3120000</v>
      </c>
    </row>
    <row r="14">
      <c r="A14" t="inlineStr">
        <is>
          <t>video-18</t>
        </is>
      </c>
      <c r="B14" t="inlineStr">
        <is>
          <t>Delegating the inbox (ep. 18)</t>
        </is>
      </c>
      <c r="C14" t="inlineStr">
        <is>
          <t>youtube</t>
        </is>
      </c>
      <c r="D14" t="inlineStr">
        <is>
          <t>systems</t>
        </is>
      </c>
      <c r="E14" t="n">
        <v>5354</v>
      </c>
      <c r="F14" t="n">
        <v>161</v>
      </c>
      <c r="G14" t="n">
        <v>55</v>
      </c>
      <c r="H14" t="n">
        <v>20</v>
      </c>
      <c r="I14" t="n">
        <v>6</v>
      </c>
      <c r="J14" t="n">
        <v>2</v>
      </c>
      <c r="K14" t="n">
        <v>3000000</v>
      </c>
    </row>
    <row r="15">
      <c r="A15" t="inlineStr">
        <is>
          <t>video-19</t>
        </is>
      </c>
      <c r="B15" t="inlineStr">
        <is>
          <t>Your first operations hire (ep. 19)</t>
        </is>
      </c>
      <c r="C15" t="inlineStr">
        <is>
          <t>youtube</t>
        </is>
      </c>
      <c r="D15" t="inlineStr">
        <is>
          <t>hiring</t>
        </is>
      </c>
      <c r="E15" t="n">
        <v>8009</v>
      </c>
      <c r="F15" t="n">
        <v>231</v>
      </c>
      <c r="G15" t="n">
        <v>69</v>
      </c>
      <c r="H15" t="n">
        <v>19</v>
      </c>
      <c r="I15" t="n">
        <v>10</v>
      </c>
      <c r="J15" t="n">
        <v>4</v>
      </c>
      <c r="K15" t="n">
        <v>2820000</v>
      </c>
    </row>
    <row r="16">
      <c r="A16" t="inlineStr">
        <is>
          <t>video-23</t>
        </is>
      </c>
      <c r="B16" t="inlineStr">
        <is>
          <t>Weekly metrics that matter (ep. 23)</t>
        </is>
      </c>
      <c r="C16" t="inlineStr">
        <is>
          <t>youtube</t>
        </is>
      </c>
      <c r="D16" t="inlineStr">
        <is>
          <t>systems</t>
        </is>
      </c>
      <c r="E16" t="n">
        <v>30204</v>
      </c>
      <c r="F16" t="n">
        <v>835</v>
      </c>
      <c r="G16" t="n">
        <v>182</v>
      </c>
      <c r="H16" t="n">
        <v>41</v>
      </c>
      <c r="I16" t="n">
        <v>19</v>
      </c>
      <c r="J16" t="n">
        <v>4</v>
      </c>
      <c r="K16" t="n">
        <v>2800000</v>
      </c>
    </row>
    <row r="17">
      <c r="A17" t="inlineStr">
        <is>
          <t>video-10</t>
        </is>
      </c>
      <c r="B17" t="inlineStr">
        <is>
          <t>Why founders burn out (ep. 10)</t>
        </is>
      </c>
      <c r="C17" t="inlineStr">
        <is>
          <t>youtube</t>
        </is>
      </c>
      <c r="D17" t="inlineStr">
        <is>
          <t>mindset</t>
        </is>
      </c>
      <c r="E17" t="n">
        <v>18652</v>
      </c>
      <c r="F17" t="n">
        <v>176</v>
      </c>
      <c r="G17" t="n">
        <v>366</v>
      </c>
      <c r="H17" t="n">
        <v>90</v>
      </c>
      <c r="I17" t="n">
        <v>42</v>
      </c>
      <c r="J17" t="n">
        <v>4</v>
      </c>
      <c r="K17" t="n">
        <v>2670000</v>
      </c>
    </row>
    <row r="18">
      <c r="A18" t="inlineStr">
        <is>
          <t>video-25</t>
        </is>
      </c>
      <c r="B18" t="inlineStr">
        <is>
          <t>Why founders burn out (ep. 25)</t>
        </is>
      </c>
      <c r="C18" t="inlineStr">
        <is>
          <t>youtube</t>
        </is>
      </c>
      <c r="D18" t="inlineStr">
        <is>
          <t>mindset</t>
        </is>
      </c>
      <c r="E18" t="n">
        <v>45088</v>
      </c>
      <c r="F18" t="n">
        <v>448</v>
      </c>
      <c r="G18" t="n">
        <v>223</v>
      </c>
      <c r="H18" t="n">
        <v>39</v>
      </c>
      <c r="I18" t="n">
        <v>18</v>
      </c>
      <c r="J18" t="n">
        <v>3</v>
      </c>
      <c r="K18" t="n">
        <v>2500000</v>
      </c>
    </row>
    <row r="19">
      <c r="A19" t="inlineStr">
        <is>
          <t>video-09</t>
        </is>
      </c>
      <c r="B19" t="inlineStr">
        <is>
          <t>Scorecards for new hires (ep. 9)</t>
        </is>
      </c>
      <c r="C19" t="inlineStr">
        <is>
          <t>youtube</t>
        </is>
      </c>
      <c r="D19" t="inlineStr">
        <is>
          <t>hiring</t>
        </is>
      </c>
      <c r="E19" t="n">
        <v>8342</v>
      </c>
      <c r="F19" t="n">
        <v>146</v>
      </c>
      <c r="G19" t="n">
        <v>165</v>
      </c>
      <c r="H19" t="n">
        <v>50</v>
      </c>
      <c r="I19" t="n">
        <v>26</v>
      </c>
      <c r="J19" t="n">
        <v>4</v>
      </c>
      <c r="K19" t="n">
        <v>1920000</v>
      </c>
    </row>
    <row r="20">
      <c r="A20" t="inlineStr">
        <is>
          <t>video-21</t>
        </is>
      </c>
      <c r="B20" t="inlineStr">
        <is>
          <t>Value-based pricing teardown (ep. 21)</t>
        </is>
      </c>
      <c r="C20" t="inlineStr">
        <is>
          <t>youtube</t>
        </is>
      </c>
      <c r="D20" t="inlineStr">
        <is>
          <t>pricing</t>
        </is>
      </c>
      <c r="E20" t="n">
        <v>14524</v>
      </c>
      <c r="F20" t="n">
        <v>470</v>
      </c>
      <c r="G20" t="n">
        <v>123</v>
      </c>
      <c r="H20" t="n">
        <v>47</v>
      </c>
      <c r="I20" t="n">
        <v>22</v>
      </c>
      <c r="J20" t="n">
        <v>4</v>
      </c>
      <c r="K20" t="n">
        <v>1510000</v>
      </c>
    </row>
    <row r="21">
      <c r="A21" t="inlineStr">
        <is>
          <t>video-11</t>
        </is>
      </c>
      <c r="B21" t="inlineStr">
        <is>
          <t>Pricing a high-ticket offer (ep. 11)</t>
        </is>
      </c>
      <c r="C21" t="inlineStr">
        <is>
          <t>youtube</t>
        </is>
      </c>
      <c r="D21" t="inlineStr">
        <is>
          <t>pricing</t>
        </is>
      </c>
      <c r="E21" t="n">
        <v>8531</v>
      </c>
      <c r="F21" t="n">
        <v>200</v>
      </c>
      <c r="G21" t="n">
        <v>117</v>
      </c>
      <c r="H21" t="n">
        <v>39</v>
      </c>
      <c r="I21" t="n">
        <v>16</v>
      </c>
      <c r="J21" t="n">
        <v>1</v>
      </c>
      <c r="K21" t="n">
        <v>1500000</v>
      </c>
    </row>
    <row r="22">
      <c r="A22" t="inlineStr">
        <is>
          <t>video-17</t>
        </is>
      </c>
      <c r="B22" t="inlineStr">
        <is>
          <t>Handling the budget objection (ep. 17)</t>
        </is>
      </c>
      <c r="C22" t="inlineStr">
        <is>
          <t>youtube</t>
        </is>
      </c>
      <c r="D22" t="inlineStr">
        <is>
          <t>sales</t>
        </is>
      </c>
      <c r="E22" t="n">
        <v>11006</v>
      </c>
      <c r="F22" t="n">
        <v>268</v>
      </c>
      <c r="G22" t="n">
        <v>114</v>
      </c>
      <c r="H22" t="n">
        <v>43</v>
      </c>
      <c r="I22" t="n">
        <v>21</v>
      </c>
      <c r="J22" t="n">
        <v>3</v>
      </c>
      <c r="K22" t="n">
        <v>1470000</v>
      </c>
    </row>
    <row r="23">
      <c r="A23" t="inlineStr">
        <is>
          <t>video-14</t>
        </is>
      </c>
      <c r="B23" t="inlineStr">
        <is>
          <t>Hiring an integrator (ep. 14)</t>
        </is>
      </c>
      <c r="C23" t="inlineStr">
        <is>
          <t>youtube</t>
        </is>
      </c>
      <c r="D23" t="inlineStr">
        <is>
          <t>hiring</t>
        </is>
      </c>
      <c r="E23" t="n">
        <v>4007</v>
      </c>
      <c r="F23" t="n">
        <v>94</v>
      </c>
      <c r="G23" t="n">
        <v>51</v>
      </c>
      <c r="H23" t="n">
        <v>16</v>
      </c>
      <c r="I23" t="n">
        <v>10</v>
      </c>
      <c r="J23" t="n">
        <v>2</v>
      </c>
      <c r="K23" t="n">
        <v>1110000</v>
      </c>
    </row>
    <row r="24">
      <c r="A24" t="inlineStr">
        <is>
          <t>video-26</t>
        </is>
      </c>
      <c r="B24" t="inlineStr">
        <is>
          <t>Pricing a high-ticket offer (ep. 26)</t>
        </is>
      </c>
      <c r="C24" t="inlineStr">
        <is>
          <t>youtube</t>
        </is>
      </c>
      <c r="D24" t="inlineStr">
        <is>
          <t>pricing</t>
        </is>
      </c>
      <c r="E24" t="n">
        <v>11615</v>
      </c>
      <c r="F24" t="n">
        <v>423</v>
      </c>
      <c r="G24" t="n">
        <v>60</v>
      </c>
      <c r="H24" t="n">
        <v>19</v>
      </c>
      <c r="I24" t="n">
        <v>10</v>
      </c>
      <c r="J24" t="n">
        <v>2</v>
      </c>
      <c r="K24" t="n">
        <v>650000</v>
      </c>
    </row>
    <row r="25">
      <c r="A25" t="inlineStr">
        <is>
          <t>video-28</t>
        </is>
      </c>
      <c r="B25" t="inlineStr">
        <is>
          <t>Founder operating system (ep. 28)</t>
        </is>
      </c>
      <c r="C25" t="inlineStr">
        <is>
          <t>youtube</t>
        </is>
      </c>
      <c r="D25" t="inlineStr">
        <is>
          <t>systems</t>
        </is>
      </c>
      <c r="E25" t="n">
        <v>13319</v>
      </c>
      <c r="F25" t="n">
        <v>321</v>
      </c>
      <c r="G25" t="n">
        <v>57</v>
      </c>
      <c r="H25" t="n">
        <v>7</v>
      </c>
      <c r="I25" t="n">
        <v>5</v>
      </c>
      <c r="J25" t="n">
        <v>1</v>
      </c>
      <c r="K25" t="n">
        <v>630000</v>
      </c>
    </row>
    <row r="26">
      <c r="A26" t="inlineStr">
        <is>
          <t>video-27</t>
        </is>
      </c>
      <c r="B26" t="inlineStr">
        <is>
          <t>Closing without pressure (ep. 27)</t>
        </is>
      </c>
      <c r="C26" t="inlineStr">
        <is>
          <t>youtube</t>
        </is>
      </c>
      <c r="D26" t="inlineStr">
        <is>
          <t>sales</t>
        </is>
      </c>
      <c r="E26" t="n">
        <v>12822</v>
      </c>
      <c r="F26" t="n">
        <v>402</v>
      </c>
      <c r="G26" t="n">
        <v>56</v>
      </c>
      <c r="H26" t="n">
        <v>17</v>
      </c>
      <c r="I26" t="n">
        <v>7</v>
      </c>
      <c r="J26" t="n">
        <v>1</v>
      </c>
      <c r="K26" t="n">
        <v>480000</v>
      </c>
    </row>
    <row r="27">
      <c r="A27" t="inlineStr">
        <is>
          <t>video-20</t>
        </is>
      </c>
      <c r="B27" t="inlineStr">
        <is>
          <t>Morning routine of a CEO (ep. 20)</t>
        </is>
      </c>
      <c r="C27" t="inlineStr">
        <is>
          <t>youtube</t>
        </is>
      </c>
      <c r="D27" t="inlineStr">
        <is>
          <t>mindset</t>
        </is>
      </c>
      <c r="E27" t="n">
        <v>11724</v>
      </c>
      <c r="F27" t="n">
        <v>186</v>
      </c>
      <c r="G27" t="n">
        <v>120</v>
      </c>
      <c r="H27" t="n">
        <v>17</v>
      </c>
      <c r="I27" t="n">
        <v>11</v>
      </c>
      <c r="J27" t="n">
        <v>2</v>
      </c>
      <c r="K27" t="n">
        <v>410000</v>
      </c>
    </row>
    <row r="28">
      <c r="A28" t="inlineStr">
        <is>
          <t>video-22</t>
        </is>
      </c>
      <c r="B28" t="inlineStr">
        <is>
          <t>The discovery call script (ep. 22)</t>
        </is>
      </c>
      <c r="C28" t="inlineStr">
        <is>
          <t>youtube</t>
        </is>
      </c>
      <c r="D28" t="inlineStr">
        <is>
          <t>sales</t>
        </is>
      </c>
      <c r="E28" t="n">
        <v>7034</v>
      </c>
      <c r="F28" t="n">
        <v>211</v>
      </c>
      <c r="G28" t="n">
        <v>42</v>
      </c>
      <c r="H28" t="n">
        <v>12</v>
      </c>
      <c r="I28" t="n">
        <v>6</v>
      </c>
      <c r="J28" t="n">
        <v>0</v>
      </c>
      <c r="K28" t="n">
        <v>0</v>
      </c>
    </row>
    <row r="29">
      <c r="A29" t="inlineStr">
        <is>
          <t>video-24</t>
        </is>
      </c>
      <c r="B29" t="inlineStr">
        <is>
          <t>Scorecards for new hires (ep. 24)</t>
        </is>
      </c>
      <c r="C29" t="inlineStr">
        <is>
          <t>youtube</t>
        </is>
      </c>
      <c r="D29" t="inlineStr">
        <is>
          <t>hiring</t>
        </is>
      </c>
      <c r="E29" t="n">
        <v>9286</v>
      </c>
      <c r="F29" t="n">
        <v>222</v>
      </c>
      <c r="G29" t="n">
        <v>46</v>
      </c>
      <c r="H29" t="n">
        <v>10</v>
      </c>
      <c r="I29" t="n">
        <v>3</v>
      </c>
      <c r="J29" t="n">
        <v>0</v>
      </c>
      <c r="K29" t="n">
        <v>0</v>
      </c>
    </row>
    <row r="30">
      <c r="A30" t="inlineStr">
        <is>
          <t>video-29</t>
        </is>
      </c>
      <c r="B30" t="inlineStr">
        <is>
          <t>Handling the budget objection (ep. 29)</t>
        </is>
      </c>
      <c r="C30" t="inlineStr">
        <is>
          <t>youtube</t>
        </is>
      </c>
      <c r="D30" t="inlineStr">
        <is>
          <t>sales</t>
        </is>
      </c>
      <c r="E30" t="n">
        <v>7179</v>
      </c>
      <c r="F30" t="n">
        <v>270</v>
      </c>
      <c r="G30" t="n">
        <v>21</v>
      </c>
      <c r="H30" t="n">
        <v>3</v>
      </c>
      <c r="I30" t="n">
        <v>1</v>
      </c>
      <c r="J30" t="n">
        <v>0</v>
      </c>
      <c r="K30" t="n">
        <v>0</v>
      </c>
    </row>
    <row r="31">
      <c r="A31" t="inlineStr">
        <is>
          <t>video-30</t>
        </is>
      </c>
      <c r="B31" t="inlineStr">
        <is>
          <t>Thinking in decades (ep. 30)</t>
        </is>
      </c>
      <c r="C31" t="inlineStr">
        <is>
          <t>youtube</t>
        </is>
      </c>
      <c r="D31" t="inlineStr">
        <is>
          <t>mindset</t>
        </is>
      </c>
      <c r="E31" t="n">
        <v>27937</v>
      </c>
      <c r="F31" t="n">
        <v>350</v>
      </c>
      <c r="G31" t="n">
        <v>59</v>
      </c>
      <c r="H31" t="n">
        <v>10</v>
      </c>
      <c r="I31" t="n">
        <v>4</v>
      </c>
      <c r="J31" t="n">
        <v>0</v>
      </c>
      <c r="K31" t="n">
        <v>0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K31"/>
  <pageMargins left="0.75" right="0.75" top="1" bottom="1" header="0.5" footer="0.5"/>
  <pageSetup orientation="landscape" fitToHeight="0" fitToWidth="1"/>
  <headerFooter>
    <oddHeader/>
    <oddFooter>&amp;LGrowthOps OS · synthetic data&amp;R&amp;A · 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A0A09C"/>
    <outlinePr summaryBelow="1" summaryRight="1"/>
    <pageSetUpPr fitToPage="1"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6" customWidth="1" min="4" max="4"/>
    <col width="12" customWidth="1" min="5" max="5"/>
    <col width="24" customWidth="1" min="6" max="6"/>
    <col width="20" customWidth="1" min="7" max="7"/>
    <col width="12" customWidth="1" min="8" max="8"/>
    <col width="20" customWidth="1" min="9" max="9"/>
    <col width="21" customWidth="1" min="10" max="10"/>
  </cols>
  <sheetData>
    <row r="1">
      <c r="A1" s="35" t="inlineStr">
        <is>
          <t>eligible_touches</t>
        </is>
      </c>
      <c r="B1" s="35" t="inlineStr">
        <is>
          <t>touches_with_utm</t>
        </is>
      </c>
      <c r="C1" s="35" t="inlineStr">
        <is>
          <t>registered_touches</t>
        </is>
      </c>
      <c r="D1" s="35" t="inlineStr">
        <is>
          <t>owned_contacts</t>
        </is>
      </c>
      <c r="E1" s="35" t="inlineStr">
        <is>
          <t>contacts</t>
        </is>
      </c>
      <c r="F1" s="35" t="inlineStr">
        <is>
          <t>duplicate_contact_rows</t>
        </is>
      </c>
      <c r="G1" s="35" t="inlineStr">
        <is>
          <t>unmatched_payments</t>
        </is>
      </c>
      <c r="H1" s="35" t="inlineStr">
        <is>
          <t>payments</t>
        </is>
      </c>
      <c r="I1" s="35" t="inlineStr">
        <is>
          <t>paid_contact_count</t>
        </is>
      </c>
      <c r="J1" s="35" t="inlineStr">
        <is>
          <t>valid_paid_journeys</t>
        </is>
      </c>
    </row>
    <row r="2">
      <c r="A2" s="2" t="n">
        <v>19855</v>
      </c>
      <c r="B2" s="2" t="n">
        <v>19360</v>
      </c>
      <c r="C2" s="2" t="n">
        <v>18343</v>
      </c>
      <c r="D2" s="2" t="n">
        <v>14103</v>
      </c>
      <c r="E2" s="2" t="n">
        <v>14693</v>
      </c>
      <c r="F2" s="2" t="n">
        <v>138</v>
      </c>
      <c r="G2" s="2" t="n">
        <v>9</v>
      </c>
      <c r="H2" s="2" t="n">
        <v>809</v>
      </c>
      <c r="I2" s="2" t="n">
        <v>427</v>
      </c>
      <c r="J2" s="2" t="n">
        <v>417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J2"/>
  <pageMargins left="0.75" right="0.75" top="1" bottom="1" header="0.5" footer="0.5"/>
  <pageSetup orientation="landscape" fitToHeight="0" fitToWidth="1"/>
  <headerFooter>
    <oddHeader/>
    <oddFooter>&amp;LGrowthOps OS · synthetic data&amp;R&amp;A · 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A0A09C"/>
    <outlinePr summaryBelow="1" summaryRight="1"/>
    <pageSetUpPr fitToPage="1"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8" customWidth="1" min="3" max="3"/>
    <col width="18" customWidth="1" min="4" max="4"/>
    <col width="19" customWidth="1" min="5" max="5"/>
    <col width="18" customWidth="1" min="6" max="6"/>
    <col width="20" customWidth="1" min="7" max="7"/>
  </cols>
  <sheetData>
    <row r="1">
      <c r="A1" s="35" t="inlineStr">
        <is>
          <t>legacy_contacts</t>
        </is>
      </c>
      <c r="B1" s="35" t="inlineStr">
        <is>
          <t>migrated_contacts</t>
        </is>
      </c>
      <c r="C1" s="35" t="inlineStr">
        <is>
          <t>missing_contacts</t>
        </is>
      </c>
      <c r="D1" s="35" t="inlineStr">
        <is>
          <t>owner_match_rate</t>
        </is>
      </c>
      <c r="E1" s="35" t="inlineStr">
        <is>
          <t>source_match_rate</t>
        </is>
      </c>
      <c r="F1" s="35" t="inlineStr">
        <is>
          <t>stage_match_rate</t>
        </is>
      </c>
      <c r="G1" s="35" t="inlineStr">
        <is>
          <t>duplicate_crm_rows</t>
        </is>
      </c>
    </row>
    <row r="2">
      <c r="A2" s="2" t="n">
        <v>7638</v>
      </c>
      <c r="B2" s="2" t="n">
        <v>7600</v>
      </c>
      <c r="C2" s="2" t="n">
        <v>38</v>
      </c>
      <c r="D2" s="2" t="n">
        <v>0.9526</v>
      </c>
      <c r="E2" s="2" t="n">
        <v>0.9222</v>
      </c>
      <c r="F2" s="2" t="n">
        <v>0.9871</v>
      </c>
      <c r="G2" s="2" t="n">
        <v>138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G2"/>
  <pageMargins left="0.75" right="0.75" top="1" bottom="1" header="0.5" footer="0.5"/>
  <pageSetup orientation="landscape" fitToHeight="0" fitToWidth="1"/>
  <headerFooter>
    <oddHeader/>
    <oddFooter>&amp;LGrowthOps OS · synthetic data&amp;R&amp;A · 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A0A09C"/>
    <outlinePr summaryBelow="1" summaryRight="1"/>
    <pageSetUpPr fitToPage="1"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6" customWidth="1" min="9" max="9"/>
    <col width="12" customWidth="1" min="10" max="10"/>
    <col width="14" customWidth="1" min="11" max="11"/>
    <col width="28" customWidth="1" min="12" max="12"/>
  </cols>
  <sheetData>
    <row r="1">
      <c r="A1" s="35" t="inlineStr">
        <is>
          <t>experiment_id</t>
        </is>
      </c>
      <c r="B1" s="35" t="inlineStr">
        <is>
          <t>variant_id</t>
        </is>
      </c>
      <c r="C1" s="35" t="inlineStr">
        <is>
          <t>label</t>
        </is>
      </c>
      <c r="D1" s="35" t="inlineStr">
        <is>
          <t>cta_text</t>
        </is>
      </c>
      <c r="E1" s="35" t="inlineStr">
        <is>
          <t>visitors</t>
        </is>
      </c>
      <c r="F1" s="35" t="inlineStr">
        <is>
          <t>leads</t>
        </is>
      </c>
      <c r="G1" s="35" t="inlineStr">
        <is>
          <t>mqls</t>
        </is>
      </c>
      <c r="H1" s="35" t="inlineStr">
        <is>
          <t>customers</t>
        </is>
      </c>
      <c r="I1" s="35" t="inlineStr">
        <is>
          <t>net_cash_cents</t>
        </is>
      </c>
      <c r="J1" s="35" t="inlineStr">
        <is>
          <t>lead_rate</t>
        </is>
      </c>
      <c r="K1" s="35" t="inlineStr">
        <is>
          <t>mql_per_lead</t>
        </is>
      </c>
      <c r="L1" s="35" t="inlineStr">
        <is>
          <t>net_cash_per_visitor_cents</t>
        </is>
      </c>
    </row>
    <row r="2">
      <c r="A2" s="2" t="inlineStr">
        <is>
          <t>cta_growth_plan</t>
        </is>
      </c>
      <c r="B2" s="2" t="inlineStr">
        <is>
          <t>cta_a</t>
        </is>
      </c>
      <c r="C2" s="2" t="inlineStr">
        <is>
          <t>Control: Book a strategy call</t>
        </is>
      </c>
      <c r="D2" s="2" t="inlineStr">
        <is>
          <t>Book a strategy call</t>
        </is>
      </c>
      <c r="E2" s="2" t="n">
        <v>7951</v>
      </c>
      <c r="F2" s="2" t="n">
        <v>524</v>
      </c>
      <c r="G2" s="2" t="n">
        <v>120</v>
      </c>
      <c r="H2" s="2" t="n">
        <v>6</v>
      </c>
      <c r="I2" s="2" t="n">
        <v>5130000</v>
      </c>
      <c r="J2" s="2" t="n">
        <v>0.0659</v>
      </c>
      <c r="K2" s="2" t="n">
        <v>0.229</v>
      </c>
      <c r="L2" s="2" t="n">
        <v>645.2</v>
      </c>
    </row>
    <row r="3">
      <c r="A3" t="inlineStr">
        <is>
          <t>cta_growth_plan</t>
        </is>
      </c>
      <c r="B3" t="inlineStr">
        <is>
          <t>cta_b</t>
        </is>
      </c>
      <c r="C3" t="inlineStr">
        <is>
          <t>Variant: Get my growth plan</t>
        </is>
      </c>
      <c r="D3" t="inlineStr">
        <is>
          <t>Get my growth plan</t>
        </is>
      </c>
      <c r="E3" t="n">
        <v>7940</v>
      </c>
      <c r="F3" t="n">
        <v>787</v>
      </c>
      <c r="G3" t="n">
        <v>155</v>
      </c>
      <c r="H3" t="n">
        <v>9</v>
      </c>
      <c r="I3" t="n">
        <v>4440000</v>
      </c>
      <c r="J3" t="n">
        <v>0.09909999999999999</v>
      </c>
      <c r="K3" t="n">
        <v>0.197</v>
      </c>
      <c r="L3" t="n">
        <v>559.1900000000001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L3"/>
  <pageMargins left="0.75" right="0.75" top="1" bottom="1" header="0.5" footer="0.5"/>
  <pageSetup orientation="landscape" fitToHeight="0" fitToWidth="1"/>
  <headerFooter>
    <oddHeader/>
    <oddFooter>&amp;LGrowthOps OS · synthetic data&amp;R&amp;A · page 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A0A09C"/>
    <outlinePr summaryBelow="1" summaryRight="1"/>
    <pageSetUpPr fitToPage="1"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12" customWidth="1" min="3" max="3"/>
    <col width="12" customWidth="1" min="4" max="4"/>
    <col width="17" customWidth="1" min="5" max="5"/>
    <col width="12" customWidth="1" min="6" max="6"/>
  </cols>
  <sheetData>
    <row r="1">
      <c r="A1" s="35" t="inlineStr">
        <is>
          <t>subscription_id</t>
        </is>
      </c>
      <c r="B1" s="35" t="inlineStr">
        <is>
          <t>customer_id</t>
        </is>
      </c>
      <c r="C1" s="35" t="inlineStr">
        <is>
          <t>plan_id</t>
        </is>
      </c>
      <c r="D1" s="35" t="inlineStr">
        <is>
          <t>due_date</t>
        </is>
      </c>
      <c r="E1" s="35" t="inlineStr">
        <is>
          <t>failed_attempts</t>
        </is>
      </c>
      <c r="F1" s="35" t="inlineStr">
        <is>
          <t>risk_level</t>
        </is>
      </c>
    </row>
    <row r="2">
      <c r="A2" s="2" t="inlineStr">
        <is>
          <t>sub-000170</t>
        </is>
      </c>
      <c r="B2" s="2" t="inlineStr">
        <is>
          <t>c-001776</t>
        </is>
      </c>
      <c r="C2" s="2" t="inlineStr">
        <is>
          <t>founder_community</t>
        </is>
      </c>
      <c r="D2" s="13" t="n">
        <v>46288</v>
      </c>
      <c r="E2" s="2" t="n">
        <v>1</v>
      </c>
      <c r="F2" s="2" t="inlineStr">
        <is>
          <t>high</t>
        </is>
      </c>
    </row>
    <row r="3">
      <c r="A3" t="inlineStr">
        <is>
          <t>sub-000179</t>
        </is>
      </c>
      <c r="B3" t="inlineStr">
        <is>
          <t>c-001888</t>
        </is>
      </c>
      <c r="C3" t="inlineStr">
        <is>
          <t>founder_community</t>
        </is>
      </c>
      <c r="D3" s="5" t="n">
        <v>46294</v>
      </c>
      <c r="E3" t="n">
        <v>0</v>
      </c>
      <c r="F3" t="inlineStr">
        <is>
          <t>medium</t>
        </is>
      </c>
    </row>
    <row r="4">
      <c r="A4" t="inlineStr">
        <is>
          <t>sub-000202</t>
        </is>
      </c>
      <c r="B4" t="inlineStr">
        <is>
          <t>c-002142</t>
        </is>
      </c>
      <c r="C4" t="inlineStr">
        <is>
          <t>founder_community</t>
        </is>
      </c>
      <c r="D4" s="5" t="n">
        <v>46300</v>
      </c>
      <c r="E4" t="n">
        <v>0</v>
      </c>
      <c r="F4" t="inlineStr">
        <is>
          <t>medium</t>
        </is>
      </c>
    </row>
    <row r="5">
      <c r="A5" t="inlineStr">
        <is>
          <t>sub-000221</t>
        </is>
      </c>
      <c r="B5" t="inlineStr">
        <is>
          <t>c-002398</t>
        </is>
      </c>
      <c r="C5" t="inlineStr">
        <is>
          <t>founder_community</t>
        </is>
      </c>
      <c r="D5" s="5" t="n">
        <v>46305</v>
      </c>
      <c r="E5" t="n">
        <v>0</v>
      </c>
      <c r="F5" t="inlineStr">
        <is>
          <t>not_due</t>
        </is>
      </c>
    </row>
    <row r="6">
      <c r="A6" t="inlineStr">
        <is>
          <t>sub-000190</t>
        </is>
      </c>
      <c r="B6" t="inlineStr">
        <is>
          <t>c-002016</t>
        </is>
      </c>
      <c r="C6" t="inlineStr">
        <is>
          <t>founder_community</t>
        </is>
      </c>
      <c r="D6" s="5" t="n">
        <v>46308</v>
      </c>
      <c r="E6" t="n">
        <v>0</v>
      </c>
      <c r="F6" t="inlineStr">
        <is>
          <t>not_due</t>
        </is>
      </c>
    </row>
    <row r="7">
      <c r="A7" t="inlineStr">
        <is>
          <t>sub-000224</t>
        </is>
      </c>
      <c r="B7" t="inlineStr">
        <is>
          <t>c-002426</t>
        </is>
      </c>
      <c r="C7" t="inlineStr">
        <is>
          <t>founder_community</t>
        </is>
      </c>
      <c r="D7" s="5" t="n">
        <v>46308</v>
      </c>
      <c r="E7" t="n">
        <v>0</v>
      </c>
      <c r="F7" t="inlineStr">
        <is>
          <t>not_due</t>
        </is>
      </c>
    </row>
    <row r="8">
      <c r="A8" t="inlineStr">
        <is>
          <t>sub-000273</t>
        </is>
      </c>
      <c r="B8" t="inlineStr">
        <is>
          <t>c-003004</t>
        </is>
      </c>
      <c r="C8" t="inlineStr">
        <is>
          <t>founder_community</t>
        </is>
      </c>
      <c r="D8" s="5" t="n">
        <v>46321</v>
      </c>
      <c r="E8" t="n">
        <v>0</v>
      </c>
      <c r="F8" t="inlineStr">
        <is>
          <t>not_due</t>
        </is>
      </c>
    </row>
    <row r="9">
      <c r="A9" t="inlineStr">
        <is>
          <t>sub-000292</t>
        </is>
      </c>
      <c r="B9" t="inlineStr">
        <is>
          <t>c-003135</t>
        </is>
      </c>
      <c r="C9" t="inlineStr">
        <is>
          <t>founder_community</t>
        </is>
      </c>
      <c r="D9" s="5" t="n">
        <v>46323</v>
      </c>
      <c r="E9" t="n">
        <v>0</v>
      </c>
      <c r="F9" t="inlineStr">
        <is>
          <t>not_due</t>
        </is>
      </c>
    </row>
    <row r="10">
      <c r="A10" t="inlineStr">
        <is>
          <t>sub-000303</t>
        </is>
      </c>
      <c r="B10" t="inlineStr">
        <is>
          <t>c-003195</t>
        </is>
      </c>
      <c r="C10" t="inlineStr">
        <is>
          <t>founder_community</t>
        </is>
      </c>
      <c r="D10" s="5" t="n">
        <v>46324</v>
      </c>
      <c r="E10" t="n">
        <v>0</v>
      </c>
      <c r="F10" t="inlineStr">
        <is>
          <t>not_due</t>
        </is>
      </c>
    </row>
    <row r="11">
      <c r="A11" t="inlineStr">
        <is>
          <t>sub-000259</t>
        </is>
      </c>
      <c r="B11" t="inlineStr">
        <is>
          <t>c-002819</t>
        </is>
      </c>
      <c r="C11" t="inlineStr">
        <is>
          <t>founder_community</t>
        </is>
      </c>
      <c r="D11" s="5" t="n">
        <v>46326</v>
      </c>
      <c r="E11" t="n">
        <v>0</v>
      </c>
      <c r="F11" t="inlineStr">
        <is>
          <t>not_due</t>
        </is>
      </c>
    </row>
    <row r="12">
      <c r="A12" t="inlineStr">
        <is>
          <t>sub-000314</t>
        </is>
      </c>
      <c r="B12" t="inlineStr">
        <is>
          <t>c-003371</t>
        </is>
      </c>
      <c r="C12" t="inlineStr">
        <is>
          <t>founder_community</t>
        </is>
      </c>
      <c r="D12" s="5" t="n">
        <v>46334</v>
      </c>
      <c r="E12" t="n">
        <v>0</v>
      </c>
      <c r="F12" t="inlineStr">
        <is>
          <t>not_due</t>
        </is>
      </c>
    </row>
    <row r="13">
      <c r="A13" t="inlineStr">
        <is>
          <t>sub-000327</t>
        </is>
      </c>
      <c r="B13" t="inlineStr">
        <is>
          <t>c-003466</t>
        </is>
      </c>
      <c r="C13" t="inlineStr">
        <is>
          <t>founder_community</t>
        </is>
      </c>
      <c r="D13" s="5" t="n">
        <v>46339</v>
      </c>
      <c r="E13" t="n">
        <v>0</v>
      </c>
      <c r="F13" t="inlineStr">
        <is>
          <t>not_due</t>
        </is>
      </c>
    </row>
    <row r="14">
      <c r="A14" t="inlineStr">
        <is>
          <t>sub-000294</t>
        </is>
      </c>
      <c r="B14" t="inlineStr">
        <is>
          <t>c-003150</t>
        </is>
      </c>
      <c r="C14" t="inlineStr">
        <is>
          <t>founder_community</t>
        </is>
      </c>
      <c r="D14" s="5" t="n">
        <v>46340</v>
      </c>
      <c r="E14" t="n">
        <v>0</v>
      </c>
      <c r="F14" t="inlineStr">
        <is>
          <t>not_due</t>
        </is>
      </c>
    </row>
    <row r="15">
      <c r="A15" t="inlineStr">
        <is>
          <t>sub-000334</t>
        </is>
      </c>
      <c r="B15" t="inlineStr">
        <is>
          <t>c-003553</t>
        </is>
      </c>
      <c r="C15" t="inlineStr">
        <is>
          <t>founder_community</t>
        </is>
      </c>
      <c r="D15" s="5" t="n">
        <v>46340</v>
      </c>
      <c r="E15" t="n">
        <v>0</v>
      </c>
      <c r="F15" t="inlineStr">
        <is>
          <t>not_due</t>
        </is>
      </c>
    </row>
    <row r="16">
      <c r="A16" t="inlineStr">
        <is>
          <t>sub-000338</t>
        </is>
      </c>
      <c r="B16" t="inlineStr">
        <is>
          <t>c-003566</t>
        </is>
      </c>
      <c r="C16" t="inlineStr">
        <is>
          <t>founder_community</t>
        </is>
      </c>
      <c r="D16" s="5" t="n">
        <v>46340</v>
      </c>
      <c r="E16" t="n">
        <v>0</v>
      </c>
      <c r="F16" t="inlineStr">
        <is>
          <t>not_due</t>
        </is>
      </c>
    </row>
    <row r="17">
      <c r="A17" t="inlineStr">
        <is>
          <t>sub-000284</t>
        </is>
      </c>
      <c r="B17" t="inlineStr">
        <is>
          <t>c-003090</t>
        </is>
      </c>
      <c r="C17" t="inlineStr">
        <is>
          <t>founder_community</t>
        </is>
      </c>
      <c r="D17" s="5" t="n">
        <v>46341</v>
      </c>
      <c r="E17" t="n">
        <v>0</v>
      </c>
      <c r="F17" t="inlineStr">
        <is>
          <t>not_due</t>
        </is>
      </c>
    </row>
    <row r="18">
      <c r="A18" t="inlineStr">
        <is>
          <t>sub-000319</t>
        </is>
      </c>
      <c r="B18" t="inlineStr">
        <is>
          <t>c-003399</t>
        </is>
      </c>
      <c r="C18" t="inlineStr">
        <is>
          <t>founder_community</t>
        </is>
      </c>
      <c r="D18" s="5" t="n">
        <v>46348</v>
      </c>
      <c r="E18" t="n">
        <v>0</v>
      </c>
      <c r="F18" t="inlineStr">
        <is>
          <t>not_due</t>
        </is>
      </c>
    </row>
    <row r="19">
      <c r="A19" t="inlineStr">
        <is>
          <t>sub-000359</t>
        </is>
      </c>
      <c r="B19" t="inlineStr">
        <is>
          <t>c-003779</t>
        </is>
      </c>
      <c r="C19" t="inlineStr">
        <is>
          <t>founder_community</t>
        </is>
      </c>
      <c r="D19" s="5" t="n">
        <v>46351</v>
      </c>
      <c r="E19" t="n">
        <v>0</v>
      </c>
      <c r="F19" t="inlineStr">
        <is>
          <t>not_due</t>
        </is>
      </c>
    </row>
    <row r="20">
      <c r="A20" t="inlineStr">
        <is>
          <t>sub-000345</t>
        </is>
      </c>
      <c r="B20" t="inlineStr">
        <is>
          <t>c-003642</t>
        </is>
      </c>
      <c r="C20" t="inlineStr">
        <is>
          <t>founder_community</t>
        </is>
      </c>
      <c r="D20" s="5" t="n">
        <v>46355</v>
      </c>
      <c r="E20" t="n">
        <v>0</v>
      </c>
      <c r="F20" t="inlineStr">
        <is>
          <t>not_due</t>
        </is>
      </c>
    </row>
    <row r="21">
      <c r="A21" t="inlineStr">
        <is>
          <t>sub-000354</t>
        </is>
      </c>
      <c r="B21" t="inlineStr">
        <is>
          <t>c-003726</t>
        </is>
      </c>
      <c r="C21" t="inlineStr">
        <is>
          <t>founder_community</t>
        </is>
      </c>
      <c r="D21" s="5" t="n">
        <v>46355</v>
      </c>
      <c r="E21" t="n">
        <v>0</v>
      </c>
      <c r="F21" t="inlineStr">
        <is>
          <t>not_due</t>
        </is>
      </c>
    </row>
    <row r="22">
      <c r="A22" t="inlineStr">
        <is>
          <t>sub-000382</t>
        </is>
      </c>
      <c r="B22" t="inlineStr">
        <is>
          <t>c-004010</t>
        </is>
      </c>
      <c r="C22" t="inlineStr">
        <is>
          <t>founder_community</t>
        </is>
      </c>
      <c r="D22" s="5" t="n">
        <v>46369</v>
      </c>
      <c r="E22" t="n">
        <v>0</v>
      </c>
      <c r="F22" t="inlineStr">
        <is>
          <t>not_due</t>
        </is>
      </c>
    </row>
    <row r="23">
      <c r="A23" t="inlineStr">
        <is>
          <t>sub-000388</t>
        </is>
      </c>
      <c r="B23" t="inlineStr">
        <is>
          <t>c-004118</t>
        </is>
      </c>
      <c r="C23" t="inlineStr">
        <is>
          <t>founder_community</t>
        </is>
      </c>
      <c r="D23" s="5" t="n">
        <v>46370</v>
      </c>
      <c r="E23" t="n">
        <v>0</v>
      </c>
      <c r="F23" t="inlineStr">
        <is>
          <t>not_due</t>
        </is>
      </c>
    </row>
    <row r="24">
      <c r="A24" t="inlineStr">
        <is>
          <t>sub-000406</t>
        </is>
      </c>
      <c r="B24" t="inlineStr">
        <is>
          <t>c-004334</t>
        </is>
      </c>
      <c r="C24" t="inlineStr">
        <is>
          <t>founder_community</t>
        </is>
      </c>
      <c r="D24" s="5" t="n">
        <v>46373</v>
      </c>
      <c r="E24" t="n">
        <v>0</v>
      </c>
      <c r="F24" t="inlineStr">
        <is>
          <t>not_due</t>
        </is>
      </c>
    </row>
    <row r="25">
      <c r="A25" t="inlineStr">
        <is>
          <t>sub-000414</t>
        </is>
      </c>
      <c r="B25" t="inlineStr">
        <is>
          <t>c-004417</t>
        </is>
      </c>
      <c r="C25" t="inlineStr">
        <is>
          <t>founder_community</t>
        </is>
      </c>
      <c r="D25" s="5" t="n">
        <v>46373</v>
      </c>
      <c r="E25" t="n">
        <v>0</v>
      </c>
      <c r="F25" t="inlineStr">
        <is>
          <t>not_due</t>
        </is>
      </c>
    </row>
    <row r="26">
      <c r="A26" t="inlineStr">
        <is>
          <t>sub-000412</t>
        </is>
      </c>
      <c r="B26" t="inlineStr">
        <is>
          <t>c-004405</t>
        </is>
      </c>
      <c r="C26" t="inlineStr">
        <is>
          <t>founder_community</t>
        </is>
      </c>
      <c r="D26" s="5" t="n">
        <v>46378</v>
      </c>
      <c r="E26" t="n">
        <v>0</v>
      </c>
      <c r="F26" t="inlineStr">
        <is>
          <t>not_due</t>
        </is>
      </c>
    </row>
    <row r="27">
      <c r="A27" t="inlineStr">
        <is>
          <t>sub-000417</t>
        </is>
      </c>
      <c r="B27" t="inlineStr">
        <is>
          <t>c-004461</t>
        </is>
      </c>
      <c r="C27" t="inlineStr">
        <is>
          <t>founder_community</t>
        </is>
      </c>
      <c r="D27" s="5" t="n">
        <v>46381</v>
      </c>
      <c r="E27" t="n">
        <v>0</v>
      </c>
      <c r="F27" t="inlineStr">
        <is>
          <t>not_due</t>
        </is>
      </c>
    </row>
    <row r="28">
      <c r="A28" t="inlineStr">
        <is>
          <t>sub-000362</t>
        </is>
      </c>
      <c r="B28" t="inlineStr">
        <is>
          <t>c-003788</t>
        </is>
      </c>
      <c r="C28" t="inlineStr">
        <is>
          <t>founder_community</t>
        </is>
      </c>
      <c r="D28" s="5" t="n">
        <v>46385</v>
      </c>
      <c r="E28" t="n">
        <v>0</v>
      </c>
      <c r="F28" t="inlineStr">
        <is>
          <t>not_due</t>
        </is>
      </c>
    </row>
    <row r="29">
      <c r="A29" t="inlineStr">
        <is>
          <t>sub-000435</t>
        </is>
      </c>
      <c r="B29" t="inlineStr">
        <is>
          <t>c-004624</t>
        </is>
      </c>
      <c r="C29" t="inlineStr">
        <is>
          <t>founder_community</t>
        </is>
      </c>
      <c r="D29" s="5" t="n">
        <v>46390</v>
      </c>
      <c r="E29" t="n">
        <v>0</v>
      </c>
      <c r="F29" t="inlineStr">
        <is>
          <t>not_due</t>
        </is>
      </c>
    </row>
    <row r="30">
      <c r="A30" t="inlineStr">
        <is>
          <t>sub-000455</t>
        </is>
      </c>
      <c r="B30" t="inlineStr">
        <is>
          <t>c-004800</t>
        </is>
      </c>
      <c r="C30" t="inlineStr">
        <is>
          <t>founder_community</t>
        </is>
      </c>
      <c r="D30" s="5" t="n">
        <v>46390</v>
      </c>
      <c r="E30" t="n">
        <v>0</v>
      </c>
      <c r="F30" t="inlineStr">
        <is>
          <t>not_due</t>
        </is>
      </c>
    </row>
    <row r="31">
      <c r="A31" t="inlineStr">
        <is>
          <t>sub-000486</t>
        </is>
      </c>
      <c r="B31" t="inlineStr">
        <is>
          <t>c-005006</t>
        </is>
      </c>
      <c r="C31" t="inlineStr">
        <is>
          <t>founder_community</t>
        </is>
      </c>
      <c r="D31" s="5" t="n">
        <v>46391</v>
      </c>
      <c r="E31" t="n">
        <v>0</v>
      </c>
      <c r="F31" t="inlineStr">
        <is>
          <t>not_due</t>
        </is>
      </c>
    </row>
    <row r="32">
      <c r="A32" t="inlineStr">
        <is>
          <t>sub-000504</t>
        </is>
      </c>
      <c r="B32" t="inlineStr">
        <is>
          <t>c-005187</t>
        </is>
      </c>
      <c r="C32" t="inlineStr">
        <is>
          <t>founder_community</t>
        </is>
      </c>
      <c r="D32" s="5" t="n">
        <v>46402</v>
      </c>
      <c r="E32" t="n">
        <v>0</v>
      </c>
      <c r="F32" t="inlineStr">
        <is>
          <t>not_due</t>
        </is>
      </c>
    </row>
    <row r="33">
      <c r="A33" t="inlineStr">
        <is>
          <t>sub-000519</t>
        </is>
      </c>
      <c r="B33" t="inlineStr">
        <is>
          <t>c-005330</t>
        </is>
      </c>
      <c r="C33" t="inlineStr">
        <is>
          <t>founder_community</t>
        </is>
      </c>
      <c r="D33" s="5" t="n">
        <v>46404</v>
      </c>
      <c r="E33" t="n">
        <v>0</v>
      </c>
      <c r="F33" t="inlineStr">
        <is>
          <t>not_due</t>
        </is>
      </c>
    </row>
    <row r="34">
      <c r="A34" t="inlineStr">
        <is>
          <t>sub-000480</t>
        </is>
      </c>
      <c r="B34" t="inlineStr">
        <is>
          <t>c-004969</t>
        </is>
      </c>
      <c r="C34" t="inlineStr">
        <is>
          <t>founder_community</t>
        </is>
      </c>
      <c r="D34" s="5" t="n">
        <v>46405</v>
      </c>
      <c r="E34" t="n">
        <v>0</v>
      </c>
      <c r="F34" t="inlineStr">
        <is>
          <t>not_due</t>
        </is>
      </c>
    </row>
    <row r="35">
      <c r="A35" t="inlineStr">
        <is>
          <t>sub-000535</t>
        </is>
      </c>
      <c r="B35" t="inlineStr">
        <is>
          <t>c-005471</t>
        </is>
      </c>
      <c r="C35" t="inlineStr">
        <is>
          <t>founder_community</t>
        </is>
      </c>
      <c r="D35" s="5" t="n">
        <v>46416</v>
      </c>
      <c r="E35" t="n">
        <v>0</v>
      </c>
      <c r="F35" t="inlineStr">
        <is>
          <t>not_due</t>
        </is>
      </c>
    </row>
    <row r="36">
      <c r="A36" t="inlineStr">
        <is>
          <t>sub-000514</t>
        </is>
      </c>
      <c r="B36" t="inlineStr">
        <is>
          <t>c-005302</t>
        </is>
      </c>
      <c r="C36" t="inlineStr">
        <is>
          <t>founder_community</t>
        </is>
      </c>
      <c r="D36" s="5" t="n">
        <v>46421</v>
      </c>
      <c r="E36" t="n">
        <v>0</v>
      </c>
      <c r="F36" t="inlineStr">
        <is>
          <t>not_due</t>
        </is>
      </c>
    </row>
    <row r="37">
      <c r="A37" t="inlineStr">
        <is>
          <t>sub-000529</t>
        </is>
      </c>
      <c r="B37" t="inlineStr">
        <is>
          <t>c-005412</t>
        </is>
      </c>
      <c r="C37" t="inlineStr">
        <is>
          <t>founder_community</t>
        </is>
      </c>
      <c r="D37" s="5" t="n">
        <v>46421</v>
      </c>
      <c r="E37" t="n">
        <v>0</v>
      </c>
      <c r="F37" t="inlineStr">
        <is>
          <t>not_due</t>
        </is>
      </c>
    </row>
    <row r="38">
      <c r="A38" t="inlineStr">
        <is>
          <t>sub-000540</t>
        </is>
      </c>
      <c r="B38" t="inlineStr">
        <is>
          <t>c-005550</t>
        </is>
      </c>
      <c r="C38" t="inlineStr">
        <is>
          <t>founder_community</t>
        </is>
      </c>
      <c r="D38" s="5" t="n">
        <v>46422</v>
      </c>
      <c r="E38" t="n">
        <v>0</v>
      </c>
      <c r="F38" t="inlineStr">
        <is>
          <t>not_due</t>
        </is>
      </c>
    </row>
    <row r="39">
      <c r="A39" t="inlineStr">
        <is>
          <t>sub-000576</t>
        </is>
      </c>
      <c r="B39" t="inlineStr">
        <is>
          <t>c-005962</t>
        </is>
      </c>
      <c r="C39" t="inlineStr">
        <is>
          <t>founder_community</t>
        </is>
      </c>
      <c r="D39" s="5" t="n">
        <v>46422</v>
      </c>
      <c r="E39" t="n">
        <v>0</v>
      </c>
      <c r="F39" t="inlineStr">
        <is>
          <t>not_due</t>
        </is>
      </c>
    </row>
    <row r="40">
      <c r="A40" t="inlineStr">
        <is>
          <t>sub-000565</t>
        </is>
      </c>
      <c r="B40" t="inlineStr">
        <is>
          <t>c-005774</t>
        </is>
      </c>
      <c r="C40" t="inlineStr">
        <is>
          <t>founder_community</t>
        </is>
      </c>
      <c r="D40" s="5" t="n">
        <v>46425</v>
      </c>
      <c r="E40" t="n">
        <v>0</v>
      </c>
      <c r="F40" t="inlineStr">
        <is>
          <t>not_due</t>
        </is>
      </c>
    </row>
    <row r="41">
      <c r="A41" t="inlineStr">
        <is>
          <t>sub-000548</t>
        </is>
      </c>
      <c r="B41" t="inlineStr">
        <is>
          <t>c-005615</t>
        </is>
      </c>
      <c r="C41" t="inlineStr">
        <is>
          <t>founder_community</t>
        </is>
      </c>
      <c r="D41" s="5" t="n">
        <v>46426</v>
      </c>
      <c r="E41" t="n">
        <v>0</v>
      </c>
      <c r="F41" t="inlineStr">
        <is>
          <t>not_due</t>
        </is>
      </c>
    </row>
    <row r="42">
      <c r="A42" t="inlineStr">
        <is>
          <t>sub-000578</t>
        </is>
      </c>
      <c r="B42" t="inlineStr">
        <is>
          <t>c-005967</t>
        </is>
      </c>
      <c r="C42" t="inlineStr">
        <is>
          <t>founder_community</t>
        </is>
      </c>
      <c r="D42" s="5" t="n">
        <v>46427</v>
      </c>
      <c r="E42" t="n">
        <v>0</v>
      </c>
      <c r="F42" t="inlineStr">
        <is>
          <t>not_due</t>
        </is>
      </c>
    </row>
    <row r="43">
      <c r="A43" t="inlineStr">
        <is>
          <t>sub-000599</t>
        </is>
      </c>
      <c r="B43" t="inlineStr">
        <is>
          <t>c-006252</t>
        </is>
      </c>
      <c r="C43" t="inlineStr">
        <is>
          <t>founder_community</t>
        </is>
      </c>
      <c r="D43" s="5" t="n">
        <v>46437</v>
      </c>
      <c r="E43" t="n">
        <v>0</v>
      </c>
      <c r="F43" t="inlineStr">
        <is>
          <t>not_due</t>
        </is>
      </c>
    </row>
    <row r="44">
      <c r="A44" t="inlineStr">
        <is>
          <t>sub-000591</t>
        </is>
      </c>
      <c r="B44" t="inlineStr">
        <is>
          <t>c-006188</t>
        </is>
      </c>
      <c r="C44" t="inlineStr">
        <is>
          <t>founder_community</t>
        </is>
      </c>
      <c r="D44" s="5" t="n">
        <v>46438</v>
      </c>
      <c r="E44" t="n">
        <v>0</v>
      </c>
      <c r="F44" t="inlineStr">
        <is>
          <t>not_due</t>
        </is>
      </c>
    </row>
    <row r="45">
      <c r="A45" t="inlineStr">
        <is>
          <t>sub-000640</t>
        </is>
      </c>
      <c r="B45" t="inlineStr">
        <is>
          <t>c-006659</t>
        </is>
      </c>
      <c r="C45" t="inlineStr">
        <is>
          <t>founder_community</t>
        </is>
      </c>
      <c r="D45" s="5" t="n">
        <v>46449</v>
      </c>
      <c r="E45" t="n">
        <v>0</v>
      </c>
      <c r="F45" t="inlineStr">
        <is>
          <t>not_due</t>
        </is>
      </c>
    </row>
    <row r="46">
      <c r="A46" t="inlineStr">
        <is>
          <t>sub-000657</t>
        </is>
      </c>
      <c r="B46" t="inlineStr">
        <is>
          <t>c-006768</t>
        </is>
      </c>
      <c r="C46" t="inlineStr">
        <is>
          <t>founder_community</t>
        </is>
      </c>
      <c r="D46" s="5" t="n">
        <v>46453</v>
      </c>
      <c r="E46" t="n">
        <v>0</v>
      </c>
      <c r="F46" t="inlineStr">
        <is>
          <t>not_due</t>
        </is>
      </c>
    </row>
    <row r="47">
      <c r="A47" t="inlineStr">
        <is>
          <t>sub-000659</t>
        </is>
      </c>
      <c r="B47" t="inlineStr">
        <is>
          <t>c-006771</t>
        </is>
      </c>
      <c r="C47" t="inlineStr">
        <is>
          <t>founder_community</t>
        </is>
      </c>
      <c r="D47" s="5" t="n">
        <v>46455</v>
      </c>
      <c r="E47" t="n">
        <v>0</v>
      </c>
      <c r="F47" t="inlineStr">
        <is>
          <t>not_due</t>
        </is>
      </c>
    </row>
    <row r="48">
      <c r="A48" t="inlineStr">
        <is>
          <t>sub-000635</t>
        </is>
      </c>
      <c r="B48" t="inlineStr">
        <is>
          <t>c-006651</t>
        </is>
      </c>
      <c r="C48" t="inlineStr">
        <is>
          <t>founder_community</t>
        </is>
      </c>
      <c r="D48" s="5" t="n">
        <v>46458</v>
      </c>
      <c r="E48" t="n">
        <v>0</v>
      </c>
      <c r="F48" t="inlineStr">
        <is>
          <t>not_due</t>
        </is>
      </c>
    </row>
    <row r="49">
      <c r="A49" t="inlineStr">
        <is>
          <t>sub-000703</t>
        </is>
      </c>
      <c r="B49" t="inlineStr">
        <is>
          <t>c-007162</t>
        </is>
      </c>
      <c r="C49" t="inlineStr">
        <is>
          <t>founder_community</t>
        </is>
      </c>
      <c r="D49" s="5" t="n">
        <v>46461</v>
      </c>
      <c r="E49" t="n">
        <v>0</v>
      </c>
      <c r="F49" t="inlineStr">
        <is>
          <t>not_due</t>
        </is>
      </c>
    </row>
    <row r="50">
      <c r="A50" t="inlineStr">
        <is>
          <t>sub-000676</t>
        </is>
      </c>
      <c r="B50" t="inlineStr">
        <is>
          <t>c-006993</t>
        </is>
      </c>
      <c r="C50" t="inlineStr">
        <is>
          <t>founder_community</t>
        </is>
      </c>
      <c r="D50" s="5" t="n">
        <v>46463</v>
      </c>
      <c r="E50" t="n">
        <v>0</v>
      </c>
      <c r="F50" t="inlineStr">
        <is>
          <t>not_due</t>
        </is>
      </c>
    </row>
    <row r="51">
      <c r="A51" t="inlineStr">
        <is>
          <t>sub-000691</t>
        </is>
      </c>
      <c r="B51" t="inlineStr">
        <is>
          <t>c-007072</t>
        </is>
      </c>
      <c r="C51" t="inlineStr">
        <is>
          <t>founder_community</t>
        </is>
      </c>
      <c r="D51" s="5" t="n">
        <v>46464</v>
      </c>
      <c r="E51" t="n">
        <v>0</v>
      </c>
      <c r="F51" t="inlineStr">
        <is>
          <t>not_due</t>
        </is>
      </c>
    </row>
    <row r="52">
      <c r="A52" t="inlineStr">
        <is>
          <t>sub-000683</t>
        </is>
      </c>
      <c r="B52" t="inlineStr">
        <is>
          <t>c-007014</t>
        </is>
      </c>
      <c r="C52" t="inlineStr">
        <is>
          <t>founder_community</t>
        </is>
      </c>
      <c r="D52" s="5" t="n">
        <v>46471</v>
      </c>
      <c r="E52" t="n">
        <v>0</v>
      </c>
      <c r="F52" t="inlineStr">
        <is>
          <t>not_due</t>
        </is>
      </c>
    </row>
    <row r="53">
      <c r="A53" t="inlineStr">
        <is>
          <t>sub-000730</t>
        </is>
      </c>
      <c r="B53" t="inlineStr">
        <is>
          <t>c-007399</t>
        </is>
      </c>
      <c r="C53" t="inlineStr">
        <is>
          <t>founder_community</t>
        </is>
      </c>
      <c r="D53" s="5" t="n">
        <v>46476</v>
      </c>
      <c r="E53" t="n">
        <v>0</v>
      </c>
      <c r="F53" t="inlineStr">
        <is>
          <t>not_due</t>
        </is>
      </c>
    </row>
    <row r="54">
      <c r="A54" t="inlineStr">
        <is>
          <t>sub-000711</t>
        </is>
      </c>
      <c r="B54" t="inlineStr">
        <is>
          <t>c-007202</t>
        </is>
      </c>
      <c r="C54" t="inlineStr">
        <is>
          <t>founder_community</t>
        </is>
      </c>
      <c r="D54" s="5" t="n">
        <v>46479</v>
      </c>
      <c r="E54" t="n">
        <v>0</v>
      </c>
      <c r="F54" t="inlineStr">
        <is>
          <t>not_due</t>
        </is>
      </c>
    </row>
    <row r="55">
      <c r="A55" t="inlineStr">
        <is>
          <t>sub-000716</t>
        </is>
      </c>
      <c r="B55" t="inlineStr">
        <is>
          <t>c-007263</t>
        </is>
      </c>
      <c r="C55" t="inlineStr">
        <is>
          <t>founder_community</t>
        </is>
      </c>
      <c r="D55" s="5" t="n">
        <v>46479</v>
      </c>
      <c r="E55" t="n">
        <v>0</v>
      </c>
      <c r="F55" t="inlineStr">
        <is>
          <t>not_due</t>
        </is>
      </c>
    </row>
    <row r="56">
      <c r="A56" t="inlineStr">
        <is>
          <t>sub-000681</t>
        </is>
      </c>
      <c r="B56" t="inlineStr">
        <is>
          <t>c-007013</t>
        </is>
      </c>
      <c r="C56" t="inlineStr">
        <is>
          <t>founder_community</t>
        </is>
      </c>
      <c r="D56" s="5" t="n">
        <v>46481</v>
      </c>
      <c r="E56" t="n">
        <v>0</v>
      </c>
      <c r="F56" t="inlineStr">
        <is>
          <t>not_due</t>
        </is>
      </c>
    </row>
    <row r="57">
      <c r="A57" t="inlineStr">
        <is>
          <t>sub-000743</t>
        </is>
      </c>
      <c r="B57" t="inlineStr">
        <is>
          <t>c-007526</t>
        </is>
      </c>
      <c r="C57" t="inlineStr">
        <is>
          <t>founder_community</t>
        </is>
      </c>
      <c r="D57" s="5" t="n">
        <v>46485</v>
      </c>
      <c r="E57" t="n">
        <v>0</v>
      </c>
      <c r="F57" t="inlineStr">
        <is>
          <t>not_due</t>
        </is>
      </c>
    </row>
    <row r="58">
      <c r="A58" t="inlineStr">
        <is>
          <t>sub-000751</t>
        </is>
      </c>
      <c r="B58" t="inlineStr">
        <is>
          <t>c-007614</t>
        </is>
      </c>
      <c r="C58" t="inlineStr">
        <is>
          <t>founder_community</t>
        </is>
      </c>
      <c r="D58" s="5" t="n">
        <v>46485</v>
      </c>
      <c r="E58" t="n">
        <v>0</v>
      </c>
      <c r="F58" t="inlineStr">
        <is>
          <t>not_due</t>
        </is>
      </c>
    </row>
    <row r="59">
      <c r="A59" t="inlineStr">
        <is>
          <t>sub-000754</t>
        </is>
      </c>
      <c r="B59" t="inlineStr">
        <is>
          <t>c-007650</t>
        </is>
      </c>
      <c r="C59" t="inlineStr">
        <is>
          <t>founder_community</t>
        </is>
      </c>
      <c r="D59" s="5" t="n">
        <v>46490</v>
      </c>
      <c r="E59" t="n">
        <v>0</v>
      </c>
      <c r="F59" t="inlineStr">
        <is>
          <t>not_due</t>
        </is>
      </c>
    </row>
    <row r="60">
      <c r="A60" t="inlineStr">
        <is>
          <t>sub-000784</t>
        </is>
      </c>
      <c r="B60" t="inlineStr">
        <is>
          <t>c-007937</t>
        </is>
      </c>
      <c r="C60" t="inlineStr">
        <is>
          <t>founder_community</t>
        </is>
      </c>
      <c r="D60" s="5" t="n">
        <v>46490</v>
      </c>
      <c r="E60" t="n">
        <v>0</v>
      </c>
      <c r="F60" t="inlineStr">
        <is>
          <t>not_due</t>
        </is>
      </c>
    </row>
    <row r="61">
      <c r="A61" t="inlineStr">
        <is>
          <t>sub-000736</t>
        </is>
      </c>
      <c r="B61" t="inlineStr">
        <is>
          <t>c-007488</t>
        </is>
      </c>
      <c r="C61" t="inlineStr">
        <is>
          <t>founder_community</t>
        </is>
      </c>
      <c r="D61" s="5" t="n">
        <v>46491</v>
      </c>
      <c r="E61" t="n">
        <v>0</v>
      </c>
      <c r="F61" t="inlineStr">
        <is>
          <t>not_due</t>
        </is>
      </c>
    </row>
    <row r="62">
      <c r="A62" t="inlineStr">
        <is>
          <t>sub-000738</t>
        </is>
      </c>
      <c r="B62" t="inlineStr">
        <is>
          <t>c-007499</t>
        </is>
      </c>
      <c r="C62" t="inlineStr">
        <is>
          <t>founder_community</t>
        </is>
      </c>
      <c r="D62" s="5" t="n">
        <v>46492</v>
      </c>
      <c r="E62" t="n">
        <v>0</v>
      </c>
      <c r="F62" t="inlineStr">
        <is>
          <t>not_due</t>
        </is>
      </c>
    </row>
    <row r="63">
      <c r="A63" t="inlineStr">
        <is>
          <t>sub-000798</t>
        </is>
      </c>
      <c r="B63" t="inlineStr">
        <is>
          <t>c-008049</t>
        </is>
      </c>
      <c r="C63" t="inlineStr">
        <is>
          <t>founder_community</t>
        </is>
      </c>
      <c r="D63" s="5" t="n">
        <v>46501</v>
      </c>
      <c r="E63" t="n">
        <v>0</v>
      </c>
      <c r="F63" t="inlineStr">
        <is>
          <t>not_due</t>
        </is>
      </c>
    </row>
    <row r="64">
      <c r="A64" t="inlineStr">
        <is>
          <t>sub-000795</t>
        </is>
      </c>
      <c r="B64" t="inlineStr">
        <is>
          <t>c-008040</t>
        </is>
      </c>
      <c r="C64" t="inlineStr">
        <is>
          <t>founder_community</t>
        </is>
      </c>
      <c r="D64" s="5" t="n">
        <v>46502</v>
      </c>
      <c r="E64" t="n">
        <v>0</v>
      </c>
      <c r="F64" t="inlineStr">
        <is>
          <t>not_due</t>
        </is>
      </c>
    </row>
    <row r="65">
      <c r="A65" t="inlineStr">
        <is>
          <t>sub-000808</t>
        </is>
      </c>
      <c r="B65" t="inlineStr">
        <is>
          <t>c-008154</t>
        </is>
      </c>
      <c r="C65" t="inlineStr">
        <is>
          <t>founder_community</t>
        </is>
      </c>
      <c r="D65" s="5" t="n">
        <v>46505</v>
      </c>
      <c r="E65" t="n">
        <v>0</v>
      </c>
      <c r="F65" t="inlineStr">
        <is>
          <t>not_due</t>
        </is>
      </c>
    </row>
    <row r="66">
      <c r="A66" t="inlineStr">
        <is>
          <t>sub-000792</t>
        </is>
      </c>
      <c r="B66" t="inlineStr">
        <is>
          <t>c-008034</t>
        </is>
      </c>
      <c r="C66" t="inlineStr">
        <is>
          <t>founder_community</t>
        </is>
      </c>
      <c r="D66" s="5" t="n">
        <v>46506</v>
      </c>
      <c r="E66" t="n">
        <v>0</v>
      </c>
      <c r="F66" t="inlineStr">
        <is>
          <t>not_due</t>
        </is>
      </c>
    </row>
    <row r="67">
      <c r="A67" t="inlineStr">
        <is>
          <t>sub-000877</t>
        </is>
      </c>
      <c r="B67" t="inlineStr">
        <is>
          <t>c-008682</t>
        </is>
      </c>
      <c r="C67" t="inlineStr">
        <is>
          <t>founder_community</t>
        </is>
      </c>
      <c r="D67" s="5" t="n">
        <v>46510</v>
      </c>
      <c r="E67" t="n">
        <v>0</v>
      </c>
      <c r="F67" t="inlineStr">
        <is>
          <t>not_due</t>
        </is>
      </c>
    </row>
    <row r="68">
      <c r="A68" t="inlineStr">
        <is>
          <t>sub-000840</t>
        </is>
      </c>
      <c r="B68" t="inlineStr">
        <is>
          <t>c-008501</t>
        </is>
      </c>
      <c r="C68" t="inlineStr">
        <is>
          <t>founder_community</t>
        </is>
      </c>
      <c r="D68" s="5" t="n">
        <v>46514</v>
      </c>
      <c r="E68" t="n">
        <v>0</v>
      </c>
      <c r="F68" t="inlineStr">
        <is>
          <t>not_due</t>
        </is>
      </c>
    </row>
    <row r="69">
      <c r="A69" t="inlineStr">
        <is>
          <t>sub-000857</t>
        </is>
      </c>
      <c r="B69" t="inlineStr">
        <is>
          <t>c-008588</t>
        </is>
      </c>
      <c r="C69" t="inlineStr">
        <is>
          <t>founder_community</t>
        </is>
      </c>
      <c r="D69" s="5" t="n">
        <v>46516</v>
      </c>
      <c r="E69" t="n">
        <v>0</v>
      </c>
      <c r="F69" t="inlineStr">
        <is>
          <t>not_due</t>
        </is>
      </c>
    </row>
    <row r="70">
      <c r="A70" t="inlineStr">
        <is>
          <t>sub-000843</t>
        </is>
      </c>
      <c r="B70" t="inlineStr">
        <is>
          <t>c-008506</t>
        </is>
      </c>
      <c r="C70" t="inlineStr">
        <is>
          <t>founder_community</t>
        </is>
      </c>
      <c r="D70" s="5" t="n">
        <v>46518</v>
      </c>
      <c r="E70" t="n">
        <v>0</v>
      </c>
      <c r="F70" t="inlineStr">
        <is>
          <t>not_due</t>
        </is>
      </c>
    </row>
    <row r="71">
      <c r="A71" t="inlineStr">
        <is>
          <t>sub-000826</t>
        </is>
      </c>
      <c r="B71" t="inlineStr">
        <is>
          <t>c-008365</t>
        </is>
      </c>
      <c r="C71" t="inlineStr">
        <is>
          <t>founder_community</t>
        </is>
      </c>
      <c r="D71" s="5" t="n">
        <v>46519</v>
      </c>
      <c r="E71" t="n">
        <v>0</v>
      </c>
      <c r="F71" t="inlineStr">
        <is>
          <t>not_due</t>
        </is>
      </c>
    </row>
    <row r="72">
      <c r="A72" t="inlineStr">
        <is>
          <t>sub-000879</t>
        </is>
      </c>
      <c r="B72" t="inlineStr">
        <is>
          <t>c-008683</t>
        </is>
      </c>
      <c r="C72" t="inlineStr">
        <is>
          <t>founder_community</t>
        </is>
      </c>
      <c r="D72" s="5" t="n">
        <v>46521</v>
      </c>
      <c r="E72" t="n">
        <v>0</v>
      </c>
      <c r="F72" t="inlineStr">
        <is>
          <t>not_due</t>
        </is>
      </c>
    </row>
    <row r="73">
      <c r="A73" t="inlineStr">
        <is>
          <t>sub-000869</t>
        </is>
      </c>
      <c r="B73" t="inlineStr">
        <is>
          <t>c-008645</t>
        </is>
      </c>
      <c r="C73" t="inlineStr">
        <is>
          <t>founder_community</t>
        </is>
      </c>
      <c r="D73" s="5" t="n">
        <v>46522</v>
      </c>
      <c r="E73" t="n">
        <v>0</v>
      </c>
      <c r="F73" t="inlineStr">
        <is>
          <t>not_due</t>
        </is>
      </c>
    </row>
    <row r="74">
      <c r="A74" t="inlineStr">
        <is>
          <t>sub-000873</t>
        </is>
      </c>
      <c r="B74" t="inlineStr">
        <is>
          <t>c-008668</t>
        </is>
      </c>
      <c r="C74" t="inlineStr">
        <is>
          <t>founder_community</t>
        </is>
      </c>
      <c r="D74" s="5" t="n">
        <v>46522</v>
      </c>
      <c r="E74" t="n">
        <v>0</v>
      </c>
      <c r="F74" t="inlineStr">
        <is>
          <t>not_due</t>
        </is>
      </c>
    </row>
    <row r="75">
      <c r="A75" t="inlineStr">
        <is>
          <t>sub-000850</t>
        </is>
      </c>
      <c r="B75" t="inlineStr">
        <is>
          <t>c-008548</t>
        </is>
      </c>
      <c r="C75" t="inlineStr">
        <is>
          <t>founder_community</t>
        </is>
      </c>
      <c r="D75" s="5" t="n">
        <v>46527</v>
      </c>
      <c r="E75" t="n">
        <v>0</v>
      </c>
      <c r="F75" t="inlineStr">
        <is>
          <t>not_due</t>
        </is>
      </c>
    </row>
    <row r="76">
      <c r="A76" t="inlineStr">
        <is>
          <t>sub-000861</t>
        </is>
      </c>
      <c r="B76" t="inlineStr">
        <is>
          <t>c-008597</t>
        </is>
      </c>
      <c r="C76" t="inlineStr">
        <is>
          <t>founder_community</t>
        </is>
      </c>
      <c r="D76" s="5" t="n">
        <v>46527</v>
      </c>
      <c r="E76" t="n">
        <v>0</v>
      </c>
      <c r="F76" t="inlineStr">
        <is>
          <t>not_due</t>
        </is>
      </c>
    </row>
    <row r="77">
      <c r="A77" t="inlineStr">
        <is>
          <t>sub-000881</t>
        </is>
      </c>
      <c r="B77" t="inlineStr">
        <is>
          <t>c-008694</t>
        </is>
      </c>
      <c r="C77" t="inlineStr">
        <is>
          <t>founder_community</t>
        </is>
      </c>
      <c r="D77" s="5" t="n">
        <v>46527</v>
      </c>
      <c r="E77" t="n">
        <v>0</v>
      </c>
      <c r="F77" t="inlineStr">
        <is>
          <t>not_due</t>
        </is>
      </c>
    </row>
    <row r="78">
      <c r="A78" t="inlineStr">
        <is>
          <t>sub-000883</t>
        </is>
      </c>
      <c r="B78" t="inlineStr">
        <is>
          <t>c-008730</t>
        </is>
      </c>
      <c r="C78" t="inlineStr">
        <is>
          <t>founder_community</t>
        </is>
      </c>
      <c r="D78" s="5" t="n">
        <v>46528</v>
      </c>
      <c r="E78" t="n">
        <v>0</v>
      </c>
      <c r="F78" t="inlineStr">
        <is>
          <t>not_due</t>
        </is>
      </c>
    </row>
    <row r="79">
      <c r="A79" t="inlineStr">
        <is>
          <t>sub-000904</t>
        </is>
      </c>
      <c r="B79" t="inlineStr">
        <is>
          <t>c-008914</t>
        </is>
      </c>
      <c r="C79" t="inlineStr">
        <is>
          <t>founder_community</t>
        </is>
      </c>
      <c r="D79" s="5" t="n">
        <v>46530</v>
      </c>
      <c r="E79" t="n">
        <v>0</v>
      </c>
      <c r="F79" t="inlineStr">
        <is>
          <t>not_due</t>
        </is>
      </c>
    </row>
    <row r="80">
      <c r="A80" t="inlineStr">
        <is>
          <t>sub-000923</t>
        </is>
      </c>
      <c r="B80" t="inlineStr">
        <is>
          <t>c-009052</t>
        </is>
      </c>
      <c r="C80" t="inlineStr">
        <is>
          <t>founder_community</t>
        </is>
      </c>
      <c r="D80" s="5" t="n">
        <v>46533</v>
      </c>
      <c r="E80" t="n">
        <v>0</v>
      </c>
      <c r="F80" t="inlineStr">
        <is>
          <t>not_due</t>
        </is>
      </c>
    </row>
    <row r="81">
      <c r="A81" t="inlineStr">
        <is>
          <t>sub-000928</t>
        </is>
      </c>
      <c r="B81" t="inlineStr">
        <is>
          <t>c-009098</t>
        </is>
      </c>
      <c r="C81" t="inlineStr">
        <is>
          <t>founder_community</t>
        </is>
      </c>
      <c r="D81" s="5" t="n">
        <v>46533</v>
      </c>
      <c r="E81" t="n">
        <v>0</v>
      </c>
      <c r="F81" t="inlineStr">
        <is>
          <t>not_due</t>
        </is>
      </c>
    </row>
    <row r="82">
      <c r="A82" t="inlineStr">
        <is>
          <t>sub-000947</t>
        </is>
      </c>
      <c r="B82" t="inlineStr">
        <is>
          <t>c-009272</t>
        </is>
      </c>
      <c r="C82" t="inlineStr">
        <is>
          <t>founder_community</t>
        </is>
      </c>
      <c r="D82" s="5" t="n">
        <v>46534</v>
      </c>
      <c r="E82" t="n">
        <v>0</v>
      </c>
      <c r="F82" t="inlineStr">
        <is>
          <t>not_due</t>
        </is>
      </c>
    </row>
    <row r="83">
      <c r="A83" t="inlineStr">
        <is>
          <t>sub-000911</t>
        </is>
      </c>
      <c r="B83" t="inlineStr">
        <is>
          <t>c-008959</t>
        </is>
      </c>
      <c r="C83" t="inlineStr">
        <is>
          <t>founder_community</t>
        </is>
      </c>
      <c r="D83" s="5" t="n">
        <v>46536</v>
      </c>
      <c r="E83" t="n">
        <v>0</v>
      </c>
      <c r="F83" t="inlineStr">
        <is>
          <t>not_due</t>
        </is>
      </c>
    </row>
    <row r="84">
      <c r="A84" t="inlineStr">
        <is>
          <t>sub-000916</t>
        </is>
      </c>
      <c r="B84" t="inlineStr">
        <is>
          <t>c-008986</t>
        </is>
      </c>
      <c r="C84" t="inlineStr">
        <is>
          <t>founder_community</t>
        </is>
      </c>
      <c r="D84" s="5" t="n">
        <v>46543</v>
      </c>
      <c r="E84" t="n">
        <v>0</v>
      </c>
      <c r="F84" t="inlineStr">
        <is>
          <t>not_due</t>
        </is>
      </c>
    </row>
    <row r="85">
      <c r="A85" t="inlineStr">
        <is>
          <t>sub-000942</t>
        </is>
      </c>
      <c r="B85" t="inlineStr">
        <is>
          <t>c-009256</t>
        </is>
      </c>
      <c r="C85" t="inlineStr">
        <is>
          <t>founder_community</t>
        </is>
      </c>
      <c r="D85" s="5" t="n">
        <v>46543</v>
      </c>
      <c r="E85" t="n">
        <v>0</v>
      </c>
      <c r="F85" t="inlineStr">
        <is>
          <t>not_due</t>
        </is>
      </c>
    </row>
    <row r="86">
      <c r="A86" t="inlineStr">
        <is>
          <t>sub-000949</t>
        </is>
      </c>
      <c r="B86" t="inlineStr">
        <is>
          <t>c-009290</t>
        </is>
      </c>
      <c r="C86" t="inlineStr">
        <is>
          <t>founder_community</t>
        </is>
      </c>
      <c r="D86" s="5" t="n">
        <v>46545</v>
      </c>
      <c r="E86" t="n">
        <v>0</v>
      </c>
      <c r="F86" t="inlineStr">
        <is>
          <t>not_due</t>
        </is>
      </c>
    </row>
    <row r="87">
      <c r="A87" t="inlineStr">
        <is>
          <t>sub-000996</t>
        </is>
      </c>
      <c r="B87" t="inlineStr">
        <is>
          <t>c-009712</t>
        </is>
      </c>
      <c r="C87" t="inlineStr">
        <is>
          <t>founder_community</t>
        </is>
      </c>
      <c r="D87" s="5" t="n">
        <v>46550</v>
      </c>
      <c r="E87" t="n">
        <v>0</v>
      </c>
      <c r="F87" t="inlineStr">
        <is>
          <t>not_due</t>
        </is>
      </c>
    </row>
    <row r="88">
      <c r="A88" t="inlineStr">
        <is>
          <t>sub-000952</t>
        </is>
      </c>
      <c r="B88" t="inlineStr">
        <is>
          <t>c-009294</t>
        </is>
      </c>
      <c r="C88" t="inlineStr">
        <is>
          <t>founder_community</t>
        </is>
      </c>
      <c r="D88" s="5" t="n">
        <v>46553</v>
      </c>
      <c r="E88" t="n">
        <v>0</v>
      </c>
      <c r="F88" t="inlineStr">
        <is>
          <t>not_due</t>
        </is>
      </c>
    </row>
    <row r="89">
      <c r="A89" t="inlineStr">
        <is>
          <t>sub-000969</t>
        </is>
      </c>
      <c r="B89" t="inlineStr">
        <is>
          <t>c-009477</t>
        </is>
      </c>
      <c r="C89" t="inlineStr">
        <is>
          <t>founder_community</t>
        </is>
      </c>
      <c r="D89" s="5" t="n">
        <v>46554</v>
      </c>
      <c r="E89" t="n">
        <v>0</v>
      </c>
      <c r="F89" t="inlineStr">
        <is>
          <t>not_due</t>
        </is>
      </c>
    </row>
    <row r="90">
      <c r="A90" t="inlineStr">
        <is>
          <t>sub-001000</t>
        </is>
      </c>
      <c r="B90" t="inlineStr">
        <is>
          <t>c-009753</t>
        </is>
      </c>
      <c r="C90" t="inlineStr">
        <is>
          <t>founder_community</t>
        </is>
      </c>
      <c r="D90" s="5" t="n">
        <v>46554</v>
      </c>
      <c r="E90" t="n">
        <v>0</v>
      </c>
      <c r="F90" t="inlineStr">
        <is>
          <t>not_due</t>
        </is>
      </c>
    </row>
    <row r="91">
      <c r="A91" t="inlineStr">
        <is>
          <t>sub-000965</t>
        </is>
      </c>
      <c r="B91" t="inlineStr">
        <is>
          <t>c-009461</t>
        </is>
      </c>
      <c r="C91" t="inlineStr">
        <is>
          <t>founder_community</t>
        </is>
      </c>
      <c r="D91" s="5" t="n">
        <v>46558</v>
      </c>
      <c r="E91" t="n">
        <v>0</v>
      </c>
      <c r="F91" t="inlineStr">
        <is>
          <t>not_due</t>
        </is>
      </c>
    </row>
    <row r="92">
      <c r="A92" t="inlineStr">
        <is>
          <t>sub-000972</t>
        </is>
      </c>
      <c r="B92" t="inlineStr">
        <is>
          <t>c-009493</t>
        </is>
      </c>
      <c r="C92" t="inlineStr">
        <is>
          <t>founder_community</t>
        </is>
      </c>
      <c r="D92" s="5" t="n">
        <v>46561</v>
      </c>
      <c r="E92" t="n">
        <v>0</v>
      </c>
      <c r="F92" t="inlineStr">
        <is>
          <t>not_due</t>
        </is>
      </c>
    </row>
    <row r="93">
      <c r="A93" t="inlineStr">
        <is>
          <t>sub-001029</t>
        </is>
      </c>
      <c r="B93" t="inlineStr">
        <is>
          <t>c-010223</t>
        </is>
      </c>
      <c r="C93" t="inlineStr">
        <is>
          <t>founder_community</t>
        </is>
      </c>
      <c r="D93" s="5" t="n">
        <v>46572</v>
      </c>
      <c r="E93" t="n">
        <v>0</v>
      </c>
      <c r="F93" t="inlineStr">
        <is>
          <t>not_due</t>
        </is>
      </c>
    </row>
    <row r="94">
      <c r="A94" t="inlineStr">
        <is>
          <t>sub-001067</t>
        </is>
      </c>
      <c r="B94" t="inlineStr">
        <is>
          <t>c-010713</t>
        </is>
      </c>
      <c r="C94" t="inlineStr">
        <is>
          <t>founder_community</t>
        </is>
      </c>
      <c r="D94" s="5" t="n">
        <v>46573</v>
      </c>
      <c r="E94" t="n">
        <v>0</v>
      </c>
      <c r="F94" t="inlineStr">
        <is>
          <t>not_due</t>
        </is>
      </c>
    </row>
    <row r="95">
      <c r="A95" t="inlineStr">
        <is>
          <t>sub-001023</t>
        </is>
      </c>
      <c r="B95" t="inlineStr">
        <is>
          <t>c-010137</t>
        </is>
      </c>
      <c r="C95" t="inlineStr">
        <is>
          <t>founder_community</t>
        </is>
      </c>
      <c r="D95" s="5" t="n">
        <v>46576</v>
      </c>
      <c r="E95" t="n">
        <v>0</v>
      </c>
      <c r="F95" t="inlineStr">
        <is>
          <t>not_due</t>
        </is>
      </c>
    </row>
    <row r="96">
      <c r="A96" t="inlineStr">
        <is>
          <t>sub-001049</t>
        </is>
      </c>
      <c r="B96" t="inlineStr">
        <is>
          <t>c-010490</t>
        </is>
      </c>
      <c r="C96" t="inlineStr">
        <is>
          <t>founder_community</t>
        </is>
      </c>
      <c r="D96" s="5" t="n">
        <v>46576</v>
      </c>
      <c r="E96" t="n">
        <v>0</v>
      </c>
      <c r="F96" t="inlineStr">
        <is>
          <t>not_due</t>
        </is>
      </c>
    </row>
    <row r="97">
      <c r="A97" t="inlineStr">
        <is>
          <t>sub-001032</t>
        </is>
      </c>
      <c r="B97" t="inlineStr">
        <is>
          <t>c-010228</t>
        </is>
      </c>
      <c r="C97" t="inlineStr">
        <is>
          <t>founder_community</t>
        </is>
      </c>
      <c r="D97" s="5" t="n">
        <v>46582</v>
      </c>
      <c r="E97" t="n">
        <v>0</v>
      </c>
      <c r="F97" t="inlineStr">
        <is>
          <t>not_due</t>
        </is>
      </c>
    </row>
    <row r="98">
      <c r="A98" t="inlineStr">
        <is>
          <t>sub-001060</t>
        </is>
      </c>
      <c r="B98" t="inlineStr">
        <is>
          <t>c-010610</t>
        </is>
      </c>
      <c r="C98" t="inlineStr">
        <is>
          <t>founder_community</t>
        </is>
      </c>
      <c r="D98" s="5" t="n">
        <v>46582</v>
      </c>
      <c r="E98" t="n">
        <v>0</v>
      </c>
      <c r="F98" t="inlineStr">
        <is>
          <t>not_due</t>
        </is>
      </c>
    </row>
    <row r="99">
      <c r="A99" t="inlineStr">
        <is>
          <t>sub-001084</t>
        </is>
      </c>
      <c r="B99" t="inlineStr">
        <is>
          <t>c-010879</t>
        </is>
      </c>
      <c r="C99" t="inlineStr">
        <is>
          <t>founder_community</t>
        </is>
      </c>
      <c r="D99" s="5" t="n">
        <v>46585</v>
      </c>
      <c r="E99" t="n">
        <v>0</v>
      </c>
      <c r="F99" t="inlineStr">
        <is>
          <t>not_due</t>
        </is>
      </c>
    </row>
    <row r="100">
      <c r="A100" t="inlineStr">
        <is>
          <t>sub-000002</t>
        </is>
      </c>
      <c r="B100" t="inlineStr">
        <is>
          <t>c-000002</t>
        </is>
      </c>
      <c r="C100" t="inlineStr">
        <is>
          <t>founder_community</t>
        </is>
      </c>
      <c r="D100" s="5" t="n">
        <v>46589</v>
      </c>
      <c r="E100" t="n">
        <v>0</v>
      </c>
      <c r="F100" t="inlineStr">
        <is>
          <t>not_due</t>
        </is>
      </c>
    </row>
    <row r="101">
      <c r="A101" t="inlineStr">
        <is>
          <t>sub-001079</t>
        </is>
      </c>
      <c r="B101" t="inlineStr">
        <is>
          <t>c-010816</t>
        </is>
      </c>
      <c r="C101" t="inlineStr">
        <is>
          <t>founder_community</t>
        </is>
      </c>
      <c r="D101" s="5" t="n">
        <v>46589</v>
      </c>
      <c r="E101" t="n">
        <v>0</v>
      </c>
      <c r="F101" t="inlineStr">
        <is>
          <t>not_due</t>
        </is>
      </c>
    </row>
    <row r="102">
      <c r="A102" t="inlineStr">
        <is>
          <t>sub-001070</t>
        </is>
      </c>
      <c r="B102" t="inlineStr">
        <is>
          <t>c-010739</t>
        </is>
      </c>
      <c r="C102" t="inlineStr">
        <is>
          <t>founder_community</t>
        </is>
      </c>
      <c r="D102" s="5" t="n">
        <v>46591</v>
      </c>
      <c r="E102" t="n">
        <v>0</v>
      </c>
      <c r="F102" t="inlineStr">
        <is>
          <t>not_due</t>
        </is>
      </c>
    </row>
    <row r="103">
      <c r="A103" t="inlineStr">
        <is>
          <t>sub-001093</t>
        </is>
      </c>
      <c r="B103" t="inlineStr">
        <is>
          <t>c-010976</t>
        </is>
      </c>
      <c r="C103" t="inlineStr">
        <is>
          <t>founder_community</t>
        </is>
      </c>
      <c r="D103" s="5" t="n">
        <v>46593</v>
      </c>
      <c r="E103" t="n">
        <v>0</v>
      </c>
      <c r="F103" t="inlineStr">
        <is>
          <t>not_due</t>
        </is>
      </c>
    </row>
    <row r="104">
      <c r="A104" t="inlineStr">
        <is>
          <t>sub-001090</t>
        </is>
      </c>
      <c r="B104" t="inlineStr">
        <is>
          <t>c-010934</t>
        </is>
      </c>
      <c r="C104" t="inlineStr">
        <is>
          <t>founder_community</t>
        </is>
      </c>
      <c r="D104" s="5" t="n">
        <v>46594</v>
      </c>
      <c r="E104" t="n">
        <v>0</v>
      </c>
      <c r="F104" t="inlineStr">
        <is>
          <t>not_due</t>
        </is>
      </c>
    </row>
    <row r="105">
      <c r="A105" t="inlineStr">
        <is>
          <t>sub-000033</t>
        </is>
      </c>
      <c r="B105" t="inlineStr">
        <is>
          <t>c-000335</t>
        </is>
      </c>
      <c r="C105" t="inlineStr">
        <is>
          <t>founder_community</t>
        </is>
      </c>
      <c r="D105" s="5" t="n">
        <v>46595</v>
      </c>
      <c r="E105" t="n">
        <v>0</v>
      </c>
      <c r="F105" t="inlineStr">
        <is>
          <t>not_due</t>
        </is>
      </c>
    </row>
    <row r="106">
      <c r="A106" t="inlineStr">
        <is>
          <t>sub-000010</t>
        </is>
      </c>
      <c r="B106" t="inlineStr">
        <is>
          <t>c-000084</t>
        </is>
      </c>
      <c r="C106" t="inlineStr">
        <is>
          <t>founder_community</t>
        </is>
      </c>
      <c r="D106" s="5" t="n">
        <v>46597</v>
      </c>
      <c r="E106" t="n">
        <v>0</v>
      </c>
      <c r="F106" t="inlineStr">
        <is>
          <t>not_due</t>
        </is>
      </c>
    </row>
    <row r="107">
      <c r="A107" t="inlineStr">
        <is>
          <t>sub-001088</t>
        </is>
      </c>
      <c r="B107" t="inlineStr">
        <is>
          <t>c-010927</t>
        </is>
      </c>
      <c r="C107" t="inlineStr">
        <is>
          <t>founder_community</t>
        </is>
      </c>
      <c r="D107" s="5" t="n">
        <v>46597</v>
      </c>
      <c r="E107" t="n">
        <v>0</v>
      </c>
      <c r="F107" t="inlineStr">
        <is>
          <t>not_due</t>
        </is>
      </c>
    </row>
    <row r="108">
      <c r="A108" t="inlineStr">
        <is>
          <t>sub-000035</t>
        </is>
      </c>
      <c r="B108" t="inlineStr">
        <is>
          <t>c-000344</t>
        </is>
      </c>
      <c r="C108" t="inlineStr">
        <is>
          <t>founder_community</t>
        </is>
      </c>
      <c r="D108" s="5" t="n">
        <v>46601</v>
      </c>
      <c r="E108" t="n">
        <v>0</v>
      </c>
      <c r="F108" t="inlineStr">
        <is>
          <t>not_due</t>
        </is>
      </c>
    </row>
    <row r="109">
      <c r="A109" t="inlineStr">
        <is>
          <t>sub-001116</t>
        </is>
      </c>
      <c r="B109" t="inlineStr">
        <is>
          <t>c-011190</t>
        </is>
      </c>
      <c r="C109" t="inlineStr">
        <is>
          <t>founder_community</t>
        </is>
      </c>
      <c r="D109" s="5" t="n">
        <v>46602</v>
      </c>
      <c r="E109" t="n">
        <v>0</v>
      </c>
      <c r="F109" t="inlineStr">
        <is>
          <t>not_due</t>
        </is>
      </c>
    </row>
    <row r="110">
      <c r="A110" t="inlineStr">
        <is>
          <t>sub-001125</t>
        </is>
      </c>
      <c r="B110" t="inlineStr">
        <is>
          <t>c-011284</t>
        </is>
      </c>
      <c r="C110" t="inlineStr">
        <is>
          <t>founder_community</t>
        </is>
      </c>
      <c r="D110" s="5" t="n">
        <v>46605</v>
      </c>
      <c r="E110" t="n">
        <v>0</v>
      </c>
      <c r="F110" t="inlineStr">
        <is>
          <t>not_due</t>
        </is>
      </c>
    </row>
    <row r="111">
      <c r="A111" t="inlineStr">
        <is>
          <t>sub-001131</t>
        </is>
      </c>
      <c r="B111" t="inlineStr">
        <is>
          <t>c-011322</t>
        </is>
      </c>
      <c r="C111" t="inlineStr">
        <is>
          <t>founder_community</t>
        </is>
      </c>
      <c r="D111" s="5" t="n">
        <v>46605</v>
      </c>
      <c r="E111" t="n">
        <v>0</v>
      </c>
      <c r="F111" t="inlineStr">
        <is>
          <t>not_due</t>
        </is>
      </c>
    </row>
    <row r="112">
      <c r="A112" t="inlineStr">
        <is>
          <t>sub-001128</t>
        </is>
      </c>
      <c r="B112" t="inlineStr">
        <is>
          <t>c-011301</t>
        </is>
      </c>
      <c r="C112" t="inlineStr">
        <is>
          <t>founder_community</t>
        </is>
      </c>
      <c r="D112" s="5" t="n">
        <v>46607</v>
      </c>
      <c r="E112" t="n">
        <v>0</v>
      </c>
      <c r="F112" t="inlineStr">
        <is>
          <t>not_due</t>
        </is>
      </c>
    </row>
    <row r="113">
      <c r="A113" t="inlineStr">
        <is>
          <t>sub-001095</t>
        </is>
      </c>
      <c r="B113" t="inlineStr">
        <is>
          <t>c-011002</t>
        </is>
      </c>
      <c r="C113" t="inlineStr">
        <is>
          <t>founder_community</t>
        </is>
      </c>
      <c r="D113" s="5" t="n">
        <v>46612</v>
      </c>
      <c r="E113" t="n">
        <v>0</v>
      </c>
      <c r="F113" t="inlineStr">
        <is>
          <t>not_due</t>
        </is>
      </c>
    </row>
    <row r="114">
      <c r="A114" t="inlineStr">
        <is>
          <t>sub-001142</t>
        </is>
      </c>
      <c r="B114" t="inlineStr">
        <is>
          <t>c-011444</t>
        </is>
      </c>
      <c r="C114" t="inlineStr">
        <is>
          <t>founder_community</t>
        </is>
      </c>
      <c r="D114" s="5" t="n">
        <v>46613</v>
      </c>
      <c r="E114" t="n">
        <v>0</v>
      </c>
      <c r="F114" t="inlineStr">
        <is>
          <t>not_due</t>
        </is>
      </c>
    </row>
    <row r="115">
      <c r="A115" t="inlineStr">
        <is>
          <t>sub-001175</t>
        </is>
      </c>
      <c r="B115" t="inlineStr">
        <is>
          <t>c-011701</t>
        </is>
      </c>
      <c r="C115" t="inlineStr">
        <is>
          <t>founder_community</t>
        </is>
      </c>
      <c r="D115" s="5" t="n">
        <v>46614</v>
      </c>
      <c r="E115" t="n">
        <v>0</v>
      </c>
      <c r="F115" t="inlineStr">
        <is>
          <t>not_due</t>
        </is>
      </c>
    </row>
    <row r="116">
      <c r="A116" t="inlineStr">
        <is>
          <t>sub-000071</t>
        </is>
      </c>
      <c r="B116" t="inlineStr">
        <is>
          <t>c-000830</t>
        </is>
      </c>
      <c r="C116" t="inlineStr">
        <is>
          <t>founder_community</t>
        </is>
      </c>
      <c r="D116" s="5" t="n">
        <v>46617</v>
      </c>
      <c r="E116" t="n">
        <v>0</v>
      </c>
      <c r="F116" t="inlineStr">
        <is>
          <t>not_due</t>
        </is>
      </c>
    </row>
    <row r="117">
      <c r="A117" t="inlineStr">
        <is>
          <t>sub-000083</t>
        </is>
      </c>
      <c r="B117" t="inlineStr">
        <is>
          <t>c-001010</t>
        </is>
      </c>
      <c r="C117" t="inlineStr">
        <is>
          <t>founder_community</t>
        </is>
      </c>
      <c r="D117" s="5" t="n">
        <v>46618</v>
      </c>
      <c r="E117" t="n">
        <v>0</v>
      </c>
      <c r="F117" t="inlineStr">
        <is>
          <t>not_due</t>
        </is>
      </c>
    </row>
    <row r="118">
      <c r="A118" t="inlineStr">
        <is>
          <t>sub-001136</t>
        </is>
      </c>
      <c r="B118" t="inlineStr">
        <is>
          <t>c-011398</t>
        </is>
      </c>
      <c r="C118" t="inlineStr">
        <is>
          <t>founder_community</t>
        </is>
      </c>
      <c r="D118" s="5" t="n">
        <v>46618</v>
      </c>
      <c r="E118" t="n">
        <v>0</v>
      </c>
      <c r="F118" t="inlineStr">
        <is>
          <t>not_due</t>
        </is>
      </c>
    </row>
    <row r="119">
      <c r="A119" t="inlineStr">
        <is>
          <t>sub-001208</t>
        </is>
      </c>
      <c r="B119" t="inlineStr">
        <is>
          <t>c-012020</t>
        </is>
      </c>
      <c r="C119" t="inlineStr">
        <is>
          <t>founder_community</t>
        </is>
      </c>
      <c r="D119" s="5" t="n">
        <v>46624</v>
      </c>
      <c r="E119" t="n">
        <v>0</v>
      </c>
      <c r="F119" t="inlineStr">
        <is>
          <t>not_due</t>
        </is>
      </c>
    </row>
    <row r="120">
      <c r="A120" t="inlineStr">
        <is>
          <t>sub-000110</t>
        </is>
      </c>
      <c r="B120" t="inlineStr">
        <is>
          <t>c-001216</t>
        </is>
      </c>
      <c r="C120" t="inlineStr">
        <is>
          <t>founder_community</t>
        </is>
      </c>
      <c r="D120" s="5" t="n">
        <v>46625</v>
      </c>
      <c r="E120" t="n">
        <v>0</v>
      </c>
      <c r="F120" t="inlineStr">
        <is>
          <t>not_due</t>
        </is>
      </c>
    </row>
    <row r="121">
      <c r="A121" t="inlineStr">
        <is>
          <t>sub-000073</t>
        </is>
      </c>
      <c r="B121" t="inlineStr">
        <is>
          <t>c-000839</t>
        </is>
      </c>
      <c r="C121" t="inlineStr">
        <is>
          <t>founder_community</t>
        </is>
      </c>
      <c r="D121" s="5" t="n">
        <v>46626</v>
      </c>
      <c r="E121" t="n">
        <v>0</v>
      </c>
      <c r="F121" t="inlineStr">
        <is>
          <t>not_due</t>
        </is>
      </c>
    </row>
    <row r="122">
      <c r="A122" t="inlineStr">
        <is>
          <t>sub-001167</t>
        </is>
      </c>
      <c r="B122" t="inlineStr">
        <is>
          <t>c-011648</t>
        </is>
      </c>
      <c r="C122" t="inlineStr">
        <is>
          <t>founder_community</t>
        </is>
      </c>
      <c r="D122" s="5" t="n">
        <v>46628</v>
      </c>
      <c r="E122" t="n">
        <v>0</v>
      </c>
      <c r="F122" t="inlineStr">
        <is>
          <t>not_due</t>
        </is>
      </c>
    </row>
    <row r="123">
      <c r="A123" t="inlineStr">
        <is>
          <t>sub-001202</t>
        </is>
      </c>
      <c r="B123" t="inlineStr">
        <is>
          <t>c-011978</t>
        </is>
      </c>
      <c r="C123" t="inlineStr">
        <is>
          <t>founder_community</t>
        </is>
      </c>
      <c r="D123" s="5" t="n">
        <v>46629</v>
      </c>
      <c r="E123" t="n">
        <v>0</v>
      </c>
      <c r="F123" t="inlineStr">
        <is>
          <t>not_due</t>
        </is>
      </c>
    </row>
    <row r="124">
      <c r="A124" t="inlineStr">
        <is>
          <t>sub-000068</t>
        </is>
      </c>
      <c r="B124" t="inlineStr">
        <is>
          <t>c-000789</t>
        </is>
      </c>
      <c r="C124" t="inlineStr">
        <is>
          <t>founder_community</t>
        </is>
      </c>
      <c r="D124" s="5" t="n">
        <v>46632</v>
      </c>
      <c r="E124" t="n">
        <v>0</v>
      </c>
      <c r="F124" t="inlineStr">
        <is>
          <t>not_due</t>
        </is>
      </c>
    </row>
    <row r="125">
      <c r="A125" t="inlineStr">
        <is>
          <t>sub-000085</t>
        </is>
      </c>
      <c r="B125" t="inlineStr">
        <is>
          <t>c-001023</t>
        </is>
      </c>
      <c r="C125" t="inlineStr">
        <is>
          <t>founder_community</t>
        </is>
      </c>
      <c r="D125" s="5" t="n">
        <v>46635</v>
      </c>
      <c r="E125" t="n">
        <v>0</v>
      </c>
      <c r="F125" t="inlineStr">
        <is>
          <t>not_due</t>
        </is>
      </c>
    </row>
    <row r="126">
      <c r="A126" t="inlineStr">
        <is>
          <t>sub-001219</t>
        </is>
      </c>
      <c r="B126" t="inlineStr">
        <is>
          <t>c-012174</t>
        </is>
      </c>
      <c r="C126" t="inlineStr">
        <is>
          <t>founder_community</t>
        </is>
      </c>
      <c r="D126" s="5" t="n">
        <v>46636</v>
      </c>
      <c r="E126" t="n">
        <v>0</v>
      </c>
      <c r="F126" t="inlineStr">
        <is>
          <t>not_due</t>
        </is>
      </c>
    </row>
    <row r="127">
      <c r="A127" t="inlineStr">
        <is>
          <t>sub-001226</t>
        </is>
      </c>
      <c r="B127" t="inlineStr">
        <is>
          <t>c-012233</t>
        </is>
      </c>
      <c r="C127" t="inlineStr">
        <is>
          <t>founder_community</t>
        </is>
      </c>
      <c r="D127" s="5" t="n">
        <v>46636</v>
      </c>
      <c r="E127" t="n">
        <v>0</v>
      </c>
      <c r="F127" t="inlineStr">
        <is>
          <t>not_due</t>
        </is>
      </c>
    </row>
    <row r="128">
      <c r="A128" t="inlineStr">
        <is>
          <t>sub-001234</t>
        </is>
      </c>
      <c r="B128" t="inlineStr">
        <is>
          <t>c-012321</t>
        </is>
      </c>
      <c r="C128" t="inlineStr">
        <is>
          <t>founder_community</t>
        </is>
      </c>
      <c r="D128" s="5" t="n">
        <v>46637</v>
      </c>
      <c r="E128" t="n">
        <v>0</v>
      </c>
      <c r="F128" t="inlineStr">
        <is>
          <t>not_due</t>
        </is>
      </c>
    </row>
    <row r="129">
      <c r="A129" t="inlineStr">
        <is>
          <t>sub-001229</t>
        </is>
      </c>
      <c r="B129" t="inlineStr">
        <is>
          <t>c-012239</t>
        </is>
      </c>
      <c r="C129" t="inlineStr">
        <is>
          <t>founder_community</t>
        </is>
      </c>
      <c r="D129" s="5" t="n">
        <v>46638</v>
      </c>
      <c r="E129" t="n">
        <v>0</v>
      </c>
      <c r="F129" t="inlineStr">
        <is>
          <t>not_due</t>
        </is>
      </c>
    </row>
    <row r="130">
      <c r="A130" t="inlineStr">
        <is>
          <t>sub-000133</t>
        </is>
      </c>
      <c r="B130" t="inlineStr">
        <is>
          <t>c-001473</t>
        </is>
      </c>
      <c r="C130" t="inlineStr">
        <is>
          <t>founder_community</t>
        </is>
      </c>
      <c r="D130" s="5" t="n">
        <v>46640</v>
      </c>
      <c r="E130" t="n">
        <v>0</v>
      </c>
      <c r="F130" t="inlineStr">
        <is>
          <t>not_due</t>
        </is>
      </c>
    </row>
    <row r="131">
      <c r="A131" t="inlineStr">
        <is>
          <t>sub-001260</t>
        </is>
      </c>
      <c r="B131" t="inlineStr">
        <is>
          <t>c-012753</t>
        </is>
      </c>
      <c r="C131" t="inlineStr">
        <is>
          <t>founder_community</t>
        </is>
      </c>
      <c r="D131" s="5" t="n">
        <v>46642</v>
      </c>
      <c r="E131" t="n">
        <v>0</v>
      </c>
      <c r="F131" t="inlineStr">
        <is>
          <t>not_due</t>
        </is>
      </c>
    </row>
    <row r="132">
      <c r="A132" t="inlineStr">
        <is>
          <t>sub-000102</t>
        </is>
      </c>
      <c r="B132" t="inlineStr">
        <is>
          <t>c-001124</t>
        </is>
      </c>
      <c r="C132" t="inlineStr">
        <is>
          <t>founder_community</t>
        </is>
      </c>
      <c r="D132" s="5" t="n">
        <v>46643</v>
      </c>
      <c r="E132" t="n">
        <v>0</v>
      </c>
      <c r="F132" t="inlineStr">
        <is>
          <t>not_due</t>
        </is>
      </c>
    </row>
    <row r="133">
      <c r="A133" t="inlineStr">
        <is>
          <t>sub-000164</t>
        </is>
      </c>
      <c r="B133" t="inlineStr">
        <is>
          <t>c-001749</t>
        </is>
      </c>
      <c r="C133" t="inlineStr">
        <is>
          <t>founder_community</t>
        </is>
      </c>
      <c r="D133" s="5" t="n">
        <v>46645</v>
      </c>
      <c r="E133" t="n">
        <v>0</v>
      </c>
      <c r="F133" t="inlineStr">
        <is>
          <t>not_due</t>
        </is>
      </c>
    </row>
    <row r="134">
      <c r="A134" t="inlineStr">
        <is>
          <t>sub-001286</t>
        </is>
      </c>
      <c r="B134" t="inlineStr">
        <is>
          <t>c-013135</t>
        </is>
      </c>
      <c r="C134" t="inlineStr">
        <is>
          <t>founder_community</t>
        </is>
      </c>
      <c r="D134" s="5" t="n">
        <v>46645</v>
      </c>
      <c r="E134" t="n">
        <v>0</v>
      </c>
      <c r="F134" t="inlineStr">
        <is>
          <t>not_due</t>
        </is>
      </c>
    </row>
    <row r="135">
      <c r="A135" t="inlineStr">
        <is>
          <t>sub-000158</t>
        </is>
      </c>
      <c r="B135" t="inlineStr">
        <is>
          <t>c-001738</t>
        </is>
      </c>
      <c r="C135" t="inlineStr">
        <is>
          <t>founder_community</t>
        </is>
      </c>
      <c r="D135" s="5" t="n">
        <v>46646</v>
      </c>
      <c r="E135" t="n">
        <v>0</v>
      </c>
      <c r="F135" t="inlineStr">
        <is>
          <t>not_due</t>
        </is>
      </c>
    </row>
    <row r="136">
      <c r="A136" t="inlineStr">
        <is>
          <t>sub-001302</t>
        </is>
      </c>
      <c r="B136" t="inlineStr">
        <is>
          <t>c-013384</t>
        </is>
      </c>
      <c r="C136" t="inlineStr">
        <is>
          <t>founder_community</t>
        </is>
      </c>
      <c r="D136" s="5" t="n">
        <v>46647</v>
      </c>
      <c r="E136" t="n">
        <v>0</v>
      </c>
      <c r="F136" t="inlineStr">
        <is>
          <t>not_due</t>
        </is>
      </c>
    </row>
    <row r="137">
      <c r="A137" t="inlineStr">
        <is>
          <t>sub-000160</t>
        </is>
      </c>
      <c r="B137" t="inlineStr">
        <is>
          <t>c-001739</t>
        </is>
      </c>
      <c r="C137" t="inlineStr">
        <is>
          <t>founder_community</t>
        </is>
      </c>
      <c r="D137" s="5" t="n">
        <v>46649</v>
      </c>
      <c r="E137" t="n">
        <v>0</v>
      </c>
      <c r="F137" t="inlineStr">
        <is>
          <t>not_due</t>
        </is>
      </c>
    </row>
    <row r="138">
      <c r="A138" t="inlineStr">
        <is>
          <t>sub-001324</t>
        </is>
      </c>
      <c r="B138" t="inlineStr">
        <is>
          <t>c-013660</t>
        </is>
      </c>
      <c r="C138" t="inlineStr">
        <is>
          <t>founder_community</t>
        </is>
      </c>
      <c r="D138" s="5" t="n">
        <v>46649</v>
      </c>
      <c r="E138" t="n">
        <v>0</v>
      </c>
      <c r="F138" t="inlineStr">
        <is>
          <t>not_due</t>
        </is>
      </c>
    </row>
    <row r="139">
      <c r="A139" t="inlineStr">
        <is>
          <t>sub-000122</t>
        </is>
      </c>
      <c r="B139" t="inlineStr">
        <is>
          <t>c-001387</t>
        </is>
      </c>
      <c r="C139" t="inlineStr">
        <is>
          <t>founder_community</t>
        </is>
      </c>
      <c r="D139" s="5" t="n">
        <v>46651</v>
      </c>
      <c r="E139" t="n">
        <v>0</v>
      </c>
      <c r="F139" t="inlineStr">
        <is>
          <t>not_due</t>
        </is>
      </c>
    </row>
    <row r="140">
      <c r="A140" t="inlineStr">
        <is>
          <t>sub-000146</t>
        </is>
      </c>
      <c r="B140" t="inlineStr">
        <is>
          <t>c-001607</t>
        </is>
      </c>
      <c r="C140" t="inlineStr">
        <is>
          <t>founder_community</t>
        </is>
      </c>
      <c r="D140" s="5" t="n">
        <v>46651</v>
      </c>
      <c r="E140" t="n">
        <v>0</v>
      </c>
      <c r="F140" t="inlineStr">
        <is>
          <t>not_due</t>
        </is>
      </c>
    </row>
    <row r="141">
      <c r="A141" t="inlineStr">
        <is>
          <t>sub-001273</t>
        </is>
      </c>
      <c r="B141" t="inlineStr">
        <is>
          <t>c-012866</t>
        </is>
      </c>
      <c r="C141" t="inlineStr">
        <is>
          <t>founder_community</t>
        </is>
      </c>
      <c r="D141" s="5" t="n">
        <v>46652</v>
      </c>
      <c r="E141" t="n">
        <v>0</v>
      </c>
      <c r="F141" t="inlineStr">
        <is>
          <t>not_due</t>
        </is>
      </c>
    </row>
    <row r="142">
      <c r="A142" t="inlineStr">
        <is>
          <t>sub-001306</t>
        </is>
      </c>
      <c r="B142" t="inlineStr">
        <is>
          <t>c-013401</t>
        </is>
      </c>
      <c r="C142" t="inlineStr">
        <is>
          <t>founder_community</t>
        </is>
      </c>
      <c r="D142" s="5" t="n">
        <v>46652</v>
      </c>
      <c r="E142" t="n">
        <v>0</v>
      </c>
      <c r="F142" t="inlineStr">
        <is>
          <t>not_due</t>
        </is>
      </c>
    </row>
    <row r="143">
      <c r="A143" t="inlineStr">
        <is>
          <t>sub-001298</t>
        </is>
      </c>
      <c r="B143" t="inlineStr">
        <is>
          <t>c-013274</t>
        </is>
      </c>
      <c r="C143" t="inlineStr">
        <is>
          <t>founder_community</t>
        </is>
      </c>
      <c r="D143" s="5" t="n">
        <v>46653</v>
      </c>
      <c r="E143" t="n">
        <v>0</v>
      </c>
      <c r="F143" t="inlineStr">
        <is>
          <t>not_due</t>
        </is>
      </c>
    </row>
    <row r="144">
      <c r="A144" t="inlineStr">
        <is>
          <t>sub-000154</t>
        </is>
      </c>
      <c r="B144" t="inlineStr">
        <is>
          <t>c-001698</t>
        </is>
      </c>
      <c r="C144" t="inlineStr">
        <is>
          <t>founder_community</t>
        </is>
      </c>
      <c r="D144" s="5" t="n">
        <v>46654</v>
      </c>
      <c r="E144" t="n">
        <v>0</v>
      </c>
      <c r="F144" t="inlineStr">
        <is>
          <t>not_due</t>
        </is>
      </c>
    </row>
    <row r="145">
      <c r="A145" t="inlineStr">
        <is>
          <t>sub-000198</t>
        </is>
      </c>
      <c r="B145" t="inlineStr">
        <is>
          <t>c-002110</t>
        </is>
      </c>
      <c r="C145" t="inlineStr">
        <is>
          <t>founder_community</t>
        </is>
      </c>
      <c r="D145" s="5" t="n">
        <v>46654</v>
      </c>
      <c r="E145" t="n">
        <v>0</v>
      </c>
      <c r="F145" t="inlineStr">
        <is>
          <t>not_due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F145"/>
  <pageMargins left="0.75" right="0.75" top="1" bottom="1" header="0.5" footer="0.5"/>
  <pageSetup orientation="landscape" fitToHeight="0" fitToWidth="1"/>
  <headerFooter>
    <oddHeader/>
    <oddFooter>&amp;LGrowthOps OS · synthetic data&amp;R&amp;A · page 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A0A09C"/>
    <outlinePr summaryBelow="1" summaryRight="1"/>
    <pageSetUpPr fitToPage="1"/>
  </sheetPr>
  <dimension ref="A1:J24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3" customWidth="1" min="4" max="4"/>
    <col width="13" customWidth="1" min="5" max="5"/>
    <col width="12" customWidth="1" min="6" max="6"/>
    <col width="12" customWidth="1" min="7" max="7"/>
    <col width="12" customWidth="1" min="8" max="8"/>
    <col width="14" customWidth="1" min="9" max="9"/>
    <col width="18" customWidth="1" min="10" max="10"/>
  </cols>
  <sheetData>
    <row r="1">
      <c r="A1" s="35" t="inlineStr">
        <is>
          <t>day</t>
        </is>
      </c>
      <c r="B1" s="35" t="inlineStr">
        <is>
          <t>campaign_id</t>
        </is>
      </c>
      <c r="C1" s="35" t="inlineStr">
        <is>
          <t>platform</t>
        </is>
      </c>
      <c r="D1" s="35" t="inlineStr">
        <is>
          <t>spend_cents</t>
        </is>
      </c>
      <c r="E1" s="35" t="inlineStr">
        <is>
          <t>impressions</t>
        </is>
      </c>
      <c r="F1" s="35" t="inlineStr">
        <is>
          <t>clicks</t>
        </is>
      </c>
      <c r="G1" s="35" t="inlineStr">
        <is>
          <t>leads</t>
        </is>
      </c>
      <c r="H1" s="35" t="inlineStr">
        <is>
          <t>mqls</t>
        </is>
      </c>
      <c r="I1" s="35" t="inlineStr">
        <is>
          <t>calls_booked</t>
        </is>
      </c>
      <c r="J1" s="35" t="inlineStr">
        <is>
          <t>closed_won_deals</t>
        </is>
      </c>
    </row>
    <row r="2">
      <c r="A2" s="13" t="n">
        <v>45839</v>
      </c>
      <c r="B2" s="2" t="inlineStr">
        <is>
          <t>FB-Broad</t>
        </is>
      </c>
      <c r="C2" s="2" t="inlineStr">
        <is>
          <t>meta</t>
        </is>
      </c>
      <c r="D2" s="2" t="n">
        <v>17820</v>
      </c>
      <c r="E2" s="2" t="n">
        <v>12728</v>
      </c>
      <c r="F2" s="2" t="n">
        <v>144</v>
      </c>
      <c r="G2" s="2" t="n">
        <v>3</v>
      </c>
      <c r="H2" s="2" t="n">
        <v>0</v>
      </c>
      <c r="I2" s="2" t="n">
        <v>0</v>
      </c>
      <c r="J2" s="2" t="n">
        <v>0</v>
      </c>
    </row>
    <row r="3">
      <c r="A3" s="5" t="n">
        <v>45839</v>
      </c>
      <c r="B3" t="inlineStr">
        <is>
          <t>google_brand_search</t>
        </is>
      </c>
      <c r="C3" t="inlineStr">
        <is>
          <t>google</t>
        </is>
      </c>
      <c r="D3" t="n">
        <v>6487</v>
      </c>
      <c r="E3" t="n">
        <v>1351</v>
      </c>
      <c r="F3" t="n">
        <v>79</v>
      </c>
      <c r="G3" t="n">
        <v>3</v>
      </c>
      <c r="H3" t="n">
        <v>0</v>
      </c>
      <c r="I3" t="n">
        <v>0</v>
      </c>
      <c r="J3" t="n">
        <v>0</v>
      </c>
    </row>
    <row r="4">
      <c r="A4" s="5" t="n">
        <v>45839</v>
      </c>
      <c r="B4" t="inlineStr">
        <is>
          <t>google_nonbrand_growth</t>
        </is>
      </c>
      <c r="C4" t="inlineStr">
        <is>
          <t>google</t>
        </is>
      </c>
      <c r="D4" t="n">
        <v>23409</v>
      </c>
      <c r="E4" t="n">
        <v>4876</v>
      </c>
      <c r="F4" t="n">
        <v>258</v>
      </c>
      <c r="G4" t="n">
        <v>9</v>
      </c>
      <c r="H4" t="n">
        <v>0</v>
      </c>
      <c r="I4" t="n">
        <v>0</v>
      </c>
      <c r="J4" t="n">
        <v>0</v>
      </c>
    </row>
    <row r="5">
      <c r="A5" s="5" t="n">
        <v>45839</v>
      </c>
      <c r="B5" t="inlineStr">
        <is>
          <t>meta_prospecting_founder</t>
        </is>
      </c>
      <c r="C5" t="inlineStr">
        <is>
          <t>meta</t>
        </is>
      </c>
      <c r="D5" t="n">
        <v>32339</v>
      </c>
      <c r="E5" t="n">
        <v>23099</v>
      </c>
      <c r="F5" t="n">
        <v>225</v>
      </c>
      <c r="G5" t="n">
        <v>6</v>
      </c>
      <c r="H5" t="n">
        <v>0</v>
      </c>
      <c r="I5" t="n">
        <v>0</v>
      </c>
      <c r="J5" t="n">
        <v>0</v>
      </c>
    </row>
    <row r="6">
      <c r="A6" s="5" t="n">
        <v>45839</v>
      </c>
      <c r="B6" t="inlineStr">
        <is>
          <t>meta_retargeting_webinar</t>
        </is>
      </c>
      <c r="C6" t="inlineStr">
        <is>
          <t>meta</t>
        </is>
      </c>
      <c r="D6" t="n">
        <v>9887</v>
      </c>
      <c r="E6" t="n">
        <v>7062</v>
      </c>
      <c r="F6" t="n">
        <v>70</v>
      </c>
      <c r="G6" t="n">
        <v>0</v>
      </c>
      <c r="H6" t="n">
        <v>0</v>
      </c>
      <c r="I6" t="n">
        <v>0</v>
      </c>
      <c r="J6" t="n">
        <v>0</v>
      </c>
    </row>
    <row r="7">
      <c r="A7" s="5" t="n">
        <v>45840</v>
      </c>
      <c r="B7" t="inlineStr">
        <is>
          <t>FB-Broad</t>
        </is>
      </c>
      <c r="C7" t="inlineStr">
        <is>
          <t>meta</t>
        </is>
      </c>
      <c r="D7" t="n">
        <v>15706</v>
      </c>
      <c r="E7" t="n">
        <v>11218</v>
      </c>
      <c r="F7" t="n">
        <v>119</v>
      </c>
      <c r="G7" t="n">
        <v>4</v>
      </c>
      <c r="H7" t="n">
        <v>0</v>
      </c>
      <c r="I7" t="n">
        <v>0</v>
      </c>
      <c r="J7" t="n">
        <v>0</v>
      </c>
    </row>
    <row r="8">
      <c r="A8" s="5" t="n">
        <v>45840</v>
      </c>
      <c r="B8" t="inlineStr">
        <is>
          <t>google_brand_search</t>
        </is>
      </c>
      <c r="C8" t="inlineStr">
        <is>
          <t>google</t>
        </is>
      </c>
      <c r="D8" t="n">
        <v>6167</v>
      </c>
      <c r="E8" t="n">
        <v>1284</v>
      </c>
      <c r="F8" t="n">
        <v>57</v>
      </c>
      <c r="G8" t="n">
        <v>2</v>
      </c>
      <c r="H8" t="n">
        <v>1</v>
      </c>
      <c r="I8" t="n">
        <v>0</v>
      </c>
      <c r="J8" t="n">
        <v>0</v>
      </c>
    </row>
    <row r="9">
      <c r="A9" s="5" t="n">
        <v>45840</v>
      </c>
      <c r="B9" t="inlineStr">
        <is>
          <t>google_nonbrand_growth</t>
        </is>
      </c>
      <c r="C9" t="inlineStr">
        <is>
          <t>google</t>
        </is>
      </c>
      <c r="D9" t="n">
        <v>20772</v>
      </c>
      <c r="E9" t="n">
        <v>4327</v>
      </c>
      <c r="F9" t="n">
        <v>196</v>
      </c>
      <c r="G9" t="n">
        <v>3</v>
      </c>
      <c r="H9" t="n">
        <v>2</v>
      </c>
      <c r="I9" t="n">
        <v>0</v>
      </c>
      <c r="J9" t="n">
        <v>0</v>
      </c>
    </row>
    <row r="10">
      <c r="A10" s="5" t="n">
        <v>45840</v>
      </c>
      <c r="B10" t="inlineStr">
        <is>
          <t>meta_prospecting_founder</t>
        </is>
      </c>
      <c r="C10" t="inlineStr">
        <is>
          <t>meta</t>
        </is>
      </c>
      <c r="D10" t="n">
        <v>31902</v>
      </c>
      <c r="E10" t="n">
        <v>22787</v>
      </c>
      <c r="F10" t="n">
        <v>242</v>
      </c>
      <c r="G10" t="n">
        <v>10</v>
      </c>
      <c r="H10" t="n">
        <v>1</v>
      </c>
      <c r="I10" t="n">
        <v>0</v>
      </c>
      <c r="J10" t="n">
        <v>0</v>
      </c>
    </row>
    <row r="11">
      <c r="A11" s="5" t="n">
        <v>45840</v>
      </c>
      <c r="B11" t="inlineStr">
        <is>
          <t>meta_retargeting_webinar</t>
        </is>
      </c>
      <c r="C11" t="inlineStr">
        <is>
          <t>meta</t>
        </is>
      </c>
      <c r="D11" t="n">
        <v>9981</v>
      </c>
      <c r="E11" t="n">
        <v>7129</v>
      </c>
      <c r="F11" t="n">
        <v>83</v>
      </c>
      <c r="G11" t="n">
        <v>2</v>
      </c>
      <c r="H11" t="n">
        <v>0</v>
      </c>
      <c r="I11" t="n">
        <v>0</v>
      </c>
      <c r="J11" t="n">
        <v>0</v>
      </c>
    </row>
    <row r="12">
      <c r="A12" s="5" t="n">
        <v>45841</v>
      </c>
      <c r="B12" t="inlineStr">
        <is>
          <t>FB-Broad</t>
        </is>
      </c>
      <c r="C12" t="inlineStr">
        <is>
          <t>meta</t>
        </is>
      </c>
      <c r="D12" t="n">
        <v>16949</v>
      </c>
      <c r="E12" t="n">
        <v>12106</v>
      </c>
      <c r="F12" t="n">
        <v>136</v>
      </c>
      <c r="G12" t="n">
        <v>2</v>
      </c>
      <c r="H12" t="n">
        <v>0</v>
      </c>
      <c r="I12" t="n">
        <v>0</v>
      </c>
      <c r="J12" t="n">
        <v>0</v>
      </c>
    </row>
    <row r="13">
      <c r="A13" s="5" t="n">
        <v>45841</v>
      </c>
      <c r="B13" t="inlineStr">
        <is>
          <t>google_brand_search</t>
        </is>
      </c>
      <c r="C13" t="inlineStr">
        <is>
          <t>google</t>
        </is>
      </c>
      <c r="D13" t="n">
        <v>6692</v>
      </c>
      <c r="E13" t="n">
        <v>1394</v>
      </c>
      <c r="F13" t="n">
        <v>64</v>
      </c>
      <c r="G13" t="n">
        <v>2</v>
      </c>
      <c r="H13" t="n">
        <v>2</v>
      </c>
      <c r="I13" t="n">
        <v>0</v>
      </c>
      <c r="J13" t="n">
        <v>0</v>
      </c>
    </row>
    <row r="14">
      <c r="A14" s="5" t="n">
        <v>45841</v>
      </c>
      <c r="B14" t="inlineStr">
        <is>
          <t>google_nonbrand_growth</t>
        </is>
      </c>
      <c r="C14" t="inlineStr">
        <is>
          <t>google</t>
        </is>
      </c>
      <c r="D14" t="n">
        <v>22119</v>
      </c>
      <c r="E14" t="n">
        <v>4608</v>
      </c>
      <c r="F14" t="n">
        <v>257</v>
      </c>
      <c r="G14" t="n">
        <v>7</v>
      </c>
      <c r="H14" t="n">
        <v>2</v>
      </c>
      <c r="I14" t="n">
        <v>0</v>
      </c>
      <c r="J14" t="n">
        <v>0</v>
      </c>
    </row>
    <row r="15">
      <c r="A15" s="5" t="n">
        <v>45841</v>
      </c>
      <c r="B15" t="inlineStr">
        <is>
          <t>meta_prospecting_founder</t>
        </is>
      </c>
      <c r="C15" t="inlineStr">
        <is>
          <t>meta</t>
        </is>
      </c>
      <c r="D15" t="n">
        <v>32390</v>
      </c>
      <c r="E15" t="n">
        <v>23135</v>
      </c>
      <c r="F15" t="n">
        <v>287</v>
      </c>
      <c r="G15" t="n">
        <v>11</v>
      </c>
      <c r="H15" t="n">
        <v>4</v>
      </c>
      <c r="I15" t="n">
        <v>0</v>
      </c>
      <c r="J15" t="n">
        <v>0</v>
      </c>
    </row>
    <row r="16">
      <c r="A16" s="5" t="n">
        <v>45841</v>
      </c>
      <c r="B16" t="inlineStr">
        <is>
          <t>meta_retargeting_webinar</t>
        </is>
      </c>
      <c r="C16" t="inlineStr">
        <is>
          <t>meta</t>
        </is>
      </c>
      <c r="D16" t="n">
        <v>8938</v>
      </c>
      <c r="E16" t="n">
        <v>6384</v>
      </c>
      <c r="F16" t="n">
        <v>71</v>
      </c>
      <c r="G16" t="n">
        <v>6</v>
      </c>
      <c r="H16" t="n">
        <v>0</v>
      </c>
      <c r="I16" t="n">
        <v>0</v>
      </c>
      <c r="J16" t="n">
        <v>0</v>
      </c>
    </row>
    <row r="17">
      <c r="A17" s="5" t="n">
        <v>45842</v>
      </c>
      <c r="B17" t="inlineStr">
        <is>
          <t>FB-Broad</t>
        </is>
      </c>
      <c r="C17" t="inlineStr">
        <is>
          <t>meta</t>
        </is>
      </c>
      <c r="D17" t="n">
        <v>16863</v>
      </c>
      <c r="E17" t="n">
        <v>12045</v>
      </c>
      <c r="F17" t="n">
        <v>116</v>
      </c>
      <c r="G17" t="n">
        <v>7</v>
      </c>
      <c r="H17" t="n">
        <v>0</v>
      </c>
      <c r="I17" t="n">
        <v>0</v>
      </c>
      <c r="J17" t="n">
        <v>0</v>
      </c>
    </row>
    <row r="18">
      <c r="A18" s="5" t="n">
        <v>45842</v>
      </c>
      <c r="B18" t="inlineStr">
        <is>
          <t>google_brand_search</t>
        </is>
      </c>
      <c r="C18" t="inlineStr">
        <is>
          <t>google</t>
        </is>
      </c>
      <c r="D18" t="n">
        <v>7181</v>
      </c>
      <c r="E18" t="n">
        <v>1496</v>
      </c>
      <c r="F18" t="n">
        <v>83</v>
      </c>
      <c r="G18" t="n">
        <v>4</v>
      </c>
      <c r="H18" t="n">
        <v>2</v>
      </c>
      <c r="I18" t="n">
        <v>0</v>
      </c>
      <c r="J18" t="n">
        <v>0</v>
      </c>
    </row>
    <row r="19">
      <c r="A19" s="5" t="n">
        <v>45842</v>
      </c>
      <c r="B19" t="inlineStr">
        <is>
          <t>google_nonbrand_growth</t>
        </is>
      </c>
      <c r="C19" t="inlineStr">
        <is>
          <t>google</t>
        </is>
      </c>
      <c r="D19" t="n">
        <v>24475</v>
      </c>
      <c r="E19" t="n">
        <v>5098</v>
      </c>
      <c r="F19" t="n">
        <v>278</v>
      </c>
      <c r="G19" t="n">
        <v>3</v>
      </c>
      <c r="H19" t="n">
        <v>1</v>
      </c>
      <c r="I19" t="n">
        <v>0</v>
      </c>
      <c r="J19" t="n">
        <v>0</v>
      </c>
    </row>
    <row r="20">
      <c r="A20" s="5" t="n">
        <v>45842</v>
      </c>
      <c r="B20" t="inlineStr">
        <is>
          <t>meta_prospecting_founder</t>
        </is>
      </c>
      <c r="C20" t="inlineStr">
        <is>
          <t>meta</t>
        </is>
      </c>
      <c r="D20" t="n">
        <v>33928</v>
      </c>
      <c r="E20" t="n">
        <v>24234</v>
      </c>
      <c r="F20" t="n">
        <v>292</v>
      </c>
      <c r="G20" t="n">
        <v>11</v>
      </c>
      <c r="H20" t="n">
        <v>1</v>
      </c>
      <c r="I20" t="n">
        <v>0</v>
      </c>
      <c r="J20" t="n">
        <v>0</v>
      </c>
    </row>
    <row r="21">
      <c r="A21" s="5" t="n">
        <v>45842</v>
      </c>
      <c r="B21" t="inlineStr">
        <is>
          <t>meta_retargeting_webinar</t>
        </is>
      </c>
      <c r="C21" t="inlineStr">
        <is>
          <t>meta</t>
        </is>
      </c>
      <c r="D21" t="n">
        <v>9804</v>
      </c>
      <c r="E21" t="n">
        <v>7002</v>
      </c>
      <c r="F21" t="n">
        <v>70</v>
      </c>
      <c r="G21" t="n">
        <v>0</v>
      </c>
      <c r="H21" t="n">
        <v>1</v>
      </c>
      <c r="I21" t="n">
        <v>0</v>
      </c>
      <c r="J21" t="n">
        <v>0</v>
      </c>
    </row>
    <row r="22">
      <c r="A22" s="5" t="n">
        <v>45843</v>
      </c>
      <c r="B22" t="inlineStr">
        <is>
          <t>FB-Broad</t>
        </is>
      </c>
      <c r="C22" t="inlineStr">
        <is>
          <t>meta</t>
        </is>
      </c>
      <c r="D22" t="n">
        <v>17272</v>
      </c>
      <c r="E22" t="n">
        <v>12337</v>
      </c>
      <c r="F22" t="n">
        <v>155</v>
      </c>
      <c r="G22" t="n">
        <v>2</v>
      </c>
      <c r="H22" t="n">
        <v>2</v>
      </c>
      <c r="I22" t="n">
        <v>0</v>
      </c>
      <c r="J22" t="n">
        <v>0</v>
      </c>
    </row>
    <row r="23">
      <c r="A23" s="5" t="n">
        <v>45843</v>
      </c>
      <c r="B23" t="inlineStr">
        <is>
          <t>google_brand_search</t>
        </is>
      </c>
      <c r="C23" t="inlineStr">
        <is>
          <t>google</t>
        </is>
      </c>
      <c r="D23" t="n">
        <v>7281</v>
      </c>
      <c r="E23" t="n">
        <v>1516</v>
      </c>
      <c r="F23" t="n">
        <v>72</v>
      </c>
      <c r="G23" t="n">
        <v>3</v>
      </c>
      <c r="H23" t="n">
        <v>1</v>
      </c>
      <c r="I23" t="n">
        <v>1</v>
      </c>
      <c r="J23" t="n">
        <v>0</v>
      </c>
    </row>
    <row r="24">
      <c r="A24" s="5" t="n">
        <v>45843</v>
      </c>
      <c r="B24" t="inlineStr">
        <is>
          <t>google_nonbrand_growth</t>
        </is>
      </c>
      <c r="C24" t="inlineStr">
        <is>
          <t>google</t>
        </is>
      </c>
      <c r="D24" t="n">
        <v>22468</v>
      </c>
      <c r="E24" t="n">
        <v>4680</v>
      </c>
      <c r="F24" t="n">
        <v>224</v>
      </c>
      <c r="G24" t="n">
        <v>1</v>
      </c>
      <c r="H24" t="n">
        <v>2</v>
      </c>
      <c r="I24" t="n">
        <v>0</v>
      </c>
      <c r="J24" t="n">
        <v>0</v>
      </c>
    </row>
    <row r="25">
      <c r="A25" s="5" t="n">
        <v>45843</v>
      </c>
      <c r="B25" t="inlineStr">
        <is>
          <t>meta_prospecting_founder</t>
        </is>
      </c>
      <c r="C25" t="inlineStr">
        <is>
          <t>meta</t>
        </is>
      </c>
      <c r="D25" t="n">
        <v>30879</v>
      </c>
      <c r="E25" t="n">
        <v>22056</v>
      </c>
      <c r="F25" t="n">
        <v>262</v>
      </c>
      <c r="G25" t="n">
        <v>6</v>
      </c>
      <c r="H25" t="n">
        <v>1</v>
      </c>
      <c r="I25" t="n">
        <v>0</v>
      </c>
      <c r="J25" t="n">
        <v>0</v>
      </c>
    </row>
    <row r="26">
      <c r="A26" s="5" t="n">
        <v>45843</v>
      </c>
      <c r="B26" t="inlineStr">
        <is>
          <t>meta_retargeting_webinar</t>
        </is>
      </c>
      <c r="C26" t="inlineStr">
        <is>
          <t>meta</t>
        </is>
      </c>
      <c r="D26" t="n">
        <v>9745</v>
      </c>
      <c r="E26" t="n">
        <v>6960</v>
      </c>
      <c r="F26" t="n">
        <v>70</v>
      </c>
      <c r="G26" t="n">
        <v>2</v>
      </c>
      <c r="H26" t="n">
        <v>1</v>
      </c>
      <c r="I26" t="n">
        <v>0</v>
      </c>
      <c r="J26" t="n">
        <v>0</v>
      </c>
    </row>
    <row r="27">
      <c r="A27" s="5" t="n">
        <v>45844</v>
      </c>
      <c r="B27" t="inlineStr">
        <is>
          <t>FB-Broad</t>
        </is>
      </c>
      <c r="C27" t="inlineStr">
        <is>
          <t>meta</t>
        </is>
      </c>
      <c r="D27" t="n">
        <v>18110</v>
      </c>
      <c r="E27" t="n">
        <v>12935</v>
      </c>
      <c r="F27" t="n">
        <v>134</v>
      </c>
      <c r="G27" t="n">
        <v>5</v>
      </c>
      <c r="H27" t="n">
        <v>0</v>
      </c>
      <c r="I27" t="n">
        <v>1</v>
      </c>
      <c r="J27" t="n">
        <v>0</v>
      </c>
    </row>
    <row r="28">
      <c r="A28" s="5" t="n">
        <v>45844</v>
      </c>
      <c r="B28" t="inlineStr">
        <is>
          <t>google_brand_search</t>
        </is>
      </c>
      <c r="C28" t="inlineStr">
        <is>
          <t>google</t>
        </is>
      </c>
      <c r="D28" t="n">
        <v>7478</v>
      </c>
      <c r="E28" t="n">
        <v>1557</v>
      </c>
      <c r="F28" t="n">
        <v>82</v>
      </c>
      <c r="G28" t="n">
        <v>2</v>
      </c>
      <c r="H28" t="n">
        <v>0</v>
      </c>
      <c r="I28" t="n">
        <v>1</v>
      </c>
      <c r="J28" t="n">
        <v>0</v>
      </c>
    </row>
    <row r="29">
      <c r="A29" s="5" t="n">
        <v>45844</v>
      </c>
      <c r="B29" t="inlineStr">
        <is>
          <t>google_nonbrand_growth</t>
        </is>
      </c>
      <c r="C29" t="inlineStr">
        <is>
          <t>google</t>
        </is>
      </c>
      <c r="D29" t="n">
        <v>21117</v>
      </c>
      <c r="E29" t="n">
        <v>4399</v>
      </c>
      <c r="F29" t="n">
        <v>235</v>
      </c>
      <c r="G29" t="n">
        <v>5</v>
      </c>
      <c r="H29" t="n">
        <v>0</v>
      </c>
      <c r="I29" t="n">
        <v>0</v>
      </c>
      <c r="J29" t="n">
        <v>0</v>
      </c>
    </row>
    <row r="30">
      <c r="A30" s="5" t="n">
        <v>45844</v>
      </c>
      <c r="B30" t="inlineStr">
        <is>
          <t>meta_prospecting_founder</t>
        </is>
      </c>
      <c r="C30" t="inlineStr">
        <is>
          <t>meta</t>
        </is>
      </c>
      <c r="D30" t="n">
        <v>32133</v>
      </c>
      <c r="E30" t="n">
        <v>22952</v>
      </c>
      <c r="F30" t="n">
        <v>279</v>
      </c>
      <c r="G30" t="n">
        <v>7</v>
      </c>
      <c r="H30" t="n">
        <v>1</v>
      </c>
      <c r="I30" t="n">
        <v>1</v>
      </c>
      <c r="J30" t="n">
        <v>0</v>
      </c>
    </row>
    <row r="31">
      <c r="A31" s="5" t="n">
        <v>45844</v>
      </c>
      <c r="B31" t="inlineStr">
        <is>
          <t>meta_retargeting_webinar</t>
        </is>
      </c>
      <c r="C31" t="inlineStr">
        <is>
          <t>meta</t>
        </is>
      </c>
      <c r="D31" t="n">
        <v>9438</v>
      </c>
      <c r="E31" t="n">
        <v>6741</v>
      </c>
      <c r="F31" t="n">
        <v>72</v>
      </c>
      <c r="G31" t="n">
        <v>4</v>
      </c>
      <c r="H31" t="n">
        <v>2</v>
      </c>
      <c r="I31" t="n">
        <v>0</v>
      </c>
      <c r="J31" t="n">
        <v>0</v>
      </c>
    </row>
    <row r="32">
      <c r="A32" s="5" t="n">
        <v>45845</v>
      </c>
      <c r="B32" t="inlineStr">
        <is>
          <t>FB-Broad</t>
        </is>
      </c>
      <c r="C32" t="inlineStr">
        <is>
          <t>meta</t>
        </is>
      </c>
      <c r="D32" t="n">
        <v>15100</v>
      </c>
      <c r="E32" t="n">
        <v>10785</v>
      </c>
      <c r="F32" t="n">
        <v>130</v>
      </c>
      <c r="G32" t="n">
        <v>4</v>
      </c>
      <c r="H32" t="n">
        <v>1</v>
      </c>
      <c r="I32" t="n">
        <v>0</v>
      </c>
      <c r="J32" t="n">
        <v>0</v>
      </c>
    </row>
    <row r="33">
      <c r="A33" s="5" t="n">
        <v>45845</v>
      </c>
      <c r="B33" t="inlineStr">
        <is>
          <t>google_brand_search</t>
        </is>
      </c>
      <c r="C33" t="inlineStr">
        <is>
          <t>google</t>
        </is>
      </c>
      <c r="D33" t="n">
        <v>6883</v>
      </c>
      <c r="E33" t="n">
        <v>1433</v>
      </c>
      <c r="F33" t="n">
        <v>77</v>
      </c>
      <c r="G33" t="n">
        <v>2</v>
      </c>
      <c r="H33" t="n">
        <v>3</v>
      </c>
      <c r="I33" t="n">
        <v>0</v>
      </c>
      <c r="J33" t="n">
        <v>0</v>
      </c>
    </row>
    <row r="34">
      <c r="A34" s="5" t="n">
        <v>45845</v>
      </c>
      <c r="B34" t="inlineStr">
        <is>
          <t>google_nonbrand_growth</t>
        </is>
      </c>
      <c r="C34" t="inlineStr">
        <is>
          <t>google</t>
        </is>
      </c>
      <c r="D34" t="n">
        <v>21775</v>
      </c>
      <c r="E34" t="n">
        <v>4536</v>
      </c>
      <c r="F34" t="n">
        <v>247</v>
      </c>
      <c r="G34" t="n">
        <v>3</v>
      </c>
      <c r="H34" t="n">
        <v>1</v>
      </c>
      <c r="I34" t="n">
        <v>0</v>
      </c>
      <c r="J34" t="n">
        <v>0</v>
      </c>
    </row>
    <row r="35">
      <c r="A35" s="5" t="n">
        <v>45845</v>
      </c>
      <c r="B35" t="inlineStr">
        <is>
          <t>meta_prospecting_founder</t>
        </is>
      </c>
      <c r="C35" t="inlineStr">
        <is>
          <t>meta</t>
        </is>
      </c>
      <c r="D35" t="n">
        <v>30309</v>
      </c>
      <c r="E35" t="n">
        <v>21649</v>
      </c>
      <c r="F35" t="n">
        <v>202</v>
      </c>
      <c r="G35" t="n">
        <v>5</v>
      </c>
      <c r="H35" t="n">
        <v>1</v>
      </c>
      <c r="I35" t="n">
        <v>0</v>
      </c>
      <c r="J35" t="n">
        <v>0</v>
      </c>
    </row>
    <row r="36">
      <c r="A36" s="5" t="n">
        <v>45845</v>
      </c>
      <c r="B36" t="inlineStr">
        <is>
          <t>meta_retargeting_webinar</t>
        </is>
      </c>
      <c r="C36" t="inlineStr">
        <is>
          <t>meta</t>
        </is>
      </c>
      <c r="D36" t="n">
        <v>10109</v>
      </c>
      <c r="E36" t="n">
        <v>7220</v>
      </c>
      <c r="F36" t="n">
        <v>67</v>
      </c>
      <c r="G36" t="n">
        <v>3</v>
      </c>
      <c r="H36" t="n">
        <v>1</v>
      </c>
      <c r="I36" t="n">
        <v>0</v>
      </c>
      <c r="J36" t="n">
        <v>0</v>
      </c>
    </row>
    <row r="37">
      <c r="A37" s="5" t="n">
        <v>45846</v>
      </c>
      <c r="B37" t="inlineStr">
        <is>
          <t>FB-Broad</t>
        </is>
      </c>
      <c r="C37" t="inlineStr">
        <is>
          <t>meta</t>
        </is>
      </c>
      <c r="D37" t="n">
        <v>18070</v>
      </c>
      <c r="E37" t="n">
        <v>12907</v>
      </c>
      <c r="F37" t="n">
        <v>133</v>
      </c>
      <c r="G37" t="n">
        <v>6</v>
      </c>
      <c r="H37" t="n">
        <v>0</v>
      </c>
      <c r="I37" t="n">
        <v>0</v>
      </c>
      <c r="J37" t="n">
        <v>0</v>
      </c>
    </row>
    <row r="38">
      <c r="A38" s="5" t="n">
        <v>45846</v>
      </c>
      <c r="B38" t="inlineStr">
        <is>
          <t>google_brand_search</t>
        </is>
      </c>
      <c r="C38" t="inlineStr">
        <is>
          <t>google</t>
        </is>
      </c>
      <c r="D38" t="n">
        <v>6676</v>
      </c>
      <c r="E38" t="n">
        <v>1390</v>
      </c>
      <c r="F38" t="n">
        <v>74</v>
      </c>
      <c r="G38" t="n">
        <v>2</v>
      </c>
      <c r="H38" t="n">
        <v>1</v>
      </c>
      <c r="I38" t="n">
        <v>1</v>
      </c>
      <c r="J38" t="n">
        <v>0</v>
      </c>
    </row>
    <row r="39">
      <c r="A39" s="5" t="n">
        <v>45846</v>
      </c>
      <c r="B39" t="inlineStr">
        <is>
          <t>google_nonbrand_growth</t>
        </is>
      </c>
      <c r="C39" t="inlineStr">
        <is>
          <t>google</t>
        </is>
      </c>
      <c r="D39" t="n">
        <v>20628</v>
      </c>
      <c r="E39" t="n">
        <v>4297</v>
      </c>
      <c r="F39" t="n">
        <v>233</v>
      </c>
      <c r="G39" t="n">
        <v>5</v>
      </c>
      <c r="H39" t="n">
        <v>3</v>
      </c>
      <c r="I39" t="n">
        <v>0</v>
      </c>
      <c r="J39" t="n">
        <v>0</v>
      </c>
    </row>
    <row r="40">
      <c r="A40" s="5" t="n">
        <v>45846</v>
      </c>
      <c r="B40" t="inlineStr">
        <is>
          <t>meta_prospecting_founder</t>
        </is>
      </c>
      <c r="C40" t="inlineStr">
        <is>
          <t>meta</t>
        </is>
      </c>
      <c r="D40" t="n">
        <v>33136</v>
      </c>
      <c r="E40" t="n">
        <v>23668</v>
      </c>
      <c r="F40" t="n">
        <v>269</v>
      </c>
      <c r="G40" t="n">
        <v>10</v>
      </c>
      <c r="H40" t="n">
        <v>1</v>
      </c>
      <c r="I40" t="n">
        <v>0</v>
      </c>
      <c r="J40" t="n">
        <v>0</v>
      </c>
    </row>
    <row r="41">
      <c r="A41" s="5" t="n">
        <v>45846</v>
      </c>
      <c r="B41" t="inlineStr">
        <is>
          <t>meta_retargeting_webinar</t>
        </is>
      </c>
      <c r="C41" t="inlineStr">
        <is>
          <t>meta</t>
        </is>
      </c>
      <c r="D41" t="n">
        <v>10180</v>
      </c>
      <c r="E41" t="n">
        <v>7271</v>
      </c>
      <c r="F41" t="n">
        <v>85</v>
      </c>
      <c r="G41" t="n">
        <v>8</v>
      </c>
      <c r="H41" t="n">
        <v>0</v>
      </c>
      <c r="I41" t="n">
        <v>2</v>
      </c>
      <c r="J41" t="n">
        <v>0</v>
      </c>
    </row>
    <row r="42">
      <c r="A42" s="5" t="n">
        <v>45847</v>
      </c>
      <c r="B42" t="inlineStr">
        <is>
          <t>FB-Broad</t>
        </is>
      </c>
      <c r="C42" t="inlineStr">
        <is>
          <t>meta</t>
        </is>
      </c>
      <c r="D42" t="n">
        <v>18255</v>
      </c>
      <c r="E42" t="n">
        <v>13039</v>
      </c>
      <c r="F42" t="n">
        <v>128</v>
      </c>
      <c r="G42" t="n">
        <v>9</v>
      </c>
      <c r="H42" t="n">
        <v>1</v>
      </c>
      <c r="I42" t="n">
        <v>1</v>
      </c>
      <c r="J42" t="n">
        <v>0</v>
      </c>
    </row>
    <row r="43">
      <c r="A43" s="5" t="n">
        <v>45847</v>
      </c>
      <c r="B43" t="inlineStr">
        <is>
          <t>google_brand_search</t>
        </is>
      </c>
      <c r="C43" t="inlineStr">
        <is>
          <t>google</t>
        </is>
      </c>
      <c r="D43" t="n">
        <v>7212</v>
      </c>
      <c r="E43" t="n">
        <v>1502</v>
      </c>
      <c r="F43" t="n">
        <v>85</v>
      </c>
      <c r="G43" t="n">
        <v>3</v>
      </c>
      <c r="H43" t="n">
        <v>2</v>
      </c>
      <c r="I43" t="n">
        <v>0</v>
      </c>
      <c r="J43" t="n">
        <v>0</v>
      </c>
    </row>
    <row r="44">
      <c r="A44" s="5" t="n">
        <v>45847</v>
      </c>
      <c r="B44" t="inlineStr">
        <is>
          <t>google_nonbrand_growth</t>
        </is>
      </c>
      <c r="C44" t="inlineStr">
        <is>
          <t>google</t>
        </is>
      </c>
      <c r="D44" t="n">
        <v>24558</v>
      </c>
      <c r="E44" t="n">
        <v>5116</v>
      </c>
      <c r="F44" t="n">
        <v>253</v>
      </c>
      <c r="G44" t="n">
        <v>7</v>
      </c>
      <c r="H44" t="n">
        <v>0</v>
      </c>
      <c r="I44" t="n">
        <v>0</v>
      </c>
      <c r="J44" t="n">
        <v>0</v>
      </c>
    </row>
    <row r="45">
      <c r="A45" s="5" t="n">
        <v>45847</v>
      </c>
      <c r="B45" t="inlineStr">
        <is>
          <t>meta_prospecting_founder</t>
        </is>
      </c>
      <c r="C45" t="inlineStr">
        <is>
          <t>meta</t>
        </is>
      </c>
      <c r="D45" t="n">
        <v>34532</v>
      </c>
      <c r="E45" t="n">
        <v>24665</v>
      </c>
      <c r="F45" t="n">
        <v>308</v>
      </c>
      <c r="G45" t="n">
        <v>8</v>
      </c>
      <c r="H45" t="n">
        <v>3</v>
      </c>
      <c r="I45" t="n">
        <v>0</v>
      </c>
      <c r="J45" t="n">
        <v>0</v>
      </c>
    </row>
    <row r="46">
      <c r="A46" s="5" t="n">
        <v>45847</v>
      </c>
      <c r="B46" t="inlineStr">
        <is>
          <t>meta_retargeting_webinar</t>
        </is>
      </c>
      <c r="C46" t="inlineStr">
        <is>
          <t>meta</t>
        </is>
      </c>
      <c r="D46" t="n">
        <v>9436</v>
      </c>
      <c r="E46" t="n">
        <v>6740</v>
      </c>
      <c r="F46" t="n">
        <v>69</v>
      </c>
      <c r="G46" t="n">
        <v>2</v>
      </c>
      <c r="H46" t="n">
        <v>2</v>
      </c>
      <c r="I46" t="n">
        <v>1</v>
      </c>
      <c r="J46" t="n">
        <v>0</v>
      </c>
    </row>
    <row r="47">
      <c r="A47" s="5" t="n">
        <v>45848</v>
      </c>
      <c r="B47" t="inlineStr">
        <is>
          <t>FB-Broad</t>
        </is>
      </c>
      <c r="C47" t="inlineStr">
        <is>
          <t>meta</t>
        </is>
      </c>
      <c r="D47" t="n">
        <v>17284</v>
      </c>
      <c r="E47" t="n">
        <v>12345</v>
      </c>
      <c r="F47" t="n">
        <v>123</v>
      </c>
      <c r="G47" t="n">
        <v>5</v>
      </c>
      <c r="H47" t="n">
        <v>2</v>
      </c>
      <c r="I47" t="n">
        <v>0</v>
      </c>
      <c r="J47" t="n">
        <v>0</v>
      </c>
    </row>
    <row r="48">
      <c r="A48" s="5" t="n">
        <v>45848</v>
      </c>
      <c r="B48" t="inlineStr">
        <is>
          <t>google_brand_search</t>
        </is>
      </c>
      <c r="C48" t="inlineStr">
        <is>
          <t>google</t>
        </is>
      </c>
      <c r="D48" t="n">
        <v>6191</v>
      </c>
      <c r="E48" t="n">
        <v>1289</v>
      </c>
      <c r="F48" t="n">
        <v>76</v>
      </c>
      <c r="G48" t="n">
        <v>2</v>
      </c>
      <c r="H48" t="n">
        <v>1</v>
      </c>
      <c r="I48" t="n">
        <v>0</v>
      </c>
      <c r="J48" t="n">
        <v>0</v>
      </c>
    </row>
    <row r="49">
      <c r="A49" s="5" t="n">
        <v>45848</v>
      </c>
      <c r="B49" t="inlineStr">
        <is>
          <t>google_nonbrand_growth</t>
        </is>
      </c>
      <c r="C49" t="inlineStr">
        <is>
          <t>google</t>
        </is>
      </c>
      <c r="D49" t="n">
        <v>20874</v>
      </c>
      <c r="E49" t="n">
        <v>4348</v>
      </c>
      <c r="F49" t="n">
        <v>241</v>
      </c>
      <c r="G49" t="n">
        <v>10</v>
      </c>
      <c r="H49" t="n">
        <v>1</v>
      </c>
      <c r="I49" t="n">
        <v>1</v>
      </c>
      <c r="J49" t="n">
        <v>0</v>
      </c>
    </row>
    <row r="50">
      <c r="A50" s="5" t="n">
        <v>45848</v>
      </c>
      <c r="B50" t="inlineStr">
        <is>
          <t>meta_prospecting_founder</t>
        </is>
      </c>
      <c r="C50" t="inlineStr">
        <is>
          <t>meta</t>
        </is>
      </c>
      <c r="D50" t="n">
        <v>30856</v>
      </c>
      <c r="E50" t="n">
        <v>22040</v>
      </c>
      <c r="F50" t="n">
        <v>241</v>
      </c>
      <c r="G50" t="n">
        <v>9</v>
      </c>
      <c r="H50" t="n">
        <v>0</v>
      </c>
      <c r="I50" t="n">
        <v>1</v>
      </c>
      <c r="J50" t="n">
        <v>0</v>
      </c>
    </row>
    <row r="51">
      <c r="A51" s="5" t="n">
        <v>45848</v>
      </c>
      <c r="B51" t="inlineStr">
        <is>
          <t>meta_retargeting_webinar</t>
        </is>
      </c>
      <c r="C51" t="inlineStr">
        <is>
          <t>meta</t>
        </is>
      </c>
      <c r="D51" t="n">
        <v>9788</v>
      </c>
      <c r="E51" t="n">
        <v>6991</v>
      </c>
      <c r="F51" t="n">
        <v>81</v>
      </c>
      <c r="G51" t="n">
        <v>2</v>
      </c>
      <c r="H51" t="n">
        <v>0</v>
      </c>
      <c r="I51" t="n">
        <v>0</v>
      </c>
      <c r="J51" t="n">
        <v>0</v>
      </c>
    </row>
    <row r="52">
      <c r="A52" s="5" t="n">
        <v>45849</v>
      </c>
      <c r="B52" t="inlineStr">
        <is>
          <t>FB-Broad</t>
        </is>
      </c>
      <c r="C52" t="inlineStr">
        <is>
          <t>meta</t>
        </is>
      </c>
      <c r="D52" t="n">
        <v>15701</v>
      </c>
      <c r="E52" t="n">
        <v>11215</v>
      </c>
      <c r="F52" t="n">
        <v>141</v>
      </c>
      <c r="G52" t="n">
        <v>7</v>
      </c>
      <c r="H52" t="n">
        <v>0</v>
      </c>
      <c r="I52" t="n">
        <v>0</v>
      </c>
      <c r="J52" t="n">
        <v>0</v>
      </c>
    </row>
    <row r="53">
      <c r="A53" s="5" t="n">
        <v>45849</v>
      </c>
      <c r="B53" t="inlineStr">
        <is>
          <t>google_brand_search</t>
        </is>
      </c>
      <c r="C53" t="inlineStr">
        <is>
          <t>google</t>
        </is>
      </c>
      <c r="D53" t="n">
        <v>7435</v>
      </c>
      <c r="E53" t="n">
        <v>1548</v>
      </c>
      <c r="F53" t="n">
        <v>75</v>
      </c>
      <c r="G53" t="n">
        <v>4</v>
      </c>
      <c r="H53" t="n">
        <v>2</v>
      </c>
      <c r="I53" t="n">
        <v>1</v>
      </c>
      <c r="J53" t="n">
        <v>0</v>
      </c>
    </row>
    <row r="54">
      <c r="A54" s="5" t="n">
        <v>45849</v>
      </c>
      <c r="B54" t="inlineStr">
        <is>
          <t>google_nonbrand_growth</t>
        </is>
      </c>
      <c r="C54" t="inlineStr">
        <is>
          <t>google</t>
        </is>
      </c>
      <c r="D54" t="n">
        <v>21288</v>
      </c>
      <c r="E54" t="n">
        <v>4435</v>
      </c>
      <c r="F54" t="n">
        <v>246</v>
      </c>
      <c r="G54" t="n">
        <v>1</v>
      </c>
      <c r="H54" t="n">
        <v>1</v>
      </c>
      <c r="I54" t="n">
        <v>2</v>
      </c>
      <c r="J54" t="n">
        <v>0</v>
      </c>
    </row>
    <row r="55">
      <c r="A55" s="5" t="n">
        <v>45849</v>
      </c>
      <c r="B55" t="inlineStr">
        <is>
          <t>meta_prospecting_founder</t>
        </is>
      </c>
      <c r="C55" t="inlineStr">
        <is>
          <t>meta</t>
        </is>
      </c>
      <c r="D55" t="n">
        <v>32913</v>
      </c>
      <c r="E55" t="n">
        <v>23509</v>
      </c>
      <c r="F55" t="n">
        <v>285</v>
      </c>
      <c r="G55" t="n">
        <v>9</v>
      </c>
      <c r="H55" t="n">
        <v>2</v>
      </c>
      <c r="I55" t="n">
        <v>2</v>
      </c>
      <c r="J55" t="n">
        <v>0</v>
      </c>
    </row>
    <row r="56">
      <c r="A56" s="5" t="n">
        <v>45849</v>
      </c>
      <c r="B56" t="inlineStr">
        <is>
          <t>meta_retargeting_webinar</t>
        </is>
      </c>
      <c r="C56" t="inlineStr">
        <is>
          <t>meta</t>
        </is>
      </c>
      <c r="D56" t="n">
        <v>8616</v>
      </c>
      <c r="E56" t="n">
        <v>6154</v>
      </c>
      <c r="F56" t="n">
        <v>59</v>
      </c>
      <c r="G56" t="n">
        <v>3</v>
      </c>
      <c r="H56" t="n">
        <v>1</v>
      </c>
      <c r="I56" t="n">
        <v>1</v>
      </c>
      <c r="J56" t="n">
        <v>0</v>
      </c>
    </row>
    <row r="57">
      <c r="A57" s="5" t="n">
        <v>45850</v>
      </c>
      <c r="B57" t="inlineStr">
        <is>
          <t>FB-Broad</t>
        </is>
      </c>
      <c r="C57" t="inlineStr">
        <is>
          <t>meta</t>
        </is>
      </c>
      <c r="D57" t="n">
        <v>16789</v>
      </c>
      <c r="E57" t="n">
        <v>11992</v>
      </c>
      <c r="F57" t="n">
        <v>145</v>
      </c>
      <c r="G57" t="n">
        <v>2</v>
      </c>
      <c r="H57" t="n">
        <v>1</v>
      </c>
      <c r="I57" t="n">
        <v>0</v>
      </c>
      <c r="J57" t="n">
        <v>0</v>
      </c>
    </row>
    <row r="58">
      <c r="A58" s="5" t="n">
        <v>45850</v>
      </c>
      <c r="B58" t="inlineStr">
        <is>
          <t>google_brand_search</t>
        </is>
      </c>
      <c r="C58" t="inlineStr">
        <is>
          <t>google</t>
        </is>
      </c>
      <c r="D58" t="n">
        <v>7331</v>
      </c>
      <c r="E58" t="n">
        <v>1527</v>
      </c>
      <c r="F58" t="n">
        <v>84</v>
      </c>
      <c r="G58" t="n">
        <v>0</v>
      </c>
      <c r="H58" t="n">
        <v>0</v>
      </c>
      <c r="I58" t="n">
        <v>1</v>
      </c>
      <c r="J58" t="n">
        <v>0</v>
      </c>
    </row>
    <row r="59">
      <c r="A59" s="5" t="n">
        <v>45850</v>
      </c>
      <c r="B59" t="inlineStr">
        <is>
          <t>google_nonbrand_growth</t>
        </is>
      </c>
      <c r="C59" t="inlineStr">
        <is>
          <t>google</t>
        </is>
      </c>
      <c r="D59" t="n">
        <v>24095</v>
      </c>
      <c r="E59" t="n">
        <v>5019</v>
      </c>
      <c r="F59" t="n">
        <v>262</v>
      </c>
      <c r="G59" t="n">
        <v>2</v>
      </c>
      <c r="H59" t="n">
        <v>2</v>
      </c>
      <c r="I59" t="n">
        <v>0</v>
      </c>
      <c r="J59" t="n">
        <v>0</v>
      </c>
    </row>
    <row r="60">
      <c r="A60" s="5" t="n">
        <v>45850</v>
      </c>
      <c r="B60" t="inlineStr">
        <is>
          <t>meta_prospecting_founder</t>
        </is>
      </c>
      <c r="C60" t="inlineStr">
        <is>
          <t>meta</t>
        </is>
      </c>
      <c r="D60" t="n">
        <v>32235</v>
      </c>
      <c r="E60" t="n">
        <v>23025</v>
      </c>
      <c r="F60" t="n">
        <v>246</v>
      </c>
      <c r="G60" t="n">
        <v>7</v>
      </c>
      <c r="H60" t="n">
        <v>4</v>
      </c>
      <c r="I60" t="n">
        <v>1</v>
      </c>
      <c r="J60" t="n">
        <v>0</v>
      </c>
    </row>
    <row r="61">
      <c r="A61" s="5" t="n">
        <v>45850</v>
      </c>
      <c r="B61" t="inlineStr">
        <is>
          <t>meta_retargeting_webinar</t>
        </is>
      </c>
      <c r="C61" t="inlineStr">
        <is>
          <t>meta</t>
        </is>
      </c>
      <c r="D61" t="n">
        <v>8965</v>
      </c>
      <c r="E61" t="n">
        <v>6403</v>
      </c>
      <c r="F61" t="n">
        <v>69</v>
      </c>
      <c r="G61" t="n">
        <v>3</v>
      </c>
      <c r="H61" t="n">
        <v>0</v>
      </c>
      <c r="I61" t="n">
        <v>0</v>
      </c>
      <c r="J61" t="n">
        <v>0</v>
      </c>
    </row>
    <row r="62">
      <c r="A62" s="5" t="n">
        <v>45851</v>
      </c>
      <c r="B62" t="inlineStr">
        <is>
          <t>FB-Broad</t>
        </is>
      </c>
      <c r="C62" t="inlineStr">
        <is>
          <t>meta</t>
        </is>
      </c>
      <c r="D62" t="n">
        <v>18106</v>
      </c>
      <c r="E62" t="n">
        <v>12932</v>
      </c>
      <c r="F62" t="n">
        <v>143</v>
      </c>
      <c r="G62" t="n">
        <v>3</v>
      </c>
      <c r="H62" t="n">
        <v>1</v>
      </c>
      <c r="I62" t="n">
        <v>0</v>
      </c>
      <c r="J62" t="n">
        <v>0</v>
      </c>
    </row>
    <row r="63">
      <c r="A63" s="5" t="n">
        <v>45851</v>
      </c>
      <c r="B63" t="inlineStr">
        <is>
          <t>google_brand_search</t>
        </is>
      </c>
      <c r="C63" t="inlineStr">
        <is>
          <t>google</t>
        </is>
      </c>
      <c r="D63" t="n">
        <v>7398</v>
      </c>
      <c r="E63" t="n">
        <v>1541</v>
      </c>
      <c r="F63" t="n">
        <v>92</v>
      </c>
      <c r="G63" t="n">
        <v>3</v>
      </c>
      <c r="H63" t="n">
        <v>3</v>
      </c>
      <c r="I63" t="n">
        <v>0</v>
      </c>
      <c r="J63" t="n">
        <v>0</v>
      </c>
    </row>
    <row r="64">
      <c r="A64" s="5" t="n">
        <v>45851</v>
      </c>
      <c r="B64" t="inlineStr">
        <is>
          <t>google_nonbrand_growth</t>
        </is>
      </c>
      <c r="C64" t="inlineStr">
        <is>
          <t>google</t>
        </is>
      </c>
      <c r="D64" t="n">
        <v>20916</v>
      </c>
      <c r="E64" t="n">
        <v>4357</v>
      </c>
      <c r="F64" t="n">
        <v>238</v>
      </c>
      <c r="G64" t="n">
        <v>0</v>
      </c>
      <c r="H64" t="n">
        <v>2</v>
      </c>
      <c r="I64" t="n">
        <v>1</v>
      </c>
      <c r="J64" t="n">
        <v>0</v>
      </c>
    </row>
    <row r="65">
      <c r="A65" s="5" t="n">
        <v>45851</v>
      </c>
      <c r="B65" t="inlineStr">
        <is>
          <t>meta_prospecting_founder</t>
        </is>
      </c>
      <c r="C65" t="inlineStr">
        <is>
          <t>meta</t>
        </is>
      </c>
      <c r="D65" t="n">
        <v>29657</v>
      </c>
      <c r="E65" t="n">
        <v>21183</v>
      </c>
      <c r="F65" t="n">
        <v>244</v>
      </c>
      <c r="G65" t="n">
        <v>4</v>
      </c>
      <c r="H65" t="n">
        <v>2</v>
      </c>
      <c r="I65" t="n">
        <v>0</v>
      </c>
      <c r="J65" t="n">
        <v>0</v>
      </c>
    </row>
    <row r="66">
      <c r="A66" s="5" t="n">
        <v>45851</v>
      </c>
      <c r="B66" t="inlineStr">
        <is>
          <t>meta_retargeting_webinar</t>
        </is>
      </c>
      <c r="C66" t="inlineStr">
        <is>
          <t>meta</t>
        </is>
      </c>
      <c r="D66" t="n">
        <v>10244</v>
      </c>
      <c r="E66" t="n">
        <v>7317</v>
      </c>
      <c r="F66" t="n">
        <v>89</v>
      </c>
      <c r="G66" t="n">
        <v>1</v>
      </c>
      <c r="H66" t="n">
        <v>0</v>
      </c>
      <c r="I66" t="n">
        <v>1</v>
      </c>
      <c r="J66" t="n">
        <v>0</v>
      </c>
    </row>
    <row r="67">
      <c r="A67" s="5" t="n">
        <v>45852</v>
      </c>
      <c r="B67" t="inlineStr">
        <is>
          <t>FB-Broad</t>
        </is>
      </c>
      <c r="C67" t="inlineStr">
        <is>
          <t>meta</t>
        </is>
      </c>
      <c r="D67" t="n">
        <v>16727</v>
      </c>
      <c r="E67" t="n">
        <v>11947</v>
      </c>
      <c r="F67" t="n">
        <v>121</v>
      </c>
      <c r="G67" t="n">
        <v>7</v>
      </c>
      <c r="H67" t="n">
        <v>0</v>
      </c>
      <c r="I67" t="n">
        <v>1</v>
      </c>
      <c r="J67" t="n">
        <v>0</v>
      </c>
    </row>
    <row r="68">
      <c r="A68" s="5" t="n">
        <v>45852</v>
      </c>
      <c r="B68" t="inlineStr">
        <is>
          <t>google_brand_search</t>
        </is>
      </c>
      <c r="C68" t="inlineStr">
        <is>
          <t>google</t>
        </is>
      </c>
      <c r="D68" t="n">
        <v>6608</v>
      </c>
      <c r="E68" t="n">
        <v>1376</v>
      </c>
      <c r="F68" t="n">
        <v>63</v>
      </c>
      <c r="G68" t="n">
        <v>5</v>
      </c>
      <c r="H68" t="n">
        <v>0</v>
      </c>
      <c r="I68" t="n">
        <v>0</v>
      </c>
      <c r="J68" t="n">
        <v>0</v>
      </c>
    </row>
    <row r="69">
      <c r="A69" s="5" t="n">
        <v>45852</v>
      </c>
      <c r="B69" t="inlineStr">
        <is>
          <t>google_nonbrand_growth</t>
        </is>
      </c>
      <c r="C69" t="inlineStr">
        <is>
          <t>google</t>
        </is>
      </c>
      <c r="D69" t="n">
        <v>21342</v>
      </c>
      <c r="E69" t="n">
        <v>4446</v>
      </c>
      <c r="F69" t="n">
        <v>200</v>
      </c>
      <c r="G69" t="n">
        <v>3</v>
      </c>
      <c r="H69" t="n">
        <v>0</v>
      </c>
      <c r="I69" t="n">
        <v>1</v>
      </c>
      <c r="J69" t="n">
        <v>0</v>
      </c>
    </row>
    <row r="70">
      <c r="A70" s="5" t="n">
        <v>45852</v>
      </c>
      <c r="B70" t="inlineStr">
        <is>
          <t>meta_prospecting_founder</t>
        </is>
      </c>
      <c r="C70" t="inlineStr">
        <is>
          <t>meta</t>
        </is>
      </c>
      <c r="D70" t="n">
        <v>31829</v>
      </c>
      <c r="E70" t="n">
        <v>22735</v>
      </c>
      <c r="F70" t="n">
        <v>270</v>
      </c>
      <c r="G70" t="n">
        <v>7</v>
      </c>
      <c r="H70" t="n">
        <v>2</v>
      </c>
      <c r="I70" t="n">
        <v>1</v>
      </c>
      <c r="J70" t="n">
        <v>0</v>
      </c>
    </row>
    <row r="71">
      <c r="A71" s="5" t="n">
        <v>45852</v>
      </c>
      <c r="B71" t="inlineStr">
        <is>
          <t>meta_retargeting_webinar</t>
        </is>
      </c>
      <c r="C71" t="inlineStr">
        <is>
          <t>meta</t>
        </is>
      </c>
      <c r="D71" t="n">
        <v>9996</v>
      </c>
      <c r="E71" t="n">
        <v>7140</v>
      </c>
      <c r="F71" t="n">
        <v>77</v>
      </c>
      <c r="G71" t="n">
        <v>5</v>
      </c>
      <c r="H71" t="n">
        <v>1</v>
      </c>
      <c r="I71" t="n">
        <v>0</v>
      </c>
      <c r="J71" t="n">
        <v>0</v>
      </c>
    </row>
    <row r="72">
      <c r="A72" s="5" t="n">
        <v>45853</v>
      </c>
      <c r="B72" t="inlineStr">
        <is>
          <t>FB-Broad</t>
        </is>
      </c>
      <c r="C72" t="inlineStr">
        <is>
          <t>meta</t>
        </is>
      </c>
      <c r="D72" t="n">
        <v>18187</v>
      </c>
      <c r="E72" t="n">
        <v>12990</v>
      </c>
      <c r="F72" t="n">
        <v>157</v>
      </c>
      <c r="G72" t="n">
        <v>7</v>
      </c>
      <c r="H72" t="n">
        <v>1</v>
      </c>
      <c r="I72" t="n">
        <v>0</v>
      </c>
      <c r="J72" t="n">
        <v>0</v>
      </c>
    </row>
    <row r="73">
      <c r="A73" s="5" t="n">
        <v>45853</v>
      </c>
      <c r="B73" t="inlineStr">
        <is>
          <t>google_brand_search</t>
        </is>
      </c>
      <c r="C73" t="inlineStr">
        <is>
          <t>google</t>
        </is>
      </c>
      <c r="D73" t="n">
        <v>7103</v>
      </c>
      <c r="E73" t="n">
        <v>1479</v>
      </c>
      <c r="F73" t="n">
        <v>79</v>
      </c>
      <c r="G73" t="n">
        <v>5</v>
      </c>
      <c r="H73" t="n">
        <v>0</v>
      </c>
      <c r="I73" t="n">
        <v>0</v>
      </c>
      <c r="J73" t="n">
        <v>0</v>
      </c>
    </row>
    <row r="74">
      <c r="A74" s="5" t="n">
        <v>45853</v>
      </c>
      <c r="B74" t="inlineStr">
        <is>
          <t>google_nonbrand_growth</t>
        </is>
      </c>
      <c r="C74" t="inlineStr">
        <is>
          <t>google</t>
        </is>
      </c>
      <c r="D74" t="n">
        <v>22194</v>
      </c>
      <c r="E74" t="n">
        <v>4623</v>
      </c>
      <c r="F74" t="n">
        <v>227</v>
      </c>
      <c r="G74" t="n">
        <v>6</v>
      </c>
      <c r="H74" t="n">
        <v>0</v>
      </c>
      <c r="I74" t="n">
        <v>0</v>
      </c>
      <c r="J74" t="n">
        <v>0</v>
      </c>
    </row>
    <row r="75">
      <c r="A75" s="5" t="n">
        <v>45853</v>
      </c>
      <c r="B75" t="inlineStr">
        <is>
          <t>meta_prospecting_founder</t>
        </is>
      </c>
      <c r="C75" t="inlineStr">
        <is>
          <t>meta</t>
        </is>
      </c>
      <c r="D75" t="n">
        <v>33110</v>
      </c>
      <c r="E75" t="n">
        <v>23650</v>
      </c>
      <c r="F75" t="n">
        <v>276</v>
      </c>
      <c r="G75" t="n">
        <v>8</v>
      </c>
      <c r="H75" t="n">
        <v>0</v>
      </c>
      <c r="I75" t="n">
        <v>1</v>
      </c>
      <c r="J75" t="n">
        <v>0</v>
      </c>
    </row>
    <row r="76">
      <c r="A76" s="5" t="n">
        <v>45853</v>
      </c>
      <c r="B76" t="inlineStr">
        <is>
          <t>meta_retargeting_webinar</t>
        </is>
      </c>
      <c r="C76" t="inlineStr">
        <is>
          <t>meta</t>
        </is>
      </c>
      <c r="D76" t="n">
        <v>9761</v>
      </c>
      <c r="E76" t="n">
        <v>6972</v>
      </c>
      <c r="F76" t="n">
        <v>81</v>
      </c>
      <c r="G76" t="n">
        <v>8</v>
      </c>
      <c r="H76" t="n">
        <v>3</v>
      </c>
      <c r="I76" t="n">
        <v>1</v>
      </c>
      <c r="J76" t="n">
        <v>0</v>
      </c>
    </row>
    <row r="77">
      <c r="A77" s="5" t="n">
        <v>45854</v>
      </c>
      <c r="B77" t="inlineStr">
        <is>
          <t>FB-Broad</t>
        </is>
      </c>
      <c r="C77" t="inlineStr">
        <is>
          <t>meta</t>
        </is>
      </c>
      <c r="D77" t="n">
        <v>15183</v>
      </c>
      <c r="E77" t="n">
        <v>10845</v>
      </c>
      <c r="F77" t="n">
        <v>112</v>
      </c>
      <c r="G77" t="n">
        <v>4</v>
      </c>
      <c r="H77" t="n">
        <v>1</v>
      </c>
      <c r="I77" t="n">
        <v>1</v>
      </c>
      <c r="J77" t="n">
        <v>0</v>
      </c>
    </row>
    <row r="78">
      <c r="A78" s="5" t="n">
        <v>45854</v>
      </c>
      <c r="B78" t="inlineStr">
        <is>
          <t>google_brand_search</t>
        </is>
      </c>
      <c r="C78" t="inlineStr">
        <is>
          <t>google</t>
        </is>
      </c>
      <c r="D78" t="n">
        <v>6537</v>
      </c>
      <c r="E78" t="n">
        <v>1361</v>
      </c>
      <c r="F78" t="n">
        <v>78</v>
      </c>
      <c r="G78" t="n">
        <v>6</v>
      </c>
      <c r="H78" t="n">
        <v>0</v>
      </c>
      <c r="I78" t="n">
        <v>1</v>
      </c>
      <c r="J78" t="n">
        <v>1</v>
      </c>
    </row>
    <row r="79">
      <c r="A79" s="5" t="n">
        <v>45854</v>
      </c>
      <c r="B79" t="inlineStr">
        <is>
          <t>google_nonbrand_growth</t>
        </is>
      </c>
      <c r="C79" t="inlineStr">
        <is>
          <t>google</t>
        </is>
      </c>
      <c r="D79" t="n">
        <v>24390</v>
      </c>
      <c r="E79" t="n">
        <v>5081</v>
      </c>
      <c r="F79" t="n">
        <v>249</v>
      </c>
      <c r="G79" t="n">
        <v>4</v>
      </c>
      <c r="H79" t="n">
        <v>0</v>
      </c>
      <c r="I79" t="n">
        <v>0</v>
      </c>
      <c r="J79" t="n">
        <v>0</v>
      </c>
    </row>
    <row r="80">
      <c r="A80" s="5" t="n">
        <v>45854</v>
      </c>
      <c r="B80" t="inlineStr">
        <is>
          <t>meta_prospecting_founder</t>
        </is>
      </c>
      <c r="C80" t="inlineStr">
        <is>
          <t>meta</t>
        </is>
      </c>
      <c r="D80" t="n">
        <v>34805</v>
      </c>
      <c r="E80" t="n">
        <v>24860</v>
      </c>
      <c r="F80" t="n">
        <v>277</v>
      </c>
      <c r="G80" t="n">
        <v>12</v>
      </c>
      <c r="H80" t="n">
        <v>3</v>
      </c>
      <c r="I80" t="n">
        <v>0</v>
      </c>
      <c r="J80" t="n">
        <v>0</v>
      </c>
    </row>
    <row r="81">
      <c r="A81" s="5" t="n">
        <v>45854</v>
      </c>
      <c r="B81" t="inlineStr">
        <is>
          <t>meta_retargeting_webinar</t>
        </is>
      </c>
      <c r="C81" t="inlineStr">
        <is>
          <t>meta</t>
        </is>
      </c>
      <c r="D81" t="n">
        <v>8955</v>
      </c>
      <c r="E81" t="n">
        <v>6396</v>
      </c>
      <c r="F81" t="n">
        <v>61</v>
      </c>
      <c r="G81" t="n">
        <v>3</v>
      </c>
      <c r="H81" t="n">
        <v>2</v>
      </c>
      <c r="I81" t="n">
        <v>1</v>
      </c>
      <c r="J81" t="n">
        <v>0</v>
      </c>
    </row>
    <row r="82">
      <c r="A82" s="5" t="n">
        <v>45855</v>
      </c>
      <c r="B82" t="inlineStr">
        <is>
          <t>FB-Broad</t>
        </is>
      </c>
      <c r="C82" t="inlineStr">
        <is>
          <t>meta</t>
        </is>
      </c>
      <c r="D82" t="n">
        <v>15221</v>
      </c>
      <c r="E82" t="n">
        <v>10872</v>
      </c>
      <c r="F82" t="n">
        <v>107</v>
      </c>
      <c r="G82" t="n">
        <v>7</v>
      </c>
      <c r="H82" t="n">
        <v>1</v>
      </c>
      <c r="I82" t="n">
        <v>1</v>
      </c>
      <c r="J82" t="n">
        <v>0</v>
      </c>
    </row>
    <row r="83">
      <c r="A83" s="5" t="n">
        <v>45855</v>
      </c>
      <c r="B83" t="inlineStr">
        <is>
          <t>google_brand_search</t>
        </is>
      </c>
      <c r="C83" t="inlineStr">
        <is>
          <t>google</t>
        </is>
      </c>
      <c r="D83" t="n">
        <v>7287</v>
      </c>
      <c r="E83" t="n">
        <v>1518</v>
      </c>
      <c r="F83" t="n">
        <v>78</v>
      </c>
      <c r="G83" t="n">
        <v>3</v>
      </c>
      <c r="H83" t="n">
        <v>4</v>
      </c>
      <c r="I83" t="n">
        <v>1</v>
      </c>
      <c r="J83" t="n">
        <v>0</v>
      </c>
    </row>
    <row r="84">
      <c r="A84" s="5" t="n">
        <v>45855</v>
      </c>
      <c r="B84" t="inlineStr">
        <is>
          <t>google_nonbrand_growth</t>
        </is>
      </c>
      <c r="C84" t="inlineStr">
        <is>
          <t>google</t>
        </is>
      </c>
      <c r="D84" t="n">
        <v>22429</v>
      </c>
      <c r="E84" t="n">
        <v>4672</v>
      </c>
      <c r="F84" t="n">
        <v>211</v>
      </c>
      <c r="G84" t="n">
        <v>5</v>
      </c>
      <c r="H84" t="n">
        <v>1</v>
      </c>
      <c r="I84" t="n">
        <v>0</v>
      </c>
      <c r="J84" t="n">
        <v>0</v>
      </c>
    </row>
    <row r="85">
      <c r="A85" s="5" t="n">
        <v>45855</v>
      </c>
      <c r="B85" t="inlineStr">
        <is>
          <t>meta_prospecting_founder</t>
        </is>
      </c>
      <c r="C85" t="inlineStr">
        <is>
          <t>meta</t>
        </is>
      </c>
      <c r="D85" t="n">
        <v>31592</v>
      </c>
      <c r="E85" t="n">
        <v>22565</v>
      </c>
      <c r="F85" t="n">
        <v>280</v>
      </c>
      <c r="G85" t="n">
        <v>10</v>
      </c>
      <c r="H85" t="n">
        <v>1</v>
      </c>
      <c r="I85" t="n">
        <v>0</v>
      </c>
      <c r="J85" t="n">
        <v>1</v>
      </c>
    </row>
    <row r="86">
      <c r="A86" s="5" t="n">
        <v>45855</v>
      </c>
      <c r="B86" t="inlineStr">
        <is>
          <t>meta_retargeting_webinar</t>
        </is>
      </c>
      <c r="C86" t="inlineStr">
        <is>
          <t>meta</t>
        </is>
      </c>
      <c r="D86" t="n">
        <v>9454</v>
      </c>
      <c r="E86" t="n">
        <v>6752</v>
      </c>
      <c r="F86" t="n">
        <v>79</v>
      </c>
      <c r="G86" t="n">
        <v>4</v>
      </c>
      <c r="H86" t="n">
        <v>1</v>
      </c>
      <c r="I86" t="n">
        <v>0</v>
      </c>
      <c r="J86" t="n">
        <v>1</v>
      </c>
    </row>
    <row r="87">
      <c r="A87" s="5" t="n">
        <v>45856</v>
      </c>
      <c r="B87" t="inlineStr">
        <is>
          <t>FB-Broad</t>
        </is>
      </c>
      <c r="C87" t="inlineStr">
        <is>
          <t>meta</t>
        </is>
      </c>
      <c r="D87" t="n">
        <v>17947</v>
      </c>
      <c r="E87" t="n">
        <v>12819</v>
      </c>
      <c r="F87" t="n">
        <v>132</v>
      </c>
      <c r="G87" t="n">
        <v>4</v>
      </c>
      <c r="H87" t="n">
        <v>0</v>
      </c>
      <c r="I87" t="n">
        <v>0</v>
      </c>
      <c r="J87" t="n">
        <v>0</v>
      </c>
    </row>
    <row r="88">
      <c r="A88" s="5" t="n">
        <v>45856</v>
      </c>
      <c r="B88" t="inlineStr">
        <is>
          <t>google_brand_search</t>
        </is>
      </c>
      <c r="C88" t="inlineStr">
        <is>
          <t>google</t>
        </is>
      </c>
      <c r="D88" t="n">
        <v>6447</v>
      </c>
      <c r="E88" t="n">
        <v>1343</v>
      </c>
      <c r="F88" t="n">
        <v>67</v>
      </c>
      <c r="G88" t="n">
        <v>4</v>
      </c>
      <c r="H88" t="n">
        <v>3</v>
      </c>
      <c r="I88" t="n">
        <v>1</v>
      </c>
      <c r="J88" t="n">
        <v>0</v>
      </c>
    </row>
    <row r="89">
      <c r="A89" s="5" t="n">
        <v>45856</v>
      </c>
      <c r="B89" t="inlineStr">
        <is>
          <t>google_nonbrand_growth</t>
        </is>
      </c>
      <c r="C89" t="inlineStr">
        <is>
          <t>google</t>
        </is>
      </c>
      <c r="D89" t="n">
        <v>23247</v>
      </c>
      <c r="E89" t="n">
        <v>4843</v>
      </c>
      <c r="F89" t="n">
        <v>273</v>
      </c>
      <c r="G89" t="n">
        <v>2</v>
      </c>
      <c r="H89" t="n">
        <v>2</v>
      </c>
      <c r="I89" t="n">
        <v>0</v>
      </c>
      <c r="J89" t="n">
        <v>0</v>
      </c>
    </row>
    <row r="90">
      <c r="A90" s="5" t="n">
        <v>45856</v>
      </c>
      <c r="B90" t="inlineStr">
        <is>
          <t>meta_prospecting_founder</t>
        </is>
      </c>
      <c r="C90" t="inlineStr">
        <is>
          <t>meta</t>
        </is>
      </c>
      <c r="D90" t="n">
        <v>31449</v>
      </c>
      <c r="E90" t="n">
        <v>22463</v>
      </c>
      <c r="F90" t="n">
        <v>274</v>
      </c>
      <c r="G90" t="n">
        <v>8</v>
      </c>
      <c r="H90" t="n">
        <v>1</v>
      </c>
      <c r="I90" t="n">
        <v>0</v>
      </c>
      <c r="J90" t="n">
        <v>0</v>
      </c>
    </row>
    <row r="91">
      <c r="A91" s="5" t="n">
        <v>45856</v>
      </c>
      <c r="B91" t="inlineStr">
        <is>
          <t>meta_retargeting_webinar</t>
        </is>
      </c>
      <c r="C91" t="inlineStr">
        <is>
          <t>meta</t>
        </is>
      </c>
      <c r="D91" t="n">
        <v>9515</v>
      </c>
      <c r="E91" t="n">
        <v>6796</v>
      </c>
      <c r="F91" t="n">
        <v>84</v>
      </c>
      <c r="G91" t="n">
        <v>5</v>
      </c>
      <c r="H91" t="n">
        <v>0</v>
      </c>
      <c r="I91" t="n">
        <v>2</v>
      </c>
      <c r="J91" t="n">
        <v>0</v>
      </c>
    </row>
    <row r="92">
      <c r="A92" s="5" t="n">
        <v>45857</v>
      </c>
      <c r="B92" t="inlineStr">
        <is>
          <t>FB-Broad</t>
        </is>
      </c>
      <c r="C92" t="inlineStr">
        <is>
          <t>meta</t>
        </is>
      </c>
      <c r="D92" t="n">
        <v>17168</v>
      </c>
      <c r="E92" t="n">
        <v>12262</v>
      </c>
      <c r="F92" t="n">
        <v>124</v>
      </c>
      <c r="G92" t="n">
        <v>2</v>
      </c>
      <c r="H92" t="n">
        <v>0</v>
      </c>
      <c r="I92" t="n">
        <v>0</v>
      </c>
      <c r="J92" t="n">
        <v>0</v>
      </c>
    </row>
    <row r="93">
      <c r="A93" s="5" t="n">
        <v>45857</v>
      </c>
      <c r="B93" t="inlineStr">
        <is>
          <t>google_brand_search</t>
        </is>
      </c>
      <c r="C93" t="inlineStr">
        <is>
          <t>google</t>
        </is>
      </c>
      <c r="D93" t="n">
        <v>6420</v>
      </c>
      <c r="E93" t="n">
        <v>1337</v>
      </c>
      <c r="F93" t="n">
        <v>75</v>
      </c>
      <c r="G93" t="n">
        <v>0</v>
      </c>
      <c r="H93" t="n">
        <v>1</v>
      </c>
      <c r="I93" t="n">
        <v>0</v>
      </c>
      <c r="J93" t="n">
        <v>0</v>
      </c>
    </row>
    <row r="94">
      <c r="A94" s="5" t="n">
        <v>45857</v>
      </c>
      <c r="B94" t="inlineStr">
        <is>
          <t>google_nonbrand_growth</t>
        </is>
      </c>
      <c r="C94" t="inlineStr">
        <is>
          <t>google</t>
        </is>
      </c>
      <c r="D94" t="n">
        <v>22272</v>
      </c>
      <c r="E94" t="n">
        <v>4640</v>
      </c>
      <c r="F94" t="n">
        <v>224</v>
      </c>
      <c r="G94" t="n">
        <v>1</v>
      </c>
      <c r="H94" t="n">
        <v>0</v>
      </c>
      <c r="I94" t="n">
        <v>0</v>
      </c>
      <c r="J94" t="n">
        <v>0</v>
      </c>
    </row>
    <row r="95">
      <c r="A95" s="5" t="n">
        <v>45857</v>
      </c>
      <c r="B95" t="inlineStr">
        <is>
          <t>meta_prospecting_founder</t>
        </is>
      </c>
      <c r="C95" t="inlineStr">
        <is>
          <t>meta</t>
        </is>
      </c>
      <c r="D95" t="n">
        <v>30598</v>
      </c>
      <c r="E95" t="n">
        <v>21855</v>
      </c>
      <c r="F95" t="n">
        <v>232</v>
      </c>
      <c r="G95" t="n">
        <v>4</v>
      </c>
      <c r="H95" t="n">
        <v>5</v>
      </c>
      <c r="I95" t="n">
        <v>1</v>
      </c>
      <c r="J95" t="n">
        <v>0</v>
      </c>
    </row>
    <row r="96">
      <c r="A96" s="5" t="n">
        <v>45857</v>
      </c>
      <c r="B96" t="inlineStr">
        <is>
          <t>meta_retargeting_webinar</t>
        </is>
      </c>
      <c r="C96" t="inlineStr">
        <is>
          <t>meta</t>
        </is>
      </c>
      <c r="D96" t="n">
        <v>8489</v>
      </c>
      <c r="E96" t="n">
        <v>6063</v>
      </c>
      <c r="F96" t="n">
        <v>67</v>
      </c>
      <c r="G96" t="n">
        <v>2</v>
      </c>
      <c r="H96" t="n">
        <v>2</v>
      </c>
      <c r="I96" t="n">
        <v>0</v>
      </c>
      <c r="J96" t="n">
        <v>0</v>
      </c>
    </row>
    <row r="97">
      <c r="A97" s="5" t="n">
        <v>45858</v>
      </c>
      <c r="B97" t="inlineStr">
        <is>
          <t>FB-Broad</t>
        </is>
      </c>
      <c r="C97" t="inlineStr">
        <is>
          <t>meta</t>
        </is>
      </c>
      <c r="D97" t="n">
        <v>16593</v>
      </c>
      <c r="E97" t="n">
        <v>11852</v>
      </c>
      <c r="F97" t="n">
        <v>114</v>
      </c>
      <c r="G97" t="n">
        <v>7</v>
      </c>
      <c r="H97" t="n">
        <v>0</v>
      </c>
      <c r="I97" t="n">
        <v>0</v>
      </c>
      <c r="J97" t="n">
        <v>0</v>
      </c>
    </row>
    <row r="98">
      <c r="A98" s="5" t="n">
        <v>45858</v>
      </c>
      <c r="B98" t="inlineStr">
        <is>
          <t>google_brand_search</t>
        </is>
      </c>
      <c r="C98" t="inlineStr">
        <is>
          <t>google</t>
        </is>
      </c>
      <c r="D98" t="n">
        <v>7304</v>
      </c>
      <c r="E98" t="n">
        <v>1521</v>
      </c>
      <c r="F98" t="n">
        <v>68</v>
      </c>
      <c r="G98" t="n">
        <v>1</v>
      </c>
      <c r="H98" t="n">
        <v>0</v>
      </c>
      <c r="I98" t="n">
        <v>0</v>
      </c>
      <c r="J98" t="n">
        <v>0</v>
      </c>
    </row>
    <row r="99">
      <c r="A99" s="5" t="n">
        <v>45858</v>
      </c>
      <c r="B99" t="inlineStr">
        <is>
          <t>google_nonbrand_growth</t>
        </is>
      </c>
      <c r="C99" t="inlineStr">
        <is>
          <t>google</t>
        </is>
      </c>
      <c r="D99" t="n">
        <v>22963</v>
      </c>
      <c r="E99" t="n">
        <v>4783</v>
      </c>
      <c r="F99" t="n">
        <v>222</v>
      </c>
      <c r="G99" t="n">
        <v>7</v>
      </c>
      <c r="H99" t="n">
        <v>1</v>
      </c>
      <c r="I99" t="n">
        <v>2</v>
      </c>
      <c r="J99" t="n">
        <v>0</v>
      </c>
    </row>
    <row r="100">
      <c r="A100" s="5" t="n">
        <v>45858</v>
      </c>
      <c r="B100" t="inlineStr">
        <is>
          <t>meta_prospecting_founder</t>
        </is>
      </c>
      <c r="C100" t="inlineStr">
        <is>
          <t>meta</t>
        </is>
      </c>
      <c r="D100" t="n">
        <v>32727</v>
      </c>
      <c r="E100" t="n">
        <v>23376</v>
      </c>
      <c r="F100" t="n">
        <v>249</v>
      </c>
      <c r="G100" t="n">
        <v>4</v>
      </c>
      <c r="H100" t="n">
        <v>2</v>
      </c>
      <c r="I100" t="n">
        <v>0</v>
      </c>
      <c r="J100" t="n">
        <v>0</v>
      </c>
    </row>
    <row r="101">
      <c r="A101" s="5" t="n">
        <v>45858</v>
      </c>
      <c r="B101" t="inlineStr">
        <is>
          <t>meta_retargeting_webinar</t>
        </is>
      </c>
      <c r="C101" t="inlineStr">
        <is>
          <t>meta</t>
        </is>
      </c>
      <c r="D101" t="n">
        <v>8823</v>
      </c>
      <c r="E101" t="n">
        <v>6302</v>
      </c>
      <c r="F101" t="n">
        <v>78</v>
      </c>
      <c r="G101" t="n">
        <v>1</v>
      </c>
      <c r="H101" t="n">
        <v>2</v>
      </c>
      <c r="I101" t="n">
        <v>0</v>
      </c>
      <c r="J101" t="n">
        <v>0</v>
      </c>
    </row>
    <row r="102">
      <c r="A102" s="5" t="n">
        <v>45859</v>
      </c>
      <c r="B102" t="inlineStr">
        <is>
          <t>FB-Broad</t>
        </is>
      </c>
      <c r="C102" t="inlineStr">
        <is>
          <t>meta</t>
        </is>
      </c>
      <c r="D102" t="n">
        <v>17751</v>
      </c>
      <c r="E102" t="n">
        <v>12679</v>
      </c>
      <c r="F102" t="n">
        <v>130</v>
      </c>
      <c r="G102" t="n">
        <v>3</v>
      </c>
      <c r="H102" t="n">
        <v>1</v>
      </c>
      <c r="I102" t="n">
        <v>0</v>
      </c>
      <c r="J102" t="n">
        <v>0</v>
      </c>
    </row>
    <row r="103">
      <c r="A103" s="5" t="n">
        <v>45859</v>
      </c>
      <c r="B103" t="inlineStr">
        <is>
          <t>google_brand_search</t>
        </is>
      </c>
      <c r="C103" t="inlineStr">
        <is>
          <t>google</t>
        </is>
      </c>
      <c r="D103" t="n">
        <v>6448</v>
      </c>
      <c r="E103" t="n">
        <v>1343</v>
      </c>
      <c r="F103" t="n">
        <v>76</v>
      </c>
      <c r="G103" t="n">
        <v>5</v>
      </c>
      <c r="H103" t="n">
        <v>1</v>
      </c>
      <c r="I103" t="n">
        <v>1</v>
      </c>
      <c r="J103" t="n">
        <v>0</v>
      </c>
    </row>
    <row r="104">
      <c r="A104" s="5" t="n">
        <v>45859</v>
      </c>
      <c r="B104" t="inlineStr">
        <is>
          <t>google_nonbrand_growth</t>
        </is>
      </c>
      <c r="C104" t="inlineStr">
        <is>
          <t>google</t>
        </is>
      </c>
      <c r="D104" t="n">
        <v>22293</v>
      </c>
      <c r="E104" t="n">
        <v>4644</v>
      </c>
      <c r="F104" t="n">
        <v>245</v>
      </c>
      <c r="G104" t="n">
        <v>4</v>
      </c>
      <c r="H104" t="n">
        <v>1</v>
      </c>
      <c r="I104" t="n">
        <v>0</v>
      </c>
      <c r="J104" t="n">
        <v>0</v>
      </c>
    </row>
    <row r="105">
      <c r="A105" s="5" t="n">
        <v>45859</v>
      </c>
      <c r="B105" t="inlineStr">
        <is>
          <t>meta_prospecting_founder</t>
        </is>
      </c>
      <c r="C105" t="inlineStr">
        <is>
          <t>meta</t>
        </is>
      </c>
      <c r="D105" t="n">
        <v>29731</v>
      </c>
      <c r="E105" t="n">
        <v>21236</v>
      </c>
      <c r="F105" t="n">
        <v>261</v>
      </c>
      <c r="G105" t="n">
        <v>9</v>
      </c>
      <c r="H105" t="n">
        <v>2</v>
      </c>
      <c r="I105" t="n">
        <v>1</v>
      </c>
      <c r="J105" t="n">
        <v>0</v>
      </c>
    </row>
    <row r="106">
      <c r="A106" s="5" t="n">
        <v>45859</v>
      </c>
      <c r="B106" t="inlineStr">
        <is>
          <t>meta_retargeting_webinar</t>
        </is>
      </c>
      <c r="C106" t="inlineStr">
        <is>
          <t>meta</t>
        </is>
      </c>
      <c r="D106" t="n">
        <v>8685</v>
      </c>
      <c r="E106" t="n">
        <v>6203</v>
      </c>
      <c r="F106" t="n">
        <v>60</v>
      </c>
      <c r="G106" t="n">
        <v>3</v>
      </c>
      <c r="H106" t="n">
        <v>2</v>
      </c>
      <c r="I106" t="n">
        <v>0</v>
      </c>
      <c r="J106" t="n">
        <v>0</v>
      </c>
    </row>
    <row r="107">
      <c r="A107" s="5" t="n">
        <v>45860</v>
      </c>
      <c r="B107" t="inlineStr">
        <is>
          <t>FB-Broad</t>
        </is>
      </c>
      <c r="C107" t="inlineStr">
        <is>
          <t>meta</t>
        </is>
      </c>
      <c r="D107" t="n">
        <v>18006</v>
      </c>
      <c r="E107" t="n">
        <v>12861</v>
      </c>
      <c r="F107" t="n">
        <v>135</v>
      </c>
      <c r="G107" t="n">
        <v>5</v>
      </c>
      <c r="H107" t="n">
        <v>2</v>
      </c>
      <c r="I107" t="n">
        <v>1</v>
      </c>
      <c r="J107" t="n">
        <v>0</v>
      </c>
    </row>
    <row r="108">
      <c r="A108" s="5" t="n">
        <v>45860</v>
      </c>
      <c r="B108" t="inlineStr">
        <is>
          <t>google_brand_search</t>
        </is>
      </c>
      <c r="C108" t="inlineStr">
        <is>
          <t>google</t>
        </is>
      </c>
      <c r="D108" t="n">
        <v>7063</v>
      </c>
      <c r="E108" t="n">
        <v>1471</v>
      </c>
      <c r="F108" t="n">
        <v>69</v>
      </c>
      <c r="G108" t="n">
        <v>1</v>
      </c>
      <c r="H108" t="n">
        <v>1</v>
      </c>
      <c r="I108" t="n">
        <v>0</v>
      </c>
      <c r="J108" t="n">
        <v>0</v>
      </c>
    </row>
    <row r="109">
      <c r="A109" s="5" t="n">
        <v>45860</v>
      </c>
      <c r="B109" t="inlineStr">
        <is>
          <t>google_nonbrand_growth</t>
        </is>
      </c>
      <c r="C109" t="inlineStr">
        <is>
          <t>google</t>
        </is>
      </c>
      <c r="D109" t="n">
        <v>21524</v>
      </c>
      <c r="E109" t="n">
        <v>4484</v>
      </c>
      <c r="F109" t="n">
        <v>223</v>
      </c>
      <c r="G109" t="n">
        <v>4</v>
      </c>
      <c r="H109" t="n">
        <v>1</v>
      </c>
      <c r="I109" t="n">
        <v>0</v>
      </c>
      <c r="J109" t="n">
        <v>0</v>
      </c>
    </row>
    <row r="110">
      <c r="A110" s="5" t="n">
        <v>45860</v>
      </c>
      <c r="B110" t="inlineStr">
        <is>
          <t>meta_prospecting_founder</t>
        </is>
      </c>
      <c r="C110" t="inlineStr">
        <is>
          <t>meta</t>
        </is>
      </c>
      <c r="D110" t="n">
        <v>33159</v>
      </c>
      <c r="E110" t="n">
        <v>23685</v>
      </c>
      <c r="F110" t="n">
        <v>295</v>
      </c>
      <c r="G110" t="n">
        <v>8</v>
      </c>
      <c r="H110" t="n">
        <v>0</v>
      </c>
      <c r="I110" t="n">
        <v>2</v>
      </c>
      <c r="J110" t="n">
        <v>0</v>
      </c>
    </row>
    <row r="111">
      <c r="A111" s="5" t="n">
        <v>45860</v>
      </c>
      <c r="B111" t="inlineStr">
        <is>
          <t>meta_retargeting_webinar</t>
        </is>
      </c>
      <c r="C111" t="inlineStr">
        <is>
          <t>meta</t>
        </is>
      </c>
      <c r="D111" t="n">
        <v>8711</v>
      </c>
      <c r="E111" t="n">
        <v>6222</v>
      </c>
      <c r="F111" t="n">
        <v>61</v>
      </c>
      <c r="G111" t="n">
        <v>5</v>
      </c>
      <c r="H111" t="n">
        <v>2</v>
      </c>
      <c r="I111" t="n">
        <v>0</v>
      </c>
      <c r="J111" t="n">
        <v>0</v>
      </c>
    </row>
    <row r="112">
      <c r="A112" s="5" t="n">
        <v>45861</v>
      </c>
      <c r="B112" t="inlineStr">
        <is>
          <t>FB-Broad</t>
        </is>
      </c>
      <c r="C112" t="inlineStr">
        <is>
          <t>meta</t>
        </is>
      </c>
      <c r="D112" t="n">
        <v>17570</v>
      </c>
      <c r="E112" t="n">
        <v>12549</v>
      </c>
      <c r="F112" t="n">
        <v>139</v>
      </c>
      <c r="G112" t="n">
        <v>6</v>
      </c>
      <c r="H112" t="n">
        <v>0</v>
      </c>
      <c r="I112" t="n">
        <v>0</v>
      </c>
      <c r="J112" t="n">
        <v>0</v>
      </c>
    </row>
    <row r="113">
      <c r="A113" s="5" t="n">
        <v>45861</v>
      </c>
      <c r="B113" t="inlineStr">
        <is>
          <t>google_brand_search</t>
        </is>
      </c>
      <c r="C113" t="inlineStr">
        <is>
          <t>google</t>
        </is>
      </c>
      <c r="D113" t="n">
        <v>6861</v>
      </c>
      <c r="E113" t="n">
        <v>1429</v>
      </c>
      <c r="F113" t="n">
        <v>74</v>
      </c>
      <c r="G113" t="n">
        <v>2</v>
      </c>
      <c r="H113" t="n">
        <v>1</v>
      </c>
      <c r="I113" t="n">
        <v>1</v>
      </c>
      <c r="J113" t="n">
        <v>1</v>
      </c>
    </row>
    <row r="114">
      <c r="A114" s="5" t="n">
        <v>45861</v>
      </c>
      <c r="B114" t="inlineStr">
        <is>
          <t>google_nonbrand_growth</t>
        </is>
      </c>
      <c r="C114" t="inlineStr">
        <is>
          <t>google</t>
        </is>
      </c>
      <c r="D114" t="n">
        <v>21993</v>
      </c>
      <c r="E114" t="n">
        <v>4581</v>
      </c>
      <c r="F114" t="n">
        <v>249</v>
      </c>
      <c r="G114" t="n">
        <v>5</v>
      </c>
      <c r="H114" t="n">
        <v>1</v>
      </c>
      <c r="I114" t="n">
        <v>0</v>
      </c>
      <c r="J114" t="n">
        <v>0</v>
      </c>
    </row>
    <row r="115">
      <c r="A115" s="5" t="n">
        <v>45861</v>
      </c>
      <c r="B115" t="inlineStr">
        <is>
          <t>meta_prospecting_founder</t>
        </is>
      </c>
      <c r="C115" t="inlineStr">
        <is>
          <t>meta</t>
        </is>
      </c>
      <c r="D115" t="n">
        <v>34260</v>
      </c>
      <c r="E115" t="n">
        <v>24471</v>
      </c>
      <c r="F115" t="n">
        <v>304</v>
      </c>
      <c r="G115" t="n">
        <v>9</v>
      </c>
      <c r="H115" t="n">
        <v>2</v>
      </c>
      <c r="I115" t="n">
        <v>2</v>
      </c>
      <c r="J115" t="n">
        <v>0</v>
      </c>
    </row>
    <row r="116">
      <c r="A116" s="5" t="n">
        <v>45861</v>
      </c>
      <c r="B116" t="inlineStr">
        <is>
          <t>meta_retargeting_webinar</t>
        </is>
      </c>
      <c r="C116" t="inlineStr">
        <is>
          <t>meta</t>
        </is>
      </c>
      <c r="D116" t="n">
        <v>8806</v>
      </c>
      <c r="E116" t="n">
        <v>6290</v>
      </c>
      <c r="F116" t="n">
        <v>79</v>
      </c>
      <c r="G116" t="n">
        <v>2</v>
      </c>
      <c r="H116" t="n">
        <v>0</v>
      </c>
      <c r="I116" t="n">
        <v>1</v>
      </c>
      <c r="J116" t="n">
        <v>0</v>
      </c>
    </row>
    <row r="117">
      <c r="A117" s="5" t="n">
        <v>45862</v>
      </c>
      <c r="B117" t="inlineStr">
        <is>
          <t>FB-Broad</t>
        </is>
      </c>
      <c r="C117" t="inlineStr">
        <is>
          <t>meta</t>
        </is>
      </c>
      <c r="D117" t="n">
        <v>15581</v>
      </c>
      <c r="E117" t="n">
        <v>11129</v>
      </c>
      <c r="F117" t="n">
        <v>128</v>
      </c>
      <c r="G117" t="n">
        <v>3</v>
      </c>
      <c r="H117" t="n">
        <v>2</v>
      </c>
      <c r="I117" t="n">
        <v>1</v>
      </c>
      <c r="J117" t="n">
        <v>0</v>
      </c>
    </row>
    <row r="118">
      <c r="A118" s="5" t="n">
        <v>45862</v>
      </c>
      <c r="B118" t="inlineStr">
        <is>
          <t>google_brand_search</t>
        </is>
      </c>
      <c r="C118" t="inlineStr">
        <is>
          <t>google</t>
        </is>
      </c>
      <c r="D118" t="n">
        <v>6177</v>
      </c>
      <c r="E118" t="n">
        <v>1286</v>
      </c>
      <c r="F118" t="n">
        <v>67</v>
      </c>
      <c r="G118" t="n">
        <v>2</v>
      </c>
      <c r="H118" t="n">
        <v>3</v>
      </c>
      <c r="I118" t="n">
        <v>1</v>
      </c>
      <c r="J118" t="n">
        <v>0</v>
      </c>
    </row>
    <row r="119">
      <c r="A119" s="5" t="n">
        <v>45862</v>
      </c>
      <c r="B119" t="inlineStr">
        <is>
          <t>google_nonbrand_growth</t>
        </is>
      </c>
      <c r="C119" t="inlineStr">
        <is>
          <t>google</t>
        </is>
      </c>
      <c r="D119" t="n">
        <v>24783</v>
      </c>
      <c r="E119" t="n">
        <v>5163</v>
      </c>
      <c r="F119" t="n">
        <v>273</v>
      </c>
      <c r="G119" t="n">
        <v>7</v>
      </c>
      <c r="H119" t="n">
        <v>1</v>
      </c>
      <c r="I119" t="n">
        <v>0</v>
      </c>
      <c r="J119" t="n">
        <v>0</v>
      </c>
    </row>
    <row r="120">
      <c r="A120" s="5" t="n">
        <v>45862</v>
      </c>
      <c r="B120" t="inlineStr">
        <is>
          <t>meta_prospecting_founder</t>
        </is>
      </c>
      <c r="C120" t="inlineStr">
        <is>
          <t>meta</t>
        </is>
      </c>
      <c r="D120" t="n">
        <v>33736</v>
      </c>
      <c r="E120" t="n">
        <v>24097</v>
      </c>
      <c r="F120" t="n">
        <v>279</v>
      </c>
      <c r="G120" t="n">
        <v>16</v>
      </c>
      <c r="H120" t="n">
        <v>0</v>
      </c>
      <c r="I120" t="n">
        <v>1</v>
      </c>
      <c r="J120" t="n">
        <v>0</v>
      </c>
    </row>
    <row r="121">
      <c r="A121" s="5" t="n">
        <v>45862</v>
      </c>
      <c r="B121" t="inlineStr">
        <is>
          <t>meta_retargeting_webinar</t>
        </is>
      </c>
      <c r="C121" t="inlineStr">
        <is>
          <t>meta</t>
        </is>
      </c>
      <c r="D121" t="n">
        <v>8638</v>
      </c>
      <c r="E121" t="n">
        <v>6170</v>
      </c>
      <c r="F121" t="n">
        <v>58</v>
      </c>
      <c r="G121" t="n">
        <v>4</v>
      </c>
      <c r="H121" t="n">
        <v>1</v>
      </c>
      <c r="I121" t="n">
        <v>0</v>
      </c>
      <c r="J121" t="n">
        <v>0</v>
      </c>
    </row>
    <row r="122">
      <c r="A122" s="5" t="n">
        <v>45863</v>
      </c>
      <c r="B122" t="inlineStr">
        <is>
          <t>FB-Broad</t>
        </is>
      </c>
      <c r="C122" t="inlineStr">
        <is>
          <t>meta</t>
        </is>
      </c>
      <c r="D122" t="n">
        <v>16548</v>
      </c>
      <c r="E122" t="n">
        <v>11819</v>
      </c>
      <c r="F122" t="n">
        <v>111</v>
      </c>
      <c r="G122" t="n">
        <v>6</v>
      </c>
      <c r="H122" t="n">
        <v>2</v>
      </c>
      <c r="I122" t="n">
        <v>0</v>
      </c>
      <c r="J122" t="n">
        <v>0</v>
      </c>
    </row>
    <row r="123">
      <c r="A123" s="5" t="n">
        <v>45863</v>
      </c>
      <c r="B123" t="inlineStr">
        <is>
          <t>google_brand_search</t>
        </is>
      </c>
      <c r="C123" t="inlineStr">
        <is>
          <t>google</t>
        </is>
      </c>
      <c r="D123" t="n">
        <v>6166</v>
      </c>
      <c r="E123" t="n">
        <v>1284</v>
      </c>
      <c r="F123" t="n">
        <v>61</v>
      </c>
      <c r="G123" t="n">
        <v>0</v>
      </c>
      <c r="H123" t="n">
        <v>1</v>
      </c>
      <c r="I123" t="n">
        <v>0</v>
      </c>
      <c r="J123" t="n">
        <v>0</v>
      </c>
    </row>
    <row r="124">
      <c r="A124" s="5" t="n">
        <v>45863</v>
      </c>
      <c r="B124" t="inlineStr">
        <is>
          <t>google_nonbrand_growth</t>
        </is>
      </c>
      <c r="C124" t="inlineStr">
        <is>
          <t>google</t>
        </is>
      </c>
      <c r="D124" t="n">
        <v>23403</v>
      </c>
      <c r="E124" t="n">
        <v>4875</v>
      </c>
      <c r="F124" t="n">
        <v>234</v>
      </c>
      <c r="G124" t="n">
        <v>3</v>
      </c>
      <c r="H124" t="n">
        <v>0</v>
      </c>
      <c r="I124" t="n">
        <v>0</v>
      </c>
      <c r="J124" t="n">
        <v>0</v>
      </c>
    </row>
    <row r="125">
      <c r="A125" s="5" t="n">
        <v>45863</v>
      </c>
      <c r="B125" t="inlineStr">
        <is>
          <t>meta_prospecting_founder</t>
        </is>
      </c>
      <c r="C125" t="inlineStr">
        <is>
          <t>meta</t>
        </is>
      </c>
      <c r="D125" t="n">
        <v>29420</v>
      </c>
      <c r="E125" t="n">
        <v>21014</v>
      </c>
      <c r="F125" t="n">
        <v>197</v>
      </c>
      <c r="G125" t="n">
        <v>4</v>
      </c>
      <c r="H125" t="n">
        <v>1</v>
      </c>
      <c r="I125" t="n">
        <v>0</v>
      </c>
      <c r="J125" t="n">
        <v>0</v>
      </c>
    </row>
    <row r="126">
      <c r="A126" s="5" t="n">
        <v>45863</v>
      </c>
      <c r="B126" t="inlineStr">
        <is>
          <t>meta_retargeting_webinar</t>
        </is>
      </c>
      <c r="C126" t="inlineStr">
        <is>
          <t>meta</t>
        </is>
      </c>
      <c r="D126" t="n">
        <v>8585</v>
      </c>
      <c r="E126" t="n">
        <v>6132</v>
      </c>
      <c r="F126" t="n">
        <v>60</v>
      </c>
      <c r="G126" t="n">
        <v>2</v>
      </c>
      <c r="H126" t="n">
        <v>0</v>
      </c>
      <c r="I126" t="n">
        <v>0</v>
      </c>
      <c r="J126" t="n">
        <v>0</v>
      </c>
    </row>
    <row r="127">
      <c r="A127" s="5" t="n">
        <v>45864</v>
      </c>
      <c r="B127" t="inlineStr">
        <is>
          <t>FB-Broad</t>
        </is>
      </c>
      <c r="C127" t="inlineStr">
        <is>
          <t>meta</t>
        </is>
      </c>
      <c r="D127" t="n">
        <v>17813</v>
      </c>
      <c r="E127" t="n">
        <v>12723</v>
      </c>
      <c r="F127" t="n">
        <v>134</v>
      </c>
      <c r="G127" t="n">
        <v>4</v>
      </c>
      <c r="H127" t="n">
        <v>1</v>
      </c>
      <c r="I127" t="n">
        <v>0</v>
      </c>
      <c r="J127" t="n">
        <v>0</v>
      </c>
    </row>
    <row r="128">
      <c r="A128" s="5" t="n">
        <v>45864</v>
      </c>
      <c r="B128" t="inlineStr">
        <is>
          <t>google_brand_search</t>
        </is>
      </c>
      <c r="C128" t="inlineStr">
        <is>
          <t>google</t>
        </is>
      </c>
      <c r="D128" t="n">
        <v>6221</v>
      </c>
      <c r="E128" t="n">
        <v>1296</v>
      </c>
      <c r="F128" t="n">
        <v>70</v>
      </c>
      <c r="G128" t="n">
        <v>1</v>
      </c>
      <c r="H128" t="n">
        <v>1</v>
      </c>
      <c r="I128" t="n">
        <v>0</v>
      </c>
      <c r="J128" t="n">
        <v>0</v>
      </c>
    </row>
    <row r="129">
      <c r="A129" s="5" t="n">
        <v>45864</v>
      </c>
      <c r="B129" t="inlineStr">
        <is>
          <t>google_nonbrand_growth</t>
        </is>
      </c>
      <c r="C129" t="inlineStr">
        <is>
          <t>google</t>
        </is>
      </c>
      <c r="D129" t="n">
        <v>23693</v>
      </c>
      <c r="E129" t="n">
        <v>4936</v>
      </c>
      <c r="F129" t="n">
        <v>294</v>
      </c>
      <c r="G129" t="n">
        <v>3</v>
      </c>
      <c r="H129" t="n">
        <v>2</v>
      </c>
      <c r="I129" t="n">
        <v>2</v>
      </c>
      <c r="J129" t="n">
        <v>0</v>
      </c>
    </row>
    <row r="130">
      <c r="A130" s="5" t="n">
        <v>45864</v>
      </c>
      <c r="B130" t="inlineStr">
        <is>
          <t>meta_prospecting_founder</t>
        </is>
      </c>
      <c r="C130" t="inlineStr">
        <is>
          <t>meta</t>
        </is>
      </c>
      <c r="D130" t="n">
        <v>30330</v>
      </c>
      <c r="E130" t="n">
        <v>21664</v>
      </c>
      <c r="F130" t="n">
        <v>203</v>
      </c>
      <c r="G130" t="n">
        <v>9</v>
      </c>
      <c r="H130" t="n">
        <v>4</v>
      </c>
      <c r="I130" t="n">
        <v>0</v>
      </c>
      <c r="J130" t="n">
        <v>0</v>
      </c>
    </row>
    <row r="131">
      <c r="A131" s="5" t="n">
        <v>45864</v>
      </c>
      <c r="B131" t="inlineStr">
        <is>
          <t>meta_retargeting_webinar</t>
        </is>
      </c>
      <c r="C131" t="inlineStr">
        <is>
          <t>meta</t>
        </is>
      </c>
      <c r="D131" t="n">
        <v>9275</v>
      </c>
      <c r="E131" t="n">
        <v>6625</v>
      </c>
      <c r="F131" t="n">
        <v>63</v>
      </c>
      <c r="G131" t="n">
        <v>2</v>
      </c>
      <c r="H131" t="n">
        <v>2</v>
      </c>
      <c r="I131" t="n">
        <v>0</v>
      </c>
      <c r="J131" t="n">
        <v>0</v>
      </c>
    </row>
    <row r="132">
      <c r="A132" s="5" t="n">
        <v>45865</v>
      </c>
      <c r="B132" t="inlineStr">
        <is>
          <t>FB-Broad</t>
        </is>
      </c>
      <c r="C132" t="inlineStr">
        <is>
          <t>meta</t>
        </is>
      </c>
      <c r="D132" t="n">
        <v>16496</v>
      </c>
      <c r="E132" t="n">
        <v>11782</v>
      </c>
      <c r="F132" t="n">
        <v>110</v>
      </c>
      <c r="G132" t="n">
        <v>2</v>
      </c>
      <c r="H132" t="n">
        <v>0</v>
      </c>
      <c r="I132" t="n">
        <v>1</v>
      </c>
      <c r="J132" t="n">
        <v>0</v>
      </c>
    </row>
    <row r="133">
      <c r="A133" s="5" t="n">
        <v>45865</v>
      </c>
      <c r="B133" t="inlineStr">
        <is>
          <t>google_brand_search</t>
        </is>
      </c>
      <c r="C133" t="inlineStr">
        <is>
          <t>google</t>
        </is>
      </c>
      <c r="D133" t="n">
        <v>6721</v>
      </c>
      <c r="E133" t="n">
        <v>1400</v>
      </c>
      <c r="F133" t="n">
        <v>63</v>
      </c>
      <c r="G133" t="n">
        <v>2</v>
      </c>
      <c r="H133" t="n">
        <v>0</v>
      </c>
      <c r="I133" t="n">
        <v>0</v>
      </c>
      <c r="J133" t="n">
        <v>0</v>
      </c>
    </row>
    <row r="134">
      <c r="A134" s="5" t="n">
        <v>45865</v>
      </c>
      <c r="B134" t="inlineStr">
        <is>
          <t>google_nonbrand_growth</t>
        </is>
      </c>
      <c r="C134" t="inlineStr">
        <is>
          <t>google</t>
        </is>
      </c>
      <c r="D134" t="n">
        <v>23880</v>
      </c>
      <c r="E134" t="n">
        <v>4975</v>
      </c>
      <c r="F134" t="n">
        <v>258</v>
      </c>
      <c r="G134" t="n">
        <v>2</v>
      </c>
      <c r="H134" t="n">
        <v>2</v>
      </c>
      <c r="I134" t="n">
        <v>2</v>
      </c>
      <c r="J134" t="n">
        <v>0</v>
      </c>
    </row>
    <row r="135">
      <c r="A135" s="5" t="n">
        <v>45865</v>
      </c>
      <c r="B135" t="inlineStr">
        <is>
          <t>meta_prospecting_founder</t>
        </is>
      </c>
      <c r="C135" t="inlineStr">
        <is>
          <t>meta</t>
        </is>
      </c>
      <c r="D135" t="n">
        <v>35424</v>
      </c>
      <c r="E135" t="n">
        <v>25302</v>
      </c>
      <c r="F135" t="n">
        <v>246</v>
      </c>
      <c r="G135" t="n">
        <v>10</v>
      </c>
      <c r="H135" t="n">
        <v>1</v>
      </c>
      <c r="I135" t="n">
        <v>0</v>
      </c>
      <c r="J135" t="n">
        <v>0</v>
      </c>
    </row>
    <row r="136">
      <c r="A136" s="5" t="n">
        <v>45865</v>
      </c>
      <c r="B136" t="inlineStr">
        <is>
          <t>meta_retargeting_webinar</t>
        </is>
      </c>
      <c r="C136" t="inlineStr">
        <is>
          <t>meta</t>
        </is>
      </c>
      <c r="D136" t="n">
        <v>8867</v>
      </c>
      <c r="E136" t="n">
        <v>6333</v>
      </c>
      <c r="F136" t="n">
        <v>73</v>
      </c>
      <c r="G136" t="n">
        <v>4</v>
      </c>
      <c r="H136" t="n">
        <v>1</v>
      </c>
      <c r="I136" t="n">
        <v>0</v>
      </c>
      <c r="J136" t="n">
        <v>0</v>
      </c>
    </row>
    <row r="137">
      <c r="A137" s="5" t="n">
        <v>45866</v>
      </c>
      <c r="B137" t="inlineStr">
        <is>
          <t>FB-Broad</t>
        </is>
      </c>
      <c r="C137" t="inlineStr">
        <is>
          <t>meta</t>
        </is>
      </c>
      <c r="D137" t="n">
        <v>18097</v>
      </c>
      <c r="E137" t="n">
        <v>12926</v>
      </c>
      <c r="F137" t="n">
        <v>144</v>
      </c>
      <c r="G137" t="n">
        <v>3</v>
      </c>
      <c r="H137" t="n">
        <v>2</v>
      </c>
      <c r="I137" t="n">
        <v>1</v>
      </c>
      <c r="J137" t="n">
        <v>0</v>
      </c>
    </row>
    <row r="138">
      <c r="A138" s="5" t="n">
        <v>45866</v>
      </c>
      <c r="B138" t="inlineStr">
        <is>
          <t>google_brand_search</t>
        </is>
      </c>
      <c r="C138" t="inlineStr">
        <is>
          <t>google</t>
        </is>
      </c>
      <c r="D138" t="n">
        <v>7484</v>
      </c>
      <c r="E138" t="n">
        <v>1559</v>
      </c>
      <c r="F138" t="n">
        <v>79</v>
      </c>
      <c r="G138" t="n">
        <v>4</v>
      </c>
      <c r="H138" t="n">
        <v>2</v>
      </c>
      <c r="I138" t="n">
        <v>0</v>
      </c>
      <c r="J138" t="n">
        <v>1</v>
      </c>
    </row>
    <row r="139">
      <c r="A139" s="5" t="n">
        <v>45866</v>
      </c>
      <c r="B139" t="inlineStr">
        <is>
          <t>google_nonbrand_growth</t>
        </is>
      </c>
      <c r="C139" t="inlineStr">
        <is>
          <t>google</t>
        </is>
      </c>
      <c r="D139" t="n">
        <v>20969</v>
      </c>
      <c r="E139" t="n">
        <v>4368</v>
      </c>
      <c r="F139" t="n">
        <v>220</v>
      </c>
      <c r="G139" t="n">
        <v>2</v>
      </c>
      <c r="H139" t="n">
        <v>1</v>
      </c>
      <c r="I139" t="n">
        <v>0</v>
      </c>
      <c r="J139" t="n">
        <v>0</v>
      </c>
    </row>
    <row r="140">
      <c r="A140" s="5" t="n">
        <v>45866</v>
      </c>
      <c r="B140" t="inlineStr">
        <is>
          <t>meta_prospecting_founder</t>
        </is>
      </c>
      <c r="C140" t="inlineStr">
        <is>
          <t>meta</t>
        </is>
      </c>
      <c r="D140" t="n">
        <v>34399</v>
      </c>
      <c r="E140" t="n">
        <v>24570</v>
      </c>
      <c r="F140" t="n">
        <v>279</v>
      </c>
      <c r="G140" t="n">
        <v>8</v>
      </c>
      <c r="H140" t="n">
        <v>1</v>
      </c>
      <c r="I140" t="n">
        <v>3</v>
      </c>
      <c r="J140" t="n">
        <v>0</v>
      </c>
    </row>
    <row r="141">
      <c r="A141" s="5" t="n">
        <v>45866</v>
      </c>
      <c r="B141" t="inlineStr">
        <is>
          <t>meta_retargeting_webinar</t>
        </is>
      </c>
      <c r="C141" t="inlineStr">
        <is>
          <t>meta</t>
        </is>
      </c>
      <c r="D141" t="n">
        <v>8562</v>
      </c>
      <c r="E141" t="n">
        <v>6115</v>
      </c>
      <c r="F141" t="n">
        <v>60</v>
      </c>
      <c r="G141" t="n">
        <v>5</v>
      </c>
      <c r="H141" t="n">
        <v>1</v>
      </c>
      <c r="I141" t="n">
        <v>0</v>
      </c>
      <c r="J141" t="n">
        <v>0</v>
      </c>
    </row>
    <row r="142">
      <c r="A142" s="5" t="n">
        <v>45867</v>
      </c>
      <c r="B142" t="inlineStr">
        <is>
          <t>FB-Broad</t>
        </is>
      </c>
      <c r="C142" t="inlineStr">
        <is>
          <t>meta</t>
        </is>
      </c>
      <c r="D142" t="n">
        <v>16800</v>
      </c>
      <c r="E142" t="n">
        <v>12000</v>
      </c>
      <c r="F142" t="n">
        <v>142</v>
      </c>
      <c r="G142" t="n">
        <v>5</v>
      </c>
      <c r="H142" t="n">
        <v>1</v>
      </c>
      <c r="I142" t="n">
        <v>0</v>
      </c>
      <c r="J142" t="n">
        <v>0</v>
      </c>
    </row>
    <row r="143">
      <c r="A143" s="5" t="n">
        <v>45867</v>
      </c>
      <c r="B143" t="inlineStr">
        <is>
          <t>google_brand_search</t>
        </is>
      </c>
      <c r="C143" t="inlineStr">
        <is>
          <t>google</t>
        </is>
      </c>
      <c r="D143" t="n">
        <v>6477</v>
      </c>
      <c r="E143" t="n">
        <v>1349</v>
      </c>
      <c r="F143" t="n">
        <v>73</v>
      </c>
      <c r="G143" t="n">
        <v>2</v>
      </c>
      <c r="H143" t="n">
        <v>1</v>
      </c>
      <c r="I143" t="n">
        <v>2</v>
      </c>
      <c r="J143" t="n">
        <v>0</v>
      </c>
    </row>
    <row r="144">
      <c r="A144" s="5" t="n">
        <v>45867</v>
      </c>
      <c r="B144" t="inlineStr">
        <is>
          <t>google_nonbrand_growth</t>
        </is>
      </c>
      <c r="C144" t="inlineStr">
        <is>
          <t>google</t>
        </is>
      </c>
      <c r="D144" t="n">
        <v>20818</v>
      </c>
      <c r="E144" t="n">
        <v>4337</v>
      </c>
      <c r="F144" t="n">
        <v>193</v>
      </c>
      <c r="G144" t="n">
        <v>3</v>
      </c>
      <c r="H144" t="n">
        <v>0</v>
      </c>
      <c r="I144" t="n">
        <v>0</v>
      </c>
      <c r="J144" t="n">
        <v>0</v>
      </c>
    </row>
    <row r="145">
      <c r="A145" s="5" t="n">
        <v>45867</v>
      </c>
      <c r="B145" t="inlineStr">
        <is>
          <t>meta_prospecting_founder</t>
        </is>
      </c>
      <c r="C145" t="inlineStr">
        <is>
          <t>meta</t>
        </is>
      </c>
      <c r="D145" t="n">
        <v>32550</v>
      </c>
      <c r="E145" t="n">
        <v>23250</v>
      </c>
      <c r="F145" t="n">
        <v>221</v>
      </c>
      <c r="G145" t="n">
        <v>8</v>
      </c>
      <c r="H145" t="n">
        <v>4</v>
      </c>
      <c r="I145" t="n">
        <v>1</v>
      </c>
      <c r="J145" t="n">
        <v>0</v>
      </c>
    </row>
    <row r="146">
      <c r="A146" s="5" t="n">
        <v>45867</v>
      </c>
      <c r="B146" t="inlineStr">
        <is>
          <t>meta_retargeting_webinar</t>
        </is>
      </c>
      <c r="C146" t="inlineStr">
        <is>
          <t>meta</t>
        </is>
      </c>
      <c r="D146" t="n">
        <v>8437</v>
      </c>
      <c r="E146" t="n">
        <v>6026</v>
      </c>
      <c r="F146" t="n">
        <v>65</v>
      </c>
      <c r="G146" t="n">
        <v>4</v>
      </c>
      <c r="H146" t="n">
        <v>2</v>
      </c>
      <c r="I146" t="n">
        <v>1</v>
      </c>
      <c r="J146" t="n">
        <v>0</v>
      </c>
    </row>
    <row r="147">
      <c r="A147" s="5" t="n">
        <v>45868</v>
      </c>
      <c r="B147" t="inlineStr">
        <is>
          <t>FB-Broad</t>
        </is>
      </c>
      <c r="C147" t="inlineStr">
        <is>
          <t>meta</t>
        </is>
      </c>
      <c r="D147" t="n">
        <v>15520</v>
      </c>
      <c r="E147" t="n">
        <v>11085</v>
      </c>
      <c r="F147" t="n">
        <v>135</v>
      </c>
      <c r="G147" t="n">
        <v>4</v>
      </c>
      <c r="H147" t="n">
        <v>0</v>
      </c>
      <c r="I147" t="n">
        <v>0</v>
      </c>
      <c r="J147" t="n">
        <v>0</v>
      </c>
    </row>
    <row r="148">
      <c r="A148" s="5" t="n">
        <v>45868</v>
      </c>
      <c r="B148" t="inlineStr">
        <is>
          <t>google_brand_search</t>
        </is>
      </c>
      <c r="C148" t="inlineStr">
        <is>
          <t>google</t>
        </is>
      </c>
      <c r="D148" t="n">
        <v>7388</v>
      </c>
      <c r="E148" t="n">
        <v>1539</v>
      </c>
      <c r="F148" t="n">
        <v>71</v>
      </c>
      <c r="G148" t="n">
        <v>2</v>
      </c>
      <c r="H148" t="n">
        <v>2</v>
      </c>
      <c r="I148" t="n">
        <v>0</v>
      </c>
      <c r="J148" t="n">
        <v>0</v>
      </c>
    </row>
    <row r="149">
      <c r="A149" s="5" t="n">
        <v>45868</v>
      </c>
      <c r="B149" t="inlineStr">
        <is>
          <t>google_nonbrand_growth</t>
        </is>
      </c>
      <c r="C149" t="inlineStr">
        <is>
          <t>google</t>
        </is>
      </c>
      <c r="D149" t="n">
        <v>22910</v>
      </c>
      <c r="E149" t="n">
        <v>4772</v>
      </c>
      <c r="F149" t="n">
        <v>245</v>
      </c>
      <c r="G149" t="n">
        <v>2</v>
      </c>
      <c r="H149" t="n">
        <v>1</v>
      </c>
      <c r="I149" t="n">
        <v>1</v>
      </c>
      <c r="J149" t="n">
        <v>0</v>
      </c>
    </row>
    <row r="150">
      <c r="A150" s="5" t="n">
        <v>45868</v>
      </c>
      <c r="B150" t="inlineStr">
        <is>
          <t>meta_prospecting_founder</t>
        </is>
      </c>
      <c r="C150" t="inlineStr">
        <is>
          <t>meta</t>
        </is>
      </c>
      <c r="D150" t="n">
        <v>32611</v>
      </c>
      <c r="E150" t="n">
        <v>23293</v>
      </c>
      <c r="F150" t="n">
        <v>273</v>
      </c>
      <c r="G150" t="n">
        <v>9</v>
      </c>
      <c r="H150" t="n">
        <v>2</v>
      </c>
      <c r="I150" t="n">
        <v>0</v>
      </c>
      <c r="J150" t="n">
        <v>0</v>
      </c>
    </row>
    <row r="151">
      <c r="A151" s="5" t="n">
        <v>45868</v>
      </c>
      <c r="B151" t="inlineStr">
        <is>
          <t>meta_retargeting_webinar</t>
        </is>
      </c>
      <c r="C151" t="inlineStr">
        <is>
          <t>meta</t>
        </is>
      </c>
      <c r="D151" t="n">
        <v>9214</v>
      </c>
      <c r="E151" t="n">
        <v>6581</v>
      </c>
      <c r="F151" t="n">
        <v>72</v>
      </c>
      <c r="G151" t="n">
        <v>2</v>
      </c>
      <c r="H151" t="n">
        <v>1</v>
      </c>
      <c r="I151" t="n">
        <v>0</v>
      </c>
      <c r="J151" t="n">
        <v>0</v>
      </c>
    </row>
    <row r="152">
      <c r="A152" s="5" t="n">
        <v>45869</v>
      </c>
      <c r="B152" t="inlineStr">
        <is>
          <t>FB-Broad</t>
        </is>
      </c>
      <c r="C152" t="inlineStr">
        <is>
          <t>meta</t>
        </is>
      </c>
      <c r="D152" t="n">
        <v>16122</v>
      </c>
      <c r="E152" t="n">
        <v>11515</v>
      </c>
      <c r="F152" t="n">
        <v>145</v>
      </c>
      <c r="G152" t="n">
        <v>1</v>
      </c>
      <c r="H152" t="n">
        <v>1</v>
      </c>
      <c r="I152" t="n">
        <v>0</v>
      </c>
      <c r="J152" t="n">
        <v>0</v>
      </c>
    </row>
    <row r="153">
      <c r="A153" s="5" t="n">
        <v>45869</v>
      </c>
      <c r="B153" t="inlineStr">
        <is>
          <t>google_brand_search</t>
        </is>
      </c>
      <c r="C153" t="inlineStr">
        <is>
          <t>google</t>
        </is>
      </c>
      <c r="D153" t="n">
        <v>6567</v>
      </c>
      <c r="E153" t="n">
        <v>1368</v>
      </c>
      <c r="F153" t="n">
        <v>68</v>
      </c>
      <c r="G153" t="n">
        <v>1</v>
      </c>
      <c r="H153" t="n">
        <v>0</v>
      </c>
      <c r="I153" t="n">
        <v>1</v>
      </c>
      <c r="J153" t="n">
        <v>0</v>
      </c>
    </row>
    <row r="154">
      <c r="A154" s="5" t="n">
        <v>45869</v>
      </c>
      <c r="B154" t="inlineStr">
        <is>
          <t>google_nonbrand_growth</t>
        </is>
      </c>
      <c r="C154" t="inlineStr">
        <is>
          <t>google</t>
        </is>
      </c>
      <c r="D154" t="n">
        <v>23040</v>
      </c>
      <c r="E154" t="n">
        <v>4800</v>
      </c>
      <c r="F154" t="n">
        <v>272</v>
      </c>
      <c r="G154" t="n">
        <v>2</v>
      </c>
      <c r="H154" t="n">
        <v>1</v>
      </c>
      <c r="I154" t="n">
        <v>0</v>
      </c>
      <c r="J154" t="n">
        <v>0</v>
      </c>
    </row>
    <row r="155">
      <c r="A155" s="5" t="n">
        <v>45869</v>
      </c>
      <c r="B155" t="inlineStr">
        <is>
          <t>meta_prospecting_founder</t>
        </is>
      </c>
      <c r="C155" t="inlineStr">
        <is>
          <t>meta</t>
        </is>
      </c>
      <c r="D155" t="n">
        <v>32848</v>
      </c>
      <c r="E155" t="n">
        <v>23462</v>
      </c>
      <c r="F155" t="n">
        <v>223</v>
      </c>
      <c r="G155" t="n">
        <v>5</v>
      </c>
      <c r="H155" t="n">
        <v>5</v>
      </c>
      <c r="I155" t="n">
        <v>1</v>
      </c>
      <c r="J155" t="n">
        <v>0</v>
      </c>
    </row>
    <row r="156">
      <c r="A156" s="5" t="n">
        <v>45869</v>
      </c>
      <c r="B156" t="inlineStr">
        <is>
          <t>meta_retargeting_webinar</t>
        </is>
      </c>
      <c r="C156" t="inlineStr">
        <is>
          <t>meta</t>
        </is>
      </c>
      <c r="D156" t="n">
        <v>8931</v>
      </c>
      <c r="E156" t="n">
        <v>6379</v>
      </c>
      <c r="F156" t="n">
        <v>68</v>
      </c>
      <c r="G156" t="n">
        <v>3</v>
      </c>
      <c r="H156" t="n">
        <v>0</v>
      </c>
      <c r="I156" t="n">
        <v>0</v>
      </c>
      <c r="J156" t="n">
        <v>0</v>
      </c>
    </row>
    <row r="157">
      <c r="A157" s="5" t="n">
        <v>45870</v>
      </c>
      <c r="B157" t="inlineStr">
        <is>
          <t>FB-Broad</t>
        </is>
      </c>
      <c r="C157" t="inlineStr">
        <is>
          <t>meta</t>
        </is>
      </c>
      <c r="D157" t="n">
        <v>16818</v>
      </c>
      <c r="E157" t="n">
        <v>12012</v>
      </c>
      <c r="F157" t="n">
        <v>147</v>
      </c>
      <c r="G157" t="n">
        <v>1</v>
      </c>
      <c r="H157" t="n">
        <v>0</v>
      </c>
      <c r="I157" t="n">
        <v>0</v>
      </c>
      <c r="J157" t="n">
        <v>0</v>
      </c>
    </row>
    <row r="158">
      <c r="A158" s="5" t="n">
        <v>45870</v>
      </c>
      <c r="B158" t="inlineStr">
        <is>
          <t>google_brand_search</t>
        </is>
      </c>
      <c r="C158" t="inlineStr">
        <is>
          <t>google</t>
        </is>
      </c>
      <c r="D158" t="n">
        <v>7085</v>
      </c>
      <c r="E158" t="n">
        <v>1476</v>
      </c>
      <c r="F158" t="n">
        <v>81</v>
      </c>
      <c r="G158" t="n">
        <v>2</v>
      </c>
      <c r="H158" t="n">
        <v>2</v>
      </c>
      <c r="I158" t="n">
        <v>0</v>
      </c>
      <c r="J158" t="n">
        <v>0</v>
      </c>
    </row>
    <row r="159">
      <c r="A159" s="5" t="n">
        <v>45870</v>
      </c>
      <c r="B159" t="inlineStr">
        <is>
          <t>google_nonbrand_growth</t>
        </is>
      </c>
      <c r="C159" t="inlineStr">
        <is>
          <t>google</t>
        </is>
      </c>
      <c r="D159" t="n">
        <v>24024</v>
      </c>
      <c r="E159" t="n">
        <v>5005</v>
      </c>
      <c r="F159" t="n">
        <v>278</v>
      </c>
      <c r="G159" t="n">
        <v>0</v>
      </c>
      <c r="H159" t="n">
        <v>3</v>
      </c>
      <c r="I159" t="n">
        <v>0</v>
      </c>
      <c r="J159" t="n">
        <v>0</v>
      </c>
    </row>
    <row r="160">
      <c r="A160" s="5" t="n">
        <v>45870</v>
      </c>
      <c r="B160" t="inlineStr">
        <is>
          <t>meta_prospecting_founder</t>
        </is>
      </c>
      <c r="C160" t="inlineStr">
        <is>
          <t>meta</t>
        </is>
      </c>
      <c r="D160" t="n">
        <v>29168</v>
      </c>
      <c r="E160" t="n">
        <v>20834</v>
      </c>
      <c r="F160" t="n">
        <v>218</v>
      </c>
      <c r="G160" t="n">
        <v>11</v>
      </c>
      <c r="H160" t="n">
        <v>1</v>
      </c>
      <c r="I160" t="n">
        <v>0</v>
      </c>
      <c r="J160" t="n">
        <v>0</v>
      </c>
    </row>
    <row r="161">
      <c r="A161" s="5" t="n">
        <v>45870</v>
      </c>
      <c r="B161" t="inlineStr">
        <is>
          <t>meta_retargeting_webinar</t>
        </is>
      </c>
      <c r="C161" t="inlineStr">
        <is>
          <t>meta</t>
        </is>
      </c>
      <c r="D161" t="n">
        <v>8794</v>
      </c>
      <c r="E161" t="n">
        <v>6281</v>
      </c>
      <c r="F161" t="n">
        <v>61</v>
      </c>
      <c r="G161" t="n">
        <v>4</v>
      </c>
      <c r="H161" t="n">
        <v>1</v>
      </c>
      <c r="I161" t="n">
        <v>1</v>
      </c>
      <c r="J161" t="n">
        <v>0</v>
      </c>
    </row>
    <row r="162">
      <c r="A162" s="5" t="n">
        <v>45871</v>
      </c>
      <c r="B162" t="inlineStr">
        <is>
          <t>FB-Broad</t>
        </is>
      </c>
      <c r="C162" t="inlineStr">
        <is>
          <t>meta</t>
        </is>
      </c>
      <c r="D162" t="n">
        <v>17232</v>
      </c>
      <c r="E162" t="n">
        <v>12308</v>
      </c>
      <c r="F162" t="n">
        <v>133</v>
      </c>
      <c r="G162" t="n">
        <v>0</v>
      </c>
      <c r="H162" t="n">
        <v>0</v>
      </c>
      <c r="I162" t="n">
        <v>0</v>
      </c>
      <c r="J162" t="n">
        <v>0</v>
      </c>
    </row>
    <row r="163">
      <c r="A163" s="5" t="n">
        <v>45871</v>
      </c>
      <c r="B163" t="inlineStr">
        <is>
          <t>google_brand_search</t>
        </is>
      </c>
      <c r="C163" t="inlineStr">
        <is>
          <t>google</t>
        </is>
      </c>
      <c r="D163" t="n">
        <v>6497</v>
      </c>
      <c r="E163" t="n">
        <v>1353</v>
      </c>
      <c r="F163" t="n">
        <v>71</v>
      </c>
      <c r="G163" t="n">
        <v>3</v>
      </c>
      <c r="H163" t="n">
        <v>0</v>
      </c>
      <c r="I163" t="n">
        <v>1</v>
      </c>
      <c r="J163" t="n">
        <v>2</v>
      </c>
    </row>
    <row r="164">
      <c r="A164" s="5" t="n">
        <v>45871</v>
      </c>
      <c r="B164" t="inlineStr">
        <is>
          <t>google_nonbrand_growth</t>
        </is>
      </c>
      <c r="C164" t="inlineStr">
        <is>
          <t>google</t>
        </is>
      </c>
      <c r="D164" t="n">
        <v>22034</v>
      </c>
      <c r="E164" t="n">
        <v>4590</v>
      </c>
      <c r="F164" t="n">
        <v>248</v>
      </c>
      <c r="G164" t="n">
        <v>3</v>
      </c>
      <c r="H164" t="n">
        <v>0</v>
      </c>
      <c r="I164" t="n">
        <v>0</v>
      </c>
      <c r="J164" t="n">
        <v>0</v>
      </c>
    </row>
    <row r="165">
      <c r="A165" s="5" t="n">
        <v>45871</v>
      </c>
      <c r="B165" t="inlineStr">
        <is>
          <t>meta_prospecting_founder</t>
        </is>
      </c>
      <c r="C165" t="inlineStr">
        <is>
          <t>meta</t>
        </is>
      </c>
      <c r="D165" t="n">
        <v>32913</v>
      </c>
      <c r="E165" t="n">
        <v>23509</v>
      </c>
      <c r="F165" t="n">
        <v>262</v>
      </c>
      <c r="G165" t="n">
        <v>9</v>
      </c>
      <c r="H165" t="n">
        <v>3</v>
      </c>
      <c r="I165" t="n">
        <v>1</v>
      </c>
      <c r="J165" t="n">
        <v>0</v>
      </c>
    </row>
    <row r="166">
      <c r="A166" s="5" t="n">
        <v>45871</v>
      </c>
      <c r="B166" t="inlineStr">
        <is>
          <t>meta_retargeting_webinar</t>
        </is>
      </c>
      <c r="C166" t="inlineStr">
        <is>
          <t>meta</t>
        </is>
      </c>
      <c r="D166" t="n">
        <v>9068</v>
      </c>
      <c r="E166" t="n">
        <v>6477</v>
      </c>
      <c r="F166" t="n">
        <v>63</v>
      </c>
      <c r="G166" t="n">
        <v>3</v>
      </c>
      <c r="H166" t="n">
        <v>1</v>
      </c>
      <c r="I166" t="n">
        <v>0</v>
      </c>
      <c r="J166" t="n">
        <v>0</v>
      </c>
    </row>
    <row r="167">
      <c r="A167" s="5" t="n">
        <v>45872</v>
      </c>
      <c r="B167" t="inlineStr">
        <is>
          <t>FB-Broad</t>
        </is>
      </c>
      <c r="C167" t="inlineStr">
        <is>
          <t>meta</t>
        </is>
      </c>
      <c r="D167" t="n">
        <v>17317</v>
      </c>
      <c r="E167" t="n">
        <v>12369</v>
      </c>
      <c r="F167" t="n">
        <v>139</v>
      </c>
      <c r="G167" t="n">
        <v>3</v>
      </c>
      <c r="H167" t="n">
        <v>0</v>
      </c>
      <c r="I167" t="n">
        <v>0</v>
      </c>
      <c r="J167" t="n">
        <v>0</v>
      </c>
    </row>
    <row r="168">
      <c r="A168" s="5" t="n">
        <v>45872</v>
      </c>
      <c r="B168" t="inlineStr">
        <is>
          <t>google_brand_search</t>
        </is>
      </c>
      <c r="C168" t="inlineStr">
        <is>
          <t>google</t>
        </is>
      </c>
      <c r="D168" t="n">
        <v>6951</v>
      </c>
      <c r="E168" t="n">
        <v>1448</v>
      </c>
      <c r="F168" t="n">
        <v>77</v>
      </c>
      <c r="G168" t="n">
        <v>1</v>
      </c>
      <c r="H168" t="n">
        <v>0</v>
      </c>
      <c r="I168" t="n">
        <v>1</v>
      </c>
      <c r="J168" t="n">
        <v>0</v>
      </c>
    </row>
    <row r="169">
      <c r="A169" s="5" t="n">
        <v>45872</v>
      </c>
      <c r="B169" t="inlineStr">
        <is>
          <t>google_nonbrand_growth</t>
        </is>
      </c>
      <c r="C169" t="inlineStr">
        <is>
          <t>google</t>
        </is>
      </c>
      <c r="D169" t="n">
        <v>22024</v>
      </c>
      <c r="E169" t="n">
        <v>4588</v>
      </c>
      <c r="F169" t="n">
        <v>238</v>
      </c>
      <c r="G169" t="n">
        <v>3</v>
      </c>
      <c r="H169" t="n">
        <v>2</v>
      </c>
      <c r="I169" t="n">
        <v>1</v>
      </c>
      <c r="J169" t="n">
        <v>0</v>
      </c>
    </row>
    <row r="170">
      <c r="A170" s="5" t="n">
        <v>45872</v>
      </c>
      <c r="B170" t="inlineStr">
        <is>
          <t>meta_prospecting_founder</t>
        </is>
      </c>
      <c r="C170" t="inlineStr">
        <is>
          <t>meta</t>
        </is>
      </c>
      <c r="D170" t="n">
        <v>32319</v>
      </c>
      <c r="E170" t="n">
        <v>23085</v>
      </c>
      <c r="F170" t="n">
        <v>291</v>
      </c>
      <c r="G170" t="n">
        <v>5</v>
      </c>
      <c r="H170" t="n">
        <v>1</v>
      </c>
      <c r="I170" t="n">
        <v>0</v>
      </c>
      <c r="J170" t="n">
        <v>0</v>
      </c>
    </row>
    <row r="171">
      <c r="A171" s="5" t="n">
        <v>45872</v>
      </c>
      <c r="B171" t="inlineStr">
        <is>
          <t>meta_retargeting_webinar</t>
        </is>
      </c>
      <c r="C171" t="inlineStr">
        <is>
          <t>meta</t>
        </is>
      </c>
      <c r="D171" t="n">
        <v>9406</v>
      </c>
      <c r="E171" t="n">
        <v>6718</v>
      </c>
      <c r="F171" t="n">
        <v>69</v>
      </c>
      <c r="G171" t="n">
        <v>2</v>
      </c>
      <c r="H171" t="n">
        <v>1</v>
      </c>
      <c r="I171" t="n">
        <v>0</v>
      </c>
      <c r="J171" t="n">
        <v>0</v>
      </c>
    </row>
    <row r="172">
      <c r="A172" s="5" t="n">
        <v>45873</v>
      </c>
      <c r="B172" t="inlineStr">
        <is>
          <t>FB-Broad</t>
        </is>
      </c>
      <c r="C172" t="inlineStr">
        <is>
          <t>meta</t>
        </is>
      </c>
      <c r="D172" t="n">
        <v>16507</v>
      </c>
      <c r="E172" t="n">
        <v>11790</v>
      </c>
      <c r="F172" t="n">
        <v>124</v>
      </c>
      <c r="G172" t="n">
        <v>5</v>
      </c>
      <c r="H172" t="n">
        <v>2</v>
      </c>
      <c r="I172" t="n">
        <v>0</v>
      </c>
      <c r="J172" t="n">
        <v>0</v>
      </c>
    </row>
    <row r="173">
      <c r="A173" s="5" t="n">
        <v>45873</v>
      </c>
      <c r="B173" t="inlineStr">
        <is>
          <t>google_brand_search</t>
        </is>
      </c>
      <c r="C173" t="inlineStr">
        <is>
          <t>google</t>
        </is>
      </c>
      <c r="D173" t="n">
        <v>7140</v>
      </c>
      <c r="E173" t="n">
        <v>1487</v>
      </c>
      <c r="F173" t="n">
        <v>77</v>
      </c>
      <c r="G173" t="n">
        <v>5</v>
      </c>
      <c r="H173" t="n">
        <v>0</v>
      </c>
      <c r="I173" t="n">
        <v>1</v>
      </c>
      <c r="J173" t="n">
        <v>0</v>
      </c>
    </row>
    <row r="174">
      <c r="A174" s="5" t="n">
        <v>45873</v>
      </c>
      <c r="B174" t="inlineStr">
        <is>
          <t>google_nonbrand_growth</t>
        </is>
      </c>
      <c r="C174" t="inlineStr">
        <is>
          <t>google</t>
        </is>
      </c>
      <c r="D174" t="n">
        <v>24525</v>
      </c>
      <c r="E174" t="n">
        <v>5109</v>
      </c>
      <c r="F174" t="n">
        <v>228</v>
      </c>
      <c r="G174" t="n">
        <v>8</v>
      </c>
      <c r="H174" t="n">
        <v>1</v>
      </c>
      <c r="I174" t="n">
        <v>1</v>
      </c>
      <c r="J174" t="n">
        <v>0</v>
      </c>
    </row>
    <row r="175">
      <c r="A175" s="5" t="n">
        <v>45873</v>
      </c>
      <c r="B175" t="inlineStr">
        <is>
          <t>meta_prospecting_founder</t>
        </is>
      </c>
      <c r="C175" t="inlineStr">
        <is>
          <t>meta</t>
        </is>
      </c>
      <c r="D175" t="n">
        <v>35371</v>
      </c>
      <c r="E175" t="n">
        <v>25264</v>
      </c>
      <c r="F175" t="n">
        <v>285</v>
      </c>
      <c r="G175" t="n">
        <v>6</v>
      </c>
      <c r="H175" t="n">
        <v>5</v>
      </c>
      <c r="I175" t="n">
        <v>1</v>
      </c>
      <c r="J175" t="n">
        <v>0</v>
      </c>
    </row>
    <row r="176">
      <c r="A176" s="5" t="n">
        <v>45873</v>
      </c>
      <c r="B176" t="inlineStr">
        <is>
          <t>meta_retargeting_webinar</t>
        </is>
      </c>
      <c r="C176" t="inlineStr">
        <is>
          <t>meta</t>
        </is>
      </c>
      <c r="D176" t="n">
        <v>8808</v>
      </c>
      <c r="E176" t="n">
        <v>6291</v>
      </c>
      <c r="F176" t="n">
        <v>64</v>
      </c>
      <c r="G176" t="n">
        <v>1</v>
      </c>
      <c r="H176" t="n">
        <v>2</v>
      </c>
      <c r="I176" t="n">
        <v>1</v>
      </c>
      <c r="J176" t="n">
        <v>1</v>
      </c>
    </row>
    <row r="177">
      <c r="A177" s="5" t="n">
        <v>45874</v>
      </c>
      <c r="B177" t="inlineStr">
        <is>
          <t>FB-Broad</t>
        </is>
      </c>
      <c r="C177" t="inlineStr">
        <is>
          <t>meta</t>
        </is>
      </c>
      <c r="D177" t="n">
        <v>15173</v>
      </c>
      <c r="E177" t="n">
        <v>10837</v>
      </c>
      <c r="F177" t="n">
        <v>118</v>
      </c>
      <c r="G177" t="n">
        <v>4</v>
      </c>
      <c r="H177" t="n">
        <v>1</v>
      </c>
      <c r="I177" t="n">
        <v>0</v>
      </c>
      <c r="J177" t="n">
        <v>0</v>
      </c>
    </row>
    <row r="178">
      <c r="A178" s="5" t="n">
        <v>45874</v>
      </c>
      <c r="B178" t="inlineStr">
        <is>
          <t>google_brand_search</t>
        </is>
      </c>
      <c r="C178" t="inlineStr">
        <is>
          <t>google</t>
        </is>
      </c>
      <c r="D178" t="n">
        <v>6833</v>
      </c>
      <c r="E178" t="n">
        <v>1423</v>
      </c>
      <c r="F178" t="n">
        <v>83</v>
      </c>
      <c r="G178" t="n">
        <v>3</v>
      </c>
      <c r="H178" t="n">
        <v>3</v>
      </c>
      <c r="I178" t="n">
        <v>0</v>
      </c>
      <c r="J178" t="n">
        <v>0</v>
      </c>
    </row>
    <row r="179">
      <c r="A179" s="5" t="n">
        <v>45874</v>
      </c>
      <c r="B179" t="inlineStr">
        <is>
          <t>google_nonbrand_growth</t>
        </is>
      </c>
      <c r="C179" t="inlineStr">
        <is>
          <t>google</t>
        </is>
      </c>
      <c r="D179" t="n">
        <v>22685</v>
      </c>
      <c r="E179" t="n">
        <v>4726</v>
      </c>
      <c r="F179" t="n">
        <v>210</v>
      </c>
      <c r="G179" t="n">
        <v>5</v>
      </c>
      <c r="H179" t="n">
        <v>1</v>
      </c>
      <c r="I179" t="n">
        <v>1</v>
      </c>
      <c r="J179" t="n">
        <v>2</v>
      </c>
    </row>
    <row r="180">
      <c r="A180" s="5" t="n">
        <v>45874</v>
      </c>
      <c r="B180" t="inlineStr">
        <is>
          <t>meta_prospecting_founder</t>
        </is>
      </c>
      <c r="C180" t="inlineStr">
        <is>
          <t>meta</t>
        </is>
      </c>
      <c r="D180" t="n">
        <v>31818</v>
      </c>
      <c r="E180" t="n">
        <v>22727</v>
      </c>
      <c r="F180" t="n">
        <v>238</v>
      </c>
      <c r="G180" t="n">
        <v>8</v>
      </c>
      <c r="H180" t="n">
        <v>0</v>
      </c>
      <c r="I180" t="n">
        <v>3</v>
      </c>
      <c r="J180" t="n">
        <v>0</v>
      </c>
    </row>
    <row r="181">
      <c r="A181" s="5" t="n">
        <v>45874</v>
      </c>
      <c r="B181" t="inlineStr">
        <is>
          <t>meta_retargeting_webinar</t>
        </is>
      </c>
      <c r="C181" t="inlineStr">
        <is>
          <t>meta</t>
        </is>
      </c>
      <c r="D181" t="n">
        <v>9635</v>
      </c>
      <c r="E181" t="n">
        <v>6882</v>
      </c>
      <c r="F181" t="n">
        <v>84</v>
      </c>
      <c r="G181" t="n">
        <v>6</v>
      </c>
      <c r="H181" t="n">
        <v>4</v>
      </c>
      <c r="I181" t="n">
        <v>0</v>
      </c>
      <c r="J181" t="n">
        <v>0</v>
      </c>
    </row>
    <row r="182">
      <c r="A182" s="5" t="n">
        <v>45875</v>
      </c>
      <c r="B182" t="inlineStr">
        <is>
          <t>FB-Broad</t>
        </is>
      </c>
      <c r="C182" t="inlineStr">
        <is>
          <t>meta</t>
        </is>
      </c>
      <c r="D182" t="n">
        <v>16097</v>
      </c>
      <c r="E182" t="n">
        <v>11497</v>
      </c>
      <c r="F182" t="n">
        <v>112</v>
      </c>
      <c r="G182" t="n">
        <v>3</v>
      </c>
      <c r="H182" t="n">
        <v>2</v>
      </c>
      <c r="I182" t="n">
        <v>0</v>
      </c>
      <c r="J182" t="n">
        <v>0</v>
      </c>
    </row>
    <row r="183">
      <c r="A183" s="5" t="n">
        <v>45875</v>
      </c>
      <c r="B183" t="inlineStr">
        <is>
          <t>google_brand_search</t>
        </is>
      </c>
      <c r="C183" t="inlineStr">
        <is>
          <t>google</t>
        </is>
      </c>
      <c r="D183" t="n">
        <v>6635</v>
      </c>
      <c r="E183" t="n">
        <v>1382</v>
      </c>
      <c r="F183" t="n">
        <v>71</v>
      </c>
      <c r="G183" t="n">
        <v>6</v>
      </c>
      <c r="H183" t="n">
        <v>0</v>
      </c>
      <c r="I183" t="n">
        <v>0</v>
      </c>
      <c r="J183" t="n">
        <v>0</v>
      </c>
    </row>
    <row r="184">
      <c r="A184" s="5" t="n">
        <v>45875</v>
      </c>
      <c r="B184" t="inlineStr">
        <is>
          <t>google_nonbrand_growth</t>
        </is>
      </c>
      <c r="C184" t="inlineStr">
        <is>
          <t>google</t>
        </is>
      </c>
      <c r="D184" t="n">
        <v>21423</v>
      </c>
      <c r="E184" t="n">
        <v>4463</v>
      </c>
      <c r="F184" t="n">
        <v>252</v>
      </c>
      <c r="G184" t="n">
        <v>2</v>
      </c>
      <c r="H184" t="n">
        <v>2</v>
      </c>
      <c r="I184" t="n">
        <v>0</v>
      </c>
      <c r="J184" t="n">
        <v>0</v>
      </c>
    </row>
    <row r="185">
      <c r="A185" s="5" t="n">
        <v>45875</v>
      </c>
      <c r="B185" t="inlineStr">
        <is>
          <t>meta_prospecting_founder</t>
        </is>
      </c>
      <c r="C185" t="inlineStr">
        <is>
          <t>meta</t>
        </is>
      </c>
      <c r="D185" t="n">
        <v>29810</v>
      </c>
      <c r="E185" t="n">
        <v>21292</v>
      </c>
      <c r="F185" t="n">
        <v>239</v>
      </c>
      <c r="G185" t="n">
        <v>15</v>
      </c>
      <c r="H185" t="n">
        <v>6</v>
      </c>
      <c r="I185" t="n">
        <v>3</v>
      </c>
      <c r="J185" t="n">
        <v>1</v>
      </c>
    </row>
    <row r="186">
      <c r="A186" s="5" t="n">
        <v>45875</v>
      </c>
      <c r="B186" t="inlineStr">
        <is>
          <t>meta_retargeting_webinar</t>
        </is>
      </c>
      <c r="C186" t="inlineStr">
        <is>
          <t>meta</t>
        </is>
      </c>
      <c r="D186" t="n">
        <v>9769</v>
      </c>
      <c r="E186" t="n">
        <v>6977</v>
      </c>
      <c r="F186" t="n">
        <v>84</v>
      </c>
      <c r="G186" t="n">
        <v>3</v>
      </c>
      <c r="H186" t="n">
        <v>2</v>
      </c>
      <c r="I186" t="n">
        <v>2</v>
      </c>
      <c r="J186" t="n">
        <v>0</v>
      </c>
    </row>
    <row r="187">
      <c r="A187" s="5" t="n">
        <v>45876</v>
      </c>
      <c r="B187" t="inlineStr">
        <is>
          <t>FB-Broad</t>
        </is>
      </c>
      <c r="C187" t="inlineStr">
        <is>
          <t>meta</t>
        </is>
      </c>
      <c r="D187" t="n">
        <v>17667</v>
      </c>
      <c r="E187" t="n">
        <v>12619</v>
      </c>
      <c r="F187" t="n">
        <v>158</v>
      </c>
      <c r="G187" t="n">
        <v>7</v>
      </c>
      <c r="H187" t="n">
        <v>2</v>
      </c>
      <c r="I187" t="n">
        <v>1</v>
      </c>
      <c r="J187" t="n">
        <v>0</v>
      </c>
    </row>
    <row r="188">
      <c r="A188" s="5" t="n">
        <v>45876</v>
      </c>
      <c r="B188" t="inlineStr">
        <is>
          <t>google_brand_search</t>
        </is>
      </c>
      <c r="C188" t="inlineStr">
        <is>
          <t>google</t>
        </is>
      </c>
      <c r="D188" t="n">
        <v>7413</v>
      </c>
      <c r="E188" t="n">
        <v>1544</v>
      </c>
      <c r="F188" t="n">
        <v>77</v>
      </c>
      <c r="G188" t="n">
        <v>8</v>
      </c>
      <c r="H188" t="n">
        <v>2</v>
      </c>
      <c r="I188" t="n">
        <v>0</v>
      </c>
      <c r="J188" t="n">
        <v>0</v>
      </c>
    </row>
    <row r="189">
      <c r="A189" s="5" t="n">
        <v>45876</v>
      </c>
      <c r="B189" t="inlineStr">
        <is>
          <t>google_nonbrand_growth</t>
        </is>
      </c>
      <c r="C189" t="inlineStr">
        <is>
          <t>google</t>
        </is>
      </c>
      <c r="D189" t="n">
        <v>22525</v>
      </c>
      <c r="E189" t="n">
        <v>4692</v>
      </c>
      <c r="F189" t="n">
        <v>217</v>
      </c>
      <c r="G189" t="n">
        <v>3</v>
      </c>
      <c r="H189" t="n">
        <v>2</v>
      </c>
      <c r="I189" t="n">
        <v>0</v>
      </c>
      <c r="J189" t="n">
        <v>0</v>
      </c>
    </row>
    <row r="190">
      <c r="A190" s="5" t="n">
        <v>45876</v>
      </c>
      <c r="B190" t="inlineStr">
        <is>
          <t>meta_prospecting_founder</t>
        </is>
      </c>
      <c r="C190" t="inlineStr">
        <is>
          <t>meta</t>
        </is>
      </c>
      <c r="D190" t="n">
        <v>32864</v>
      </c>
      <c r="E190" t="n">
        <v>23474</v>
      </c>
      <c r="F190" t="n">
        <v>220</v>
      </c>
      <c r="G190" t="n">
        <v>9</v>
      </c>
      <c r="H190" t="n">
        <v>4</v>
      </c>
      <c r="I190" t="n">
        <v>0</v>
      </c>
      <c r="J190" t="n">
        <v>0</v>
      </c>
    </row>
    <row r="191">
      <c r="A191" s="5" t="n">
        <v>45876</v>
      </c>
      <c r="B191" t="inlineStr">
        <is>
          <t>meta_retargeting_webinar</t>
        </is>
      </c>
      <c r="C191" t="inlineStr">
        <is>
          <t>meta</t>
        </is>
      </c>
      <c r="D191" t="n">
        <v>10239</v>
      </c>
      <c r="E191" t="n">
        <v>7313</v>
      </c>
      <c r="F191" t="n">
        <v>79</v>
      </c>
      <c r="G191" t="n">
        <v>3</v>
      </c>
      <c r="H191" t="n">
        <v>2</v>
      </c>
      <c r="I191" t="n">
        <v>0</v>
      </c>
      <c r="J191" t="n">
        <v>0</v>
      </c>
    </row>
    <row r="192">
      <c r="A192" s="5" t="n">
        <v>45877</v>
      </c>
      <c r="B192" t="inlineStr">
        <is>
          <t>FB-Broad</t>
        </is>
      </c>
      <c r="C192" t="inlineStr">
        <is>
          <t>meta</t>
        </is>
      </c>
      <c r="D192" t="n">
        <v>18104</v>
      </c>
      <c r="E192" t="n">
        <v>12931</v>
      </c>
      <c r="F192" t="n">
        <v>132</v>
      </c>
      <c r="G192" t="n">
        <v>4</v>
      </c>
      <c r="H192" t="n">
        <v>1</v>
      </c>
      <c r="I192" t="n">
        <v>1</v>
      </c>
      <c r="J192" t="n">
        <v>0</v>
      </c>
    </row>
    <row r="193">
      <c r="A193" s="5" t="n">
        <v>45877</v>
      </c>
      <c r="B193" t="inlineStr">
        <is>
          <t>google_brand_search</t>
        </is>
      </c>
      <c r="C193" t="inlineStr">
        <is>
          <t>google</t>
        </is>
      </c>
      <c r="D193" t="n">
        <v>6525</v>
      </c>
      <c r="E193" t="n">
        <v>1359</v>
      </c>
      <c r="F193" t="n">
        <v>79</v>
      </c>
      <c r="G193" t="n">
        <v>3</v>
      </c>
      <c r="H193" t="n">
        <v>4</v>
      </c>
      <c r="I193" t="n">
        <v>1</v>
      </c>
      <c r="J193" t="n">
        <v>0</v>
      </c>
    </row>
    <row r="194">
      <c r="A194" s="5" t="n">
        <v>45877</v>
      </c>
      <c r="B194" t="inlineStr">
        <is>
          <t>google_nonbrand_growth</t>
        </is>
      </c>
      <c r="C194" t="inlineStr">
        <is>
          <t>google</t>
        </is>
      </c>
      <c r="D194" t="n">
        <v>21899</v>
      </c>
      <c r="E194" t="n">
        <v>4562</v>
      </c>
      <c r="F194" t="n">
        <v>264</v>
      </c>
      <c r="G194" t="n">
        <v>2</v>
      </c>
      <c r="H194" t="n">
        <v>1</v>
      </c>
      <c r="I194" t="n">
        <v>0</v>
      </c>
      <c r="J194" t="n">
        <v>0</v>
      </c>
    </row>
    <row r="195">
      <c r="A195" s="5" t="n">
        <v>45877</v>
      </c>
      <c r="B195" t="inlineStr">
        <is>
          <t>meta_prospecting_founder</t>
        </is>
      </c>
      <c r="C195" t="inlineStr">
        <is>
          <t>meta</t>
        </is>
      </c>
      <c r="D195" t="n">
        <v>33966</v>
      </c>
      <c r="E195" t="n">
        <v>24261</v>
      </c>
      <c r="F195" t="n">
        <v>240</v>
      </c>
      <c r="G195" t="n">
        <v>7</v>
      </c>
      <c r="H195" t="n">
        <v>2</v>
      </c>
      <c r="I195" t="n">
        <v>0</v>
      </c>
      <c r="J195" t="n">
        <v>0</v>
      </c>
    </row>
    <row r="196">
      <c r="A196" s="5" t="n">
        <v>45877</v>
      </c>
      <c r="B196" t="inlineStr">
        <is>
          <t>meta_retargeting_webinar</t>
        </is>
      </c>
      <c r="C196" t="inlineStr">
        <is>
          <t>meta</t>
        </is>
      </c>
      <c r="D196" t="n">
        <v>8492</v>
      </c>
      <c r="E196" t="n">
        <v>6065</v>
      </c>
      <c r="F196" t="n">
        <v>61</v>
      </c>
      <c r="G196" t="n">
        <v>4</v>
      </c>
      <c r="H196" t="n">
        <v>1</v>
      </c>
      <c r="I196" t="n">
        <v>3</v>
      </c>
      <c r="J196" t="n">
        <v>0</v>
      </c>
    </row>
    <row r="197">
      <c r="A197" s="5" t="n">
        <v>45878</v>
      </c>
      <c r="B197" t="inlineStr">
        <is>
          <t>FB-Broad</t>
        </is>
      </c>
      <c r="C197" t="inlineStr">
        <is>
          <t>meta</t>
        </is>
      </c>
      <c r="D197" t="n">
        <v>16789</v>
      </c>
      <c r="E197" t="n">
        <v>11992</v>
      </c>
      <c r="F197" t="n">
        <v>118</v>
      </c>
      <c r="G197" t="n">
        <v>2</v>
      </c>
      <c r="H197" t="n">
        <v>1</v>
      </c>
      <c r="I197" t="n">
        <v>1</v>
      </c>
      <c r="J197" t="n">
        <v>0</v>
      </c>
    </row>
    <row r="198">
      <c r="A198" s="5" t="n">
        <v>45878</v>
      </c>
      <c r="B198" t="inlineStr">
        <is>
          <t>google_brand_search</t>
        </is>
      </c>
      <c r="C198" t="inlineStr">
        <is>
          <t>google</t>
        </is>
      </c>
      <c r="D198" t="n">
        <v>7370</v>
      </c>
      <c r="E198" t="n">
        <v>1535</v>
      </c>
      <c r="F198" t="n">
        <v>69</v>
      </c>
      <c r="G198" t="n">
        <v>3</v>
      </c>
      <c r="H198" t="n">
        <v>1</v>
      </c>
      <c r="I198" t="n">
        <v>2</v>
      </c>
      <c r="J198" t="n">
        <v>0</v>
      </c>
    </row>
    <row r="199">
      <c r="A199" s="5" t="n">
        <v>45878</v>
      </c>
      <c r="B199" t="inlineStr">
        <is>
          <t>google_nonbrand_growth</t>
        </is>
      </c>
      <c r="C199" t="inlineStr">
        <is>
          <t>google</t>
        </is>
      </c>
      <c r="D199" t="n">
        <v>22029</v>
      </c>
      <c r="E199" t="n">
        <v>4589</v>
      </c>
      <c r="F199" t="n">
        <v>205</v>
      </c>
      <c r="G199" t="n">
        <v>2</v>
      </c>
      <c r="H199" t="n">
        <v>0</v>
      </c>
      <c r="I199" t="n">
        <v>2</v>
      </c>
      <c r="J199" t="n">
        <v>0</v>
      </c>
    </row>
    <row r="200">
      <c r="A200" s="5" t="n">
        <v>45878</v>
      </c>
      <c r="B200" t="inlineStr">
        <is>
          <t>meta_prospecting_founder</t>
        </is>
      </c>
      <c r="C200" t="inlineStr">
        <is>
          <t>meta</t>
        </is>
      </c>
      <c r="D200" t="n">
        <v>29248</v>
      </c>
      <c r="E200" t="n">
        <v>20891</v>
      </c>
      <c r="F200" t="n">
        <v>240</v>
      </c>
      <c r="G200" t="n">
        <v>7</v>
      </c>
      <c r="H200" t="n">
        <v>1</v>
      </c>
      <c r="I200" t="n">
        <v>3</v>
      </c>
      <c r="J200" t="n">
        <v>0</v>
      </c>
    </row>
    <row r="201">
      <c r="A201" s="5" t="n">
        <v>45878</v>
      </c>
      <c r="B201" t="inlineStr">
        <is>
          <t>meta_retargeting_webinar</t>
        </is>
      </c>
      <c r="C201" t="inlineStr">
        <is>
          <t>meta</t>
        </is>
      </c>
      <c r="D201" t="n">
        <v>9213</v>
      </c>
      <c r="E201" t="n">
        <v>6580</v>
      </c>
      <c r="F201" t="n">
        <v>76</v>
      </c>
      <c r="G201" t="n">
        <v>1</v>
      </c>
      <c r="H201" t="n">
        <v>1</v>
      </c>
      <c r="I201" t="n">
        <v>0</v>
      </c>
      <c r="J201" t="n">
        <v>0</v>
      </c>
    </row>
    <row r="202">
      <c r="A202" s="5" t="n">
        <v>45879</v>
      </c>
      <c r="B202" t="inlineStr">
        <is>
          <t>FB-Broad</t>
        </is>
      </c>
      <c r="C202" t="inlineStr">
        <is>
          <t>meta</t>
        </is>
      </c>
      <c r="D202" t="n">
        <v>16258</v>
      </c>
      <c r="E202" t="n">
        <v>11612</v>
      </c>
      <c r="F202" t="n">
        <v>122</v>
      </c>
      <c r="G202" t="n">
        <v>2</v>
      </c>
      <c r="H202" t="n">
        <v>2</v>
      </c>
      <c r="I202" t="n">
        <v>1</v>
      </c>
      <c r="J202" t="n">
        <v>0</v>
      </c>
    </row>
    <row r="203">
      <c r="A203" s="5" t="n">
        <v>45879</v>
      </c>
      <c r="B203" t="inlineStr">
        <is>
          <t>google_brand_search</t>
        </is>
      </c>
      <c r="C203" t="inlineStr">
        <is>
          <t>google</t>
        </is>
      </c>
      <c r="D203" t="n">
        <v>6807</v>
      </c>
      <c r="E203" t="n">
        <v>1418</v>
      </c>
      <c r="F203" t="n">
        <v>68</v>
      </c>
      <c r="G203" t="n">
        <v>2</v>
      </c>
      <c r="H203" t="n">
        <v>1</v>
      </c>
      <c r="I203" t="n">
        <v>0</v>
      </c>
      <c r="J203" t="n">
        <v>0</v>
      </c>
    </row>
    <row r="204">
      <c r="A204" s="5" t="n">
        <v>45879</v>
      </c>
      <c r="B204" t="inlineStr">
        <is>
          <t>google_nonbrand_growth</t>
        </is>
      </c>
      <c r="C204" t="inlineStr">
        <is>
          <t>google</t>
        </is>
      </c>
      <c r="D204" t="n">
        <v>20296</v>
      </c>
      <c r="E204" t="n">
        <v>4228</v>
      </c>
      <c r="F204" t="n">
        <v>220</v>
      </c>
      <c r="G204" t="n">
        <v>3</v>
      </c>
      <c r="H204" t="n">
        <v>1</v>
      </c>
      <c r="I204" t="n">
        <v>1</v>
      </c>
      <c r="J204" t="n">
        <v>0</v>
      </c>
    </row>
    <row r="205">
      <c r="A205" s="5" t="n">
        <v>45879</v>
      </c>
      <c r="B205" t="inlineStr">
        <is>
          <t>meta_prospecting_founder</t>
        </is>
      </c>
      <c r="C205" t="inlineStr">
        <is>
          <t>meta</t>
        </is>
      </c>
      <c r="D205" t="n">
        <v>31187</v>
      </c>
      <c r="E205" t="n">
        <v>22276</v>
      </c>
      <c r="F205" t="n">
        <v>248</v>
      </c>
      <c r="G205" t="n">
        <v>8</v>
      </c>
      <c r="H205" t="n">
        <v>0</v>
      </c>
      <c r="I205" t="n">
        <v>0</v>
      </c>
      <c r="J205" t="n">
        <v>0</v>
      </c>
    </row>
    <row r="206">
      <c r="A206" s="5" t="n">
        <v>45879</v>
      </c>
      <c r="B206" t="inlineStr">
        <is>
          <t>meta_retargeting_webinar</t>
        </is>
      </c>
      <c r="C206" t="inlineStr">
        <is>
          <t>meta</t>
        </is>
      </c>
      <c r="D206" t="n">
        <v>8543</v>
      </c>
      <c r="E206" t="n">
        <v>6102</v>
      </c>
      <c r="F206" t="n">
        <v>75</v>
      </c>
      <c r="G206" t="n">
        <v>5</v>
      </c>
      <c r="H206" t="n">
        <v>0</v>
      </c>
      <c r="I206" t="n">
        <v>1</v>
      </c>
      <c r="J206" t="n">
        <v>0</v>
      </c>
    </row>
    <row r="207">
      <c r="A207" s="5" t="n">
        <v>45880</v>
      </c>
      <c r="B207" t="inlineStr">
        <is>
          <t>FB-Broad</t>
        </is>
      </c>
      <c r="C207" t="inlineStr">
        <is>
          <t>meta</t>
        </is>
      </c>
      <c r="D207" t="n">
        <v>17184</v>
      </c>
      <c r="E207" t="n">
        <v>12274</v>
      </c>
      <c r="F207" t="n">
        <v>144</v>
      </c>
      <c r="G207" t="n">
        <v>6</v>
      </c>
      <c r="H207" t="n">
        <v>1</v>
      </c>
      <c r="I207" t="n">
        <v>1</v>
      </c>
      <c r="J207" t="n">
        <v>0</v>
      </c>
    </row>
    <row r="208">
      <c r="A208" s="5" t="n">
        <v>45880</v>
      </c>
      <c r="B208" t="inlineStr">
        <is>
          <t>google_brand_search</t>
        </is>
      </c>
      <c r="C208" t="inlineStr">
        <is>
          <t>google</t>
        </is>
      </c>
      <c r="D208" t="n">
        <v>6624</v>
      </c>
      <c r="E208" t="n">
        <v>1380</v>
      </c>
      <c r="F208" t="n">
        <v>62</v>
      </c>
      <c r="G208" t="n">
        <v>8</v>
      </c>
      <c r="H208" t="n">
        <v>1</v>
      </c>
      <c r="I208" t="n">
        <v>0</v>
      </c>
      <c r="J208" t="n">
        <v>0</v>
      </c>
    </row>
    <row r="209">
      <c r="A209" s="5" t="n">
        <v>45880</v>
      </c>
      <c r="B209" t="inlineStr">
        <is>
          <t>google_nonbrand_growth</t>
        </is>
      </c>
      <c r="C209" t="inlineStr">
        <is>
          <t>google</t>
        </is>
      </c>
      <c r="D209" t="n">
        <v>20500</v>
      </c>
      <c r="E209" t="n">
        <v>4270</v>
      </c>
      <c r="F209" t="n">
        <v>252</v>
      </c>
      <c r="G209" t="n">
        <v>3</v>
      </c>
      <c r="H209" t="n">
        <v>0</v>
      </c>
      <c r="I209" t="n">
        <v>0</v>
      </c>
      <c r="J209" t="n">
        <v>0</v>
      </c>
    </row>
    <row r="210">
      <c r="A210" s="5" t="n">
        <v>45880</v>
      </c>
      <c r="B210" t="inlineStr">
        <is>
          <t>meta_prospecting_founder</t>
        </is>
      </c>
      <c r="C210" t="inlineStr">
        <is>
          <t>meta</t>
        </is>
      </c>
      <c r="D210" t="n">
        <v>33115</v>
      </c>
      <c r="E210" t="n">
        <v>23653</v>
      </c>
      <c r="F210" t="n">
        <v>226</v>
      </c>
      <c r="G210" t="n">
        <v>10</v>
      </c>
      <c r="H210" t="n">
        <v>0</v>
      </c>
      <c r="I210" t="n">
        <v>1</v>
      </c>
      <c r="J210" t="n">
        <v>0</v>
      </c>
    </row>
    <row r="211">
      <c r="A211" s="5" t="n">
        <v>45880</v>
      </c>
      <c r="B211" t="inlineStr">
        <is>
          <t>meta_retargeting_webinar</t>
        </is>
      </c>
      <c r="C211" t="inlineStr">
        <is>
          <t>meta</t>
        </is>
      </c>
      <c r="D211" t="n">
        <v>9430</v>
      </c>
      <c r="E211" t="n">
        <v>6735</v>
      </c>
      <c r="F211" t="n">
        <v>82</v>
      </c>
      <c r="G211" t="n">
        <v>4</v>
      </c>
      <c r="H211" t="n">
        <v>1</v>
      </c>
      <c r="I211" t="n">
        <v>1</v>
      </c>
      <c r="J211" t="n">
        <v>0</v>
      </c>
    </row>
    <row r="212">
      <c r="A212" s="5" t="n">
        <v>45881</v>
      </c>
      <c r="B212" t="inlineStr">
        <is>
          <t>FB-Broad</t>
        </is>
      </c>
      <c r="C212" t="inlineStr">
        <is>
          <t>meta</t>
        </is>
      </c>
      <c r="D212" t="n">
        <v>17605</v>
      </c>
      <c r="E212" t="n">
        <v>12575</v>
      </c>
      <c r="F212" t="n">
        <v>124</v>
      </c>
      <c r="G212" t="n">
        <v>9</v>
      </c>
      <c r="H212" t="n">
        <v>0</v>
      </c>
      <c r="I212" t="n">
        <v>1</v>
      </c>
      <c r="J212" t="n">
        <v>0</v>
      </c>
    </row>
    <row r="213">
      <c r="A213" s="5" t="n">
        <v>45881</v>
      </c>
      <c r="B213" t="inlineStr">
        <is>
          <t>google_brand_search</t>
        </is>
      </c>
      <c r="C213" t="inlineStr">
        <is>
          <t>google</t>
        </is>
      </c>
      <c r="D213" t="n">
        <v>6203</v>
      </c>
      <c r="E213" t="n">
        <v>1292</v>
      </c>
      <c r="F213" t="n">
        <v>66</v>
      </c>
      <c r="G213" t="n">
        <v>1</v>
      </c>
      <c r="H213" t="n">
        <v>2</v>
      </c>
      <c r="I213" t="n">
        <v>1</v>
      </c>
      <c r="J213" t="n">
        <v>0</v>
      </c>
    </row>
    <row r="214">
      <c r="A214" s="5" t="n">
        <v>45881</v>
      </c>
      <c r="B214" t="inlineStr">
        <is>
          <t>google_nonbrand_growth</t>
        </is>
      </c>
      <c r="C214" t="inlineStr">
        <is>
          <t>google</t>
        </is>
      </c>
      <c r="D214" t="n">
        <v>23879</v>
      </c>
      <c r="E214" t="n">
        <v>4974</v>
      </c>
      <c r="F214" t="n">
        <v>243</v>
      </c>
      <c r="G214" t="n">
        <v>1</v>
      </c>
      <c r="H214" t="n">
        <v>0</v>
      </c>
      <c r="I214" t="n">
        <v>0</v>
      </c>
      <c r="J214" t="n">
        <v>0</v>
      </c>
    </row>
    <row r="215">
      <c r="A215" s="5" t="n">
        <v>45881</v>
      </c>
      <c r="B215" t="inlineStr">
        <is>
          <t>meta_prospecting_founder</t>
        </is>
      </c>
      <c r="C215" t="inlineStr">
        <is>
          <t>meta</t>
        </is>
      </c>
      <c r="D215" t="n">
        <v>35616</v>
      </c>
      <c r="E215" t="n">
        <v>25440</v>
      </c>
      <c r="F215" t="n">
        <v>279</v>
      </c>
      <c r="G215" t="n">
        <v>7</v>
      </c>
      <c r="H215" t="n">
        <v>3</v>
      </c>
      <c r="I215" t="n">
        <v>0</v>
      </c>
      <c r="J215" t="n">
        <v>0</v>
      </c>
    </row>
    <row r="216">
      <c r="A216" s="5" t="n">
        <v>45881</v>
      </c>
      <c r="B216" t="inlineStr">
        <is>
          <t>meta_retargeting_webinar</t>
        </is>
      </c>
      <c r="C216" t="inlineStr">
        <is>
          <t>meta</t>
        </is>
      </c>
      <c r="D216" t="n">
        <v>9622</v>
      </c>
      <c r="E216" t="n">
        <v>6872</v>
      </c>
      <c r="F216" t="n">
        <v>80</v>
      </c>
      <c r="G216" t="n">
        <v>1</v>
      </c>
      <c r="H216" t="n">
        <v>2</v>
      </c>
      <c r="I216" t="n">
        <v>0</v>
      </c>
      <c r="J216" t="n">
        <v>0</v>
      </c>
    </row>
    <row r="217">
      <c r="A217" s="5" t="n">
        <v>45882</v>
      </c>
      <c r="B217" t="inlineStr">
        <is>
          <t>FB-Broad</t>
        </is>
      </c>
      <c r="C217" t="inlineStr">
        <is>
          <t>meta</t>
        </is>
      </c>
      <c r="D217" t="n">
        <v>16243</v>
      </c>
      <c r="E217" t="n">
        <v>11602</v>
      </c>
      <c r="F217" t="n">
        <v>113</v>
      </c>
      <c r="G217" t="n">
        <v>6</v>
      </c>
      <c r="H217" t="n">
        <v>2</v>
      </c>
      <c r="I217" t="n">
        <v>2</v>
      </c>
      <c r="J217" t="n">
        <v>0</v>
      </c>
    </row>
    <row r="218">
      <c r="A218" s="5" t="n">
        <v>45882</v>
      </c>
      <c r="B218" t="inlineStr">
        <is>
          <t>google_brand_search</t>
        </is>
      </c>
      <c r="C218" t="inlineStr">
        <is>
          <t>google</t>
        </is>
      </c>
      <c r="D218" t="n">
        <v>7224</v>
      </c>
      <c r="E218" t="n">
        <v>1505</v>
      </c>
      <c r="F218" t="n">
        <v>78</v>
      </c>
      <c r="G218" t="n">
        <v>2</v>
      </c>
      <c r="H218" t="n">
        <v>1</v>
      </c>
      <c r="I218" t="n">
        <v>0</v>
      </c>
      <c r="J218" t="n">
        <v>0</v>
      </c>
    </row>
    <row r="219">
      <c r="A219" s="5" t="n">
        <v>45882</v>
      </c>
      <c r="B219" t="inlineStr">
        <is>
          <t>google_nonbrand_growth</t>
        </is>
      </c>
      <c r="C219" t="inlineStr">
        <is>
          <t>google</t>
        </is>
      </c>
      <c r="D219" t="n">
        <v>21128</v>
      </c>
      <c r="E219" t="n">
        <v>4401</v>
      </c>
      <c r="F219" t="n">
        <v>229</v>
      </c>
      <c r="G219" t="n">
        <v>4</v>
      </c>
      <c r="H219" t="n">
        <v>0</v>
      </c>
      <c r="I219" t="n">
        <v>0</v>
      </c>
      <c r="J219" t="n">
        <v>0</v>
      </c>
    </row>
    <row r="220">
      <c r="A220" s="5" t="n">
        <v>45882</v>
      </c>
      <c r="B220" t="inlineStr">
        <is>
          <t>meta_prospecting_founder</t>
        </is>
      </c>
      <c r="C220" t="inlineStr">
        <is>
          <t>meta</t>
        </is>
      </c>
      <c r="D220" t="n">
        <v>34842</v>
      </c>
      <c r="E220" t="n">
        <v>24887</v>
      </c>
      <c r="F220" t="n">
        <v>269</v>
      </c>
      <c r="G220" t="n">
        <v>8</v>
      </c>
      <c r="H220" t="n">
        <v>4</v>
      </c>
      <c r="I220" t="n">
        <v>1</v>
      </c>
      <c r="J220" t="n">
        <v>0</v>
      </c>
    </row>
    <row r="221">
      <c r="A221" s="5" t="n">
        <v>45882</v>
      </c>
      <c r="B221" t="inlineStr">
        <is>
          <t>meta_retargeting_webinar</t>
        </is>
      </c>
      <c r="C221" t="inlineStr">
        <is>
          <t>meta</t>
        </is>
      </c>
      <c r="D221" t="n">
        <v>9433</v>
      </c>
      <c r="E221" t="n">
        <v>6737</v>
      </c>
      <c r="F221" t="n">
        <v>84</v>
      </c>
      <c r="G221" t="n">
        <v>4</v>
      </c>
      <c r="H221" t="n">
        <v>0</v>
      </c>
      <c r="I221" t="n">
        <v>1</v>
      </c>
      <c r="J221" t="n">
        <v>0</v>
      </c>
    </row>
    <row r="222">
      <c r="A222" s="5" t="n">
        <v>45883</v>
      </c>
      <c r="B222" t="inlineStr">
        <is>
          <t>FB-Broad</t>
        </is>
      </c>
      <c r="C222" t="inlineStr">
        <is>
          <t>meta</t>
        </is>
      </c>
      <c r="D222" t="n">
        <v>17326</v>
      </c>
      <c r="E222" t="n">
        <v>12375</v>
      </c>
      <c r="F222" t="n">
        <v>141</v>
      </c>
      <c r="G222" t="n">
        <v>3</v>
      </c>
      <c r="H222" t="n">
        <v>1</v>
      </c>
      <c r="I222" t="n">
        <v>1</v>
      </c>
      <c r="J222" t="n">
        <v>0</v>
      </c>
    </row>
    <row r="223">
      <c r="A223" s="5" t="n">
        <v>45883</v>
      </c>
      <c r="B223" t="inlineStr">
        <is>
          <t>google_brand_search</t>
        </is>
      </c>
      <c r="C223" t="inlineStr">
        <is>
          <t>google</t>
        </is>
      </c>
      <c r="D223" t="n">
        <v>6233</v>
      </c>
      <c r="E223" t="n">
        <v>1298</v>
      </c>
      <c r="F223" t="n">
        <v>73</v>
      </c>
      <c r="G223" t="n">
        <v>1</v>
      </c>
      <c r="H223" t="n">
        <v>2</v>
      </c>
      <c r="I223" t="n">
        <v>1</v>
      </c>
      <c r="J223" t="n">
        <v>0</v>
      </c>
    </row>
    <row r="224">
      <c r="A224" s="5" t="n">
        <v>45883</v>
      </c>
      <c r="B224" t="inlineStr">
        <is>
          <t>google_nonbrand_growth</t>
        </is>
      </c>
      <c r="C224" t="inlineStr">
        <is>
          <t>google</t>
        </is>
      </c>
      <c r="D224" t="n">
        <v>21968</v>
      </c>
      <c r="E224" t="n">
        <v>4576</v>
      </c>
      <c r="F224" t="n">
        <v>206</v>
      </c>
      <c r="G224" t="n">
        <v>0</v>
      </c>
      <c r="H224" t="n">
        <v>3</v>
      </c>
      <c r="I224" t="n">
        <v>0</v>
      </c>
      <c r="J224" t="n">
        <v>0</v>
      </c>
    </row>
    <row r="225">
      <c r="A225" s="5" t="n">
        <v>45883</v>
      </c>
      <c r="B225" t="inlineStr">
        <is>
          <t>meta_prospecting_founder</t>
        </is>
      </c>
      <c r="C225" t="inlineStr">
        <is>
          <t>meta</t>
        </is>
      </c>
      <c r="D225" t="n">
        <v>30691</v>
      </c>
      <c r="E225" t="n">
        <v>21922</v>
      </c>
      <c r="F225" t="n">
        <v>221</v>
      </c>
      <c r="G225" t="n">
        <v>5</v>
      </c>
      <c r="H225" t="n">
        <v>2</v>
      </c>
      <c r="I225" t="n">
        <v>1</v>
      </c>
      <c r="J225" t="n">
        <v>0</v>
      </c>
    </row>
    <row r="226">
      <c r="A226" s="5" t="n">
        <v>45883</v>
      </c>
      <c r="B226" t="inlineStr">
        <is>
          <t>meta_retargeting_webinar</t>
        </is>
      </c>
      <c r="C226" t="inlineStr">
        <is>
          <t>meta</t>
        </is>
      </c>
      <c r="D226" t="n">
        <v>9874</v>
      </c>
      <c r="E226" t="n">
        <v>7052</v>
      </c>
      <c r="F226" t="n">
        <v>72</v>
      </c>
      <c r="G226" t="n">
        <v>0</v>
      </c>
      <c r="H226" t="n">
        <v>2</v>
      </c>
      <c r="I226" t="n">
        <v>0</v>
      </c>
      <c r="J226" t="n">
        <v>1</v>
      </c>
    </row>
    <row r="227">
      <c r="A227" s="5" t="n">
        <v>45884</v>
      </c>
      <c r="B227" t="inlineStr">
        <is>
          <t>FB-Broad</t>
        </is>
      </c>
      <c r="C227" t="inlineStr">
        <is>
          <t>meta</t>
        </is>
      </c>
      <c r="D227" t="n">
        <v>17801</v>
      </c>
      <c r="E227" t="n">
        <v>12715</v>
      </c>
      <c r="F227" t="n">
        <v>157</v>
      </c>
      <c r="G227" t="n">
        <v>5</v>
      </c>
      <c r="H227" t="n">
        <v>2</v>
      </c>
      <c r="I227" t="n">
        <v>0</v>
      </c>
      <c r="J227" t="n">
        <v>0</v>
      </c>
    </row>
    <row r="228">
      <c r="A228" s="5" t="n">
        <v>45884</v>
      </c>
      <c r="B228" t="inlineStr">
        <is>
          <t>google_brand_search</t>
        </is>
      </c>
      <c r="C228" t="inlineStr">
        <is>
          <t>google</t>
        </is>
      </c>
      <c r="D228" t="n">
        <v>6867</v>
      </c>
      <c r="E228" t="n">
        <v>1430</v>
      </c>
      <c r="F228" t="n">
        <v>79</v>
      </c>
      <c r="G228" t="n">
        <v>3</v>
      </c>
      <c r="H228" t="n">
        <v>4</v>
      </c>
      <c r="I228" t="n">
        <v>1</v>
      </c>
      <c r="J228" t="n">
        <v>0</v>
      </c>
    </row>
    <row r="229">
      <c r="A229" s="5" t="n">
        <v>45884</v>
      </c>
      <c r="B229" t="inlineStr">
        <is>
          <t>google_nonbrand_growth</t>
        </is>
      </c>
      <c r="C229" t="inlineStr">
        <is>
          <t>google</t>
        </is>
      </c>
      <c r="D229" t="n">
        <v>24513</v>
      </c>
      <c r="E229" t="n">
        <v>5106</v>
      </c>
      <c r="F229" t="n">
        <v>293</v>
      </c>
      <c r="G229" t="n">
        <v>3</v>
      </c>
      <c r="H229" t="n">
        <v>2</v>
      </c>
      <c r="I229" t="n">
        <v>1</v>
      </c>
      <c r="J229" t="n">
        <v>0</v>
      </c>
    </row>
    <row r="230">
      <c r="A230" s="5" t="n">
        <v>45884</v>
      </c>
      <c r="B230" t="inlineStr">
        <is>
          <t>meta_prospecting_founder</t>
        </is>
      </c>
      <c r="C230" t="inlineStr">
        <is>
          <t>meta</t>
        </is>
      </c>
      <c r="D230" t="n">
        <v>35281</v>
      </c>
      <c r="E230" t="n">
        <v>25200</v>
      </c>
      <c r="F230" t="n">
        <v>289</v>
      </c>
      <c r="G230" t="n">
        <v>4</v>
      </c>
      <c r="H230" t="n">
        <v>2</v>
      </c>
      <c r="I230" t="n">
        <v>1</v>
      </c>
      <c r="J230" t="n">
        <v>0</v>
      </c>
    </row>
    <row r="231">
      <c r="A231" s="5" t="n">
        <v>45884</v>
      </c>
      <c r="B231" t="inlineStr">
        <is>
          <t>meta_retargeting_webinar</t>
        </is>
      </c>
      <c r="C231" t="inlineStr">
        <is>
          <t>meta</t>
        </is>
      </c>
      <c r="D231" t="n">
        <v>9419</v>
      </c>
      <c r="E231" t="n">
        <v>6727</v>
      </c>
      <c r="F231" t="n">
        <v>76</v>
      </c>
      <c r="G231" t="n">
        <v>0</v>
      </c>
      <c r="H231" t="n">
        <v>1</v>
      </c>
      <c r="I231" t="n">
        <v>0</v>
      </c>
      <c r="J231" t="n">
        <v>0</v>
      </c>
    </row>
    <row r="232">
      <c r="A232" s="5" t="n">
        <v>45885</v>
      </c>
      <c r="B232" t="inlineStr">
        <is>
          <t>FB-Broad</t>
        </is>
      </c>
      <c r="C232" t="inlineStr">
        <is>
          <t>meta</t>
        </is>
      </c>
      <c r="D232" t="n">
        <v>15173</v>
      </c>
      <c r="E232" t="n">
        <v>10837</v>
      </c>
      <c r="F232" t="n">
        <v>105</v>
      </c>
      <c r="G232" t="n">
        <v>1</v>
      </c>
      <c r="H232" t="n">
        <v>0</v>
      </c>
      <c r="I232" t="n">
        <v>0</v>
      </c>
      <c r="J232" t="n">
        <v>0</v>
      </c>
    </row>
    <row r="233">
      <c r="A233" s="5" t="n">
        <v>45885</v>
      </c>
      <c r="B233" t="inlineStr">
        <is>
          <t>google_brand_search</t>
        </is>
      </c>
      <c r="C233" t="inlineStr">
        <is>
          <t>google</t>
        </is>
      </c>
      <c r="D233" t="n">
        <v>7061</v>
      </c>
      <c r="E233" t="n">
        <v>1471</v>
      </c>
      <c r="F233" t="n">
        <v>87</v>
      </c>
      <c r="G233" t="n">
        <v>1</v>
      </c>
      <c r="H233" t="n">
        <v>0</v>
      </c>
      <c r="I233" t="n">
        <v>2</v>
      </c>
      <c r="J233" t="n">
        <v>0</v>
      </c>
    </row>
    <row r="234">
      <c r="A234" s="5" t="n">
        <v>45885</v>
      </c>
      <c r="B234" t="inlineStr">
        <is>
          <t>google_nonbrand_growth</t>
        </is>
      </c>
      <c r="C234" t="inlineStr">
        <is>
          <t>google</t>
        </is>
      </c>
      <c r="D234" t="n">
        <v>23385</v>
      </c>
      <c r="E234" t="n">
        <v>4871</v>
      </c>
      <c r="F234" t="n">
        <v>228</v>
      </c>
      <c r="G234" t="n">
        <v>0</v>
      </c>
      <c r="H234" t="n">
        <v>0</v>
      </c>
      <c r="I234" t="n">
        <v>2</v>
      </c>
      <c r="J234" t="n">
        <v>0</v>
      </c>
    </row>
    <row r="235">
      <c r="A235" s="5" t="n">
        <v>45885</v>
      </c>
      <c r="B235" t="inlineStr">
        <is>
          <t>meta_prospecting_founder</t>
        </is>
      </c>
      <c r="C235" t="inlineStr">
        <is>
          <t>meta</t>
        </is>
      </c>
      <c r="D235" t="n">
        <v>34257</v>
      </c>
      <c r="E235" t="n">
        <v>24469</v>
      </c>
      <c r="F235" t="n">
        <v>304</v>
      </c>
      <c r="G235" t="n">
        <v>6</v>
      </c>
      <c r="H235" t="n">
        <v>2</v>
      </c>
      <c r="I235" t="n">
        <v>0</v>
      </c>
      <c r="J235" t="n">
        <v>0</v>
      </c>
    </row>
    <row r="236">
      <c r="A236" s="5" t="n">
        <v>45885</v>
      </c>
      <c r="B236" t="inlineStr">
        <is>
          <t>meta_retargeting_webinar</t>
        </is>
      </c>
      <c r="C236" t="inlineStr">
        <is>
          <t>meta</t>
        </is>
      </c>
      <c r="D236" t="n">
        <v>10259</v>
      </c>
      <c r="E236" t="n">
        <v>7327</v>
      </c>
      <c r="F236" t="n">
        <v>84</v>
      </c>
      <c r="G236" t="n">
        <v>4</v>
      </c>
      <c r="H236" t="n">
        <v>0</v>
      </c>
      <c r="I236" t="n">
        <v>1</v>
      </c>
      <c r="J236" t="n">
        <v>0</v>
      </c>
    </row>
    <row r="237">
      <c r="A237" s="5" t="n">
        <v>45886</v>
      </c>
      <c r="B237" t="inlineStr">
        <is>
          <t>FB-Broad</t>
        </is>
      </c>
      <c r="C237" t="inlineStr">
        <is>
          <t>meta</t>
        </is>
      </c>
      <c r="D237" t="n">
        <v>17339</v>
      </c>
      <c r="E237" t="n">
        <v>12385</v>
      </c>
      <c r="F237" t="n">
        <v>119</v>
      </c>
      <c r="G237" t="n">
        <v>1</v>
      </c>
      <c r="H237" t="n">
        <v>1</v>
      </c>
      <c r="I237" t="n">
        <v>1</v>
      </c>
      <c r="J237" t="n">
        <v>0</v>
      </c>
    </row>
    <row r="238">
      <c r="A238" s="5" t="n">
        <v>45886</v>
      </c>
      <c r="B238" t="inlineStr">
        <is>
          <t>google_brand_search</t>
        </is>
      </c>
      <c r="C238" t="inlineStr">
        <is>
          <t>google</t>
        </is>
      </c>
      <c r="D238" t="n">
        <v>7047</v>
      </c>
      <c r="E238" t="n">
        <v>1468</v>
      </c>
      <c r="F238" t="n">
        <v>74</v>
      </c>
      <c r="G238" t="n">
        <v>1</v>
      </c>
      <c r="H238" t="n">
        <v>2</v>
      </c>
      <c r="I238" t="n">
        <v>1</v>
      </c>
      <c r="J238" t="n">
        <v>1</v>
      </c>
    </row>
    <row r="239">
      <c r="A239" s="5" t="n">
        <v>45886</v>
      </c>
      <c r="B239" t="inlineStr">
        <is>
          <t>google_nonbrand_growth</t>
        </is>
      </c>
      <c r="C239" t="inlineStr">
        <is>
          <t>google</t>
        </is>
      </c>
      <c r="D239" t="n">
        <v>23785</v>
      </c>
      <c r="E239" t="n">
        <v>4955</v>
      </c>
      <c r="F239" t="n">
        <v>289</v>
      </c>
      <c r="G239" t="n">
        <v>3</v>
      </c>
      <c r="H239" t="n">
        <v>1</v>
      </c>
      <c r="I239" t="n">
        <v>0</v>
      </c>
      <c r="J239" t="n">
        <v>2</v>
      </c>
    </row>
    <row r="240">
      <c r="A240" s="5" t="n">
        <v>45886</v>
      </c>
      <c r="B240" t="inlineStr">
        <is>
          <t>meta_prospecting_founder</t>
        </is>
      </c>
      <c r="C240" t="inlineStr">
        <is>
          <t>meta</t>
        </is>
      </c>
      <c r="D240" t="n">
        <v>30965</v>
      </c>
      <c r="E240" t="n">
        <v>22117</v>
      </c>
      <c r="F240" t="n">
        <v>277</v>
      </c>
      <c r="G240" t="n">
        <v>5</v>
      </c>
      <c r="H240" t="n">
        <v>1</v>
      </c>
      <c r="I240" t="n">
        <v>4</v>
      </c>
      <c r="J240" t="n">
        <v>0</v>
      </c>
    </row>
    <row r="241">
      <c r="A241" s="5" t="n">
        <v>45886</v>
      </c>
      <c r="B241" t="inlineStr">
        <is>
          <t>meta_retargeting_webinar</t>
        </is>
      </c>
      <c r="C241" t="inlineStr">
        <is>
          <t>meta</t>
        </is>
      </c>
      <c r="D241" t="n">
        <v>8796</v>
      </c>
      <c r="E241" t="n">
        <v>6282</v>
      </c>
      <c r="F241" t="n">
        <v>66</v>
      </c>
      <c r="G241" t="n">
        <v>1</v>
      </c>
      <c r="H241" t="n">
        <v>1</v>
      </c>
      <c r="I241" t="n">
        <v>0</v>
      </c>
      <c r="J241" t="n">
        <v>0</v>
      </c>
    </row>
    <row r="242">
      <c r="A242" s="5" t="n">
        <v>45887</v>
      </c>
      <c r="B242" t="inlineStr">
        <is>
          <t>FB-Broad</t>
        </is>
      </c>
      <c r="C242" t="inlineStr">
        <is>
          <t>meta</t>
        </is>
      </c>
      <c r="D242" t="n">
        <v>15409</v>
      </c>
      <c r="E242" t="n">
        <v>11006</v>
      </c>
      <c r="F242" t="n">
        <v>138</v>
      </c>
      <c r="G242" t="n">
        <v>3</v>
      </c>
      <c r="H242" t="n">
        <v>1</v>
      </c>
      <c r="I242" t="n">
        <v>0</v>
      </c>
      <c r="J242" t="n">
        <v>0</v>
      </c>
    </row>
    <row r="243">
      <c r="A243" s="5" t="n">
        <v>45887</v>
      </c>
      <c r="B243" t="inlineStr">
        <is>
          <t>google_brand_search</t>
        </is>
      </c>
      <c r="C243" t="inlineStr">
        <is>
          <t>google</t>
        </is>
      </c>
      <c r="D243" t="n">
        <v>6721</v>
      </c>
      <c r="E243" t="n">
        <v>1400</v>
      </c>
      <c r="F243" t="n">
        <v>75</v>
      </c>
      <c r="G243" t="n">
        <v>1</v>
      </c>
      <c r="H243" t="n">
        <v>0</v>
      </c>
      <c r="I243" t="n">
        <v>0</v>
      </c>
      <c r="J243" t="n">
        <v>0</v>
      </c>
    </row>
    <row r="244">
      <c r="A244" s="5" t="n">
        <v>45887</v>
      </c>
      <c r="B244" t="inlineStr">
        <is>
          <t>google_nonbrand_growth</t>
        </is>
      </c>
      <c r="C244" t="inlineStr">
        <is>
          <t>google</t>
        </is>
      </c>
      <c r="D244" t="n">
        <v>21534</v>
      </c>
      <c r="E244" t="n">
        <v>4486</v>
      </c>
      <c r="F244" t="n">
        <v>241</v>
      </c>
      <c r="G244" t="n">
        <v>7</v>
      </c>
      <c r="H244" t="n">
        <v>0</v>
      </c>
      <c r="I244" t="n">
        <v>0</v>
      </c>
      <c r="J244" t="n">
        <v>0</v>
      </c>
    </row>
    <row r="245">
      <c r="A245" s="5" t="n">
        <v>45887</v>
      </c>
      <c r="B245" t="inlineStr">
        <is>
          <t>meta_prospecting_founder</t>
        </is>
      </c>
      <c r="C245" t="inlineStr">
        <is>
          <t>meta</t>
        </is>
      </c>
      <c r="D245" t="n">
        <v>33438</v>
      </c>
      <c r="E245" t="n">
        <v>23884</v>
      </c>
      <c r="F245" t="n">
        <v>293</v>
      </c>
      <c r="G245" t="n">
        <v>11</v>
      </c>
      <c r="H245" t="n">
        <v>2</v>
      </c>
      <c r="I245" t="n">
        <v>2</v>
      </c>
      <c r="J245" t="n">
        <v>0</v>
      </c>
    </row>
    <row r="246">
      <c r="A246" s="5" t="n">
        <v>45887</v>
      </c>
      <c r="B246" t="inlineStr">
        <is>
          <t>meta_retargeting_webinar</t>
        </is>
      </c>
      <c r="C246" t="inlineStr">
        <is>
          <t>meta</t>
        </is>
      </c>
      <c r="D246" t="n">
        <v>8377</v>
      </c>
      <c r="E246" t="n">
        <v>5983</v>
      </c>
      <c r="F246" t="n">
        <v>62</v>
      </c>
      <c r="G246" t="n">
        <v>3</v>
      </c>
      <c r="H246" t="n">
        <v>0</v>
      </c>
      <c r="I246" t="n">
        <v>1</v>
      </c>
      <c r="J246" t="n">
        <v>0</v>
      </c>
    </row>
    <row r="247">
      <c r="A247" s="5" t="n">
        <v>45888</v>
      </c>
      <c r="B247" t="inlineStr">
        <is>
          <t>FB-Broad</t>
        </is>
      </c>
      <c r="C247" t="inlineStr">
        <is>
          <t>meta</t>
        </is>
      </c>
      <c r="D247" t="n">
        <v>16705</v>
      </c>
      <c r="E247" t="n">
        <v>11932</v>
      </c>
      <c r="F247" t="n">
        <v>120</v>
      </c>
      <c r="G247" t="n">
        <v>5</v>
      </c>
      <c r="H247" t="n">
        <v>0</v>
      </c>
      <c r="I247" t="n">
        <v>0</v>
      </c>
      <c r="J247" t="n">
        <v>0</v>
      </c>
    </row>
    <row r="248">
      <c r="A248" s="5" t="n">
        <v>45888</v>
      </c>
      <c r="B248" t="inlineStr">
        <is>
          <t>google_brand_search</t>
        </is>
      </c>
      <c r="C248" t="inlineStr">
        <is>
          <t>google</t>
        </is>
      </c>
      <c r="D248" t="n">
        <v>7017</v>
      </c>
      <c r="E248" t="n">
        <v>1461</v>
      </c>
      <c r="F248" t="n">
        <v>68</v>
      </c>
      <c r="G248" t="n">
        <v>2</v>
      </c>
      <c r="H248" t="n">
        <v>1</v>
      </c>
      <c r="I248" t="n">
        <v>1</v>
      </c>
      <c r="J248" t="n">
        <v>1</v>
      </c>
    </row>
    <row r="249">
      <c r="A249" s="5" t="n">
        <v>45888</v>
      </c>
      <c r="B249" t="inlineStr">
        <is>
          <t>google_nonbrand_growth</t>
        </is>
      </c>
      <c r="C249" t="inlineStr">
        <is>
          <t>google</t>
        </is>
      </c>
      <c r="D249" t="n">
        <v>20994</v>
      </c>
      <c r="E249" t="n">
        <v>4373</v>
      </c>
      <c r="F249" t="n">
        <v>205</v>
      </c>
      <c r="G249" t="n">
        <v>1</v>
      </c>
      <c r="H249" t="n">
        <v>2</v>
      </c>
      <c r="I249" t="n">
        <v>0</v>
      </c>
      <c r="J249" t="n">
        <v>0</v>
      </c>
    </row>
    <row r="250">
      <c r="A250" s="5" t="n">
        <v>45888</v>
      </c>
      <c r="B250" t="inlineStr">
        <is>
          <t>meta_prospecting_founder</t>
        </is>
      </c>
      <c r="C250" t="inlineStr">
        <is>
          <t>meta</t>
        </is>
      </c>
      <c r="D250" t="n">
        <v>32345</v>
      </c>
      <c r="E250" t="n">
        <v>23103</v>
      </c>
      <c r="F250" t="n">
        <v>242</v>
      </c>
      <c r="G250" t="n">
        <v>6</v>
      </c>
      <c r="H250" t="n">
        <v>1</v>
      </c>
      <c r="I250" t="n">
        <v>1</v>
      </c>
      <c r="J250" t="n">
        <v>0</v>
      </c>
    </row>
    <row r="251">
      <c r="A251" s="5" t="n">
        <v>45888</v>
      </c>
      <c r="B251" t="inlineStr">
        <is>
          <t>meta_retargeting_webinar</t>
        </is>
      </c>
      <c r="C251" t="inlineStr">
        <is>
          <t>meta</t>
        </is>
      </c>
      <c r="D251" t="n">
        <v>8428</v>
      </c>
      <c r="E251" t="n">
        <v>6020</v>
      </c>
      <c r="F251" t="n">
        <v>70</v>
      </c>
      <c r="G251" t="n">
        <v>4</v>
      </c>
      <c r="H251" t="n">
        <v>3</v>
      </c>
      <c r="I251" t="n">
        <v>0</v>
      </c>
      <c r="J251" t="n">
        <v>0</v>
      </c>
    </row>
    <row r="252">
      <c r="A252" s="5" t="n">
        <v>45889</v>
      </c>
      <c r="B252" t="inlineStr">
        <is>
          <t>FB-Broad</t>
        </is>
      </c>
      <c r="C252" t="inlineStr">
        <is>
          <t>meta</t>
        </is>
      </c>
      <c r="D252" t="n">
        <v>15794</v>
      </c>
      <c r="E252" t="n">
        <v>11281</v>
      </c>
      <c r="F252" t="n">
        <v>130</v>
      </c>
      <c r="G252" t="n">
        <v>2</v>
      </c>
      <c r="H252" t="n">
        <v>0</v>
      </c>
      <c r="I252" t="n">
        <v>1</v>
      </c>
      <c r="J252" t="n">
        <v>0</v>
      </c>
    </row>
    <row r="253">
      <c r="A253" s="5" t="n">
        <v>45889</v>
      </c>
      <c r="B253" t="inlineStr">
        <is>
          <t>google_brand_search</t>
        </is>
      </c>
      <c r="C253" t="inlineStr">
        <is>
          <t>google</t>
        </is>
      </c>
      <c r="D253" t="n">
        <v>6622</v>
      </c>
      <c r="E253" t="n">
        <v>1379</v>
      </c>
      <c r="F253" t="n">
        <v>68</v>
      </c>
      <c r="G253" t="n">
        <v>0</v>
      </c>
      <c r="H253" t="n">
        <v>1</v>
      </c>
      <c r="I253" t="n">
        <v>1</v>
      </c>
      <c r="J253" t="n">
        <v>0</v>
      </c>
    </row>
    <row r="254">
      <c r="A254" s="5" t="n">
        <v>45889</v>
      </c>
      <c r="B254" t="inlineStr">
        <is>
          <t>google_nonbrand_growth</t>
        </is>
      </c>
      <c r="C254" t="inlineStr">
        <is>
          <t>google</t>
        </is>
      </c>
      <c r="D254" t="n">
        <v>23294</v>
      </c>
      <c r="E254" t="n">
        <v>4852</v>
      </c>
      <c r="F254" t="n">
        <v>262</v>
      </c>
      <c r="G254" t="n">
        <v>5</v>
      </c>
      <c r="H254" t="n">
        <v>2</v>
      </c>
      <c r="I254" t="n">
        <v>0</v>
      </c>
      <c r="J254" t="n">
        <v>0</v>
      </c>
    </row>
    <row r="255">
      <c r="A255" s="5" t="n">
        <v>45889</v>
      </c>
      <c r="B255" t="inlineStr">
        <is>
          <t>meta_prospecting_founder</t>
        </is>
      </c>
      <c r="C255" t="inlineStr">
        <is>
          <t>meta</t>
        </is>
      </c>
      <c r="D255" t="n">
        <v>35519</v>
      </c>
      <c r="E255" t="n">
        <v>25370</v>
      </c>
      <c r="F255" t="n">
        <v>247</v>
      </c>
      <c r="G255" t="n">
        <v>9</v>
      </c>
      <c r="H255" t="n">
        <v>3</v>
      </c>
      <c r="I255" t="n">
        <v>0</v>
      </c>
      <c r="J255" t="n">
        <v>0</v>
      </c>
    </row>
    <row r="256">
      <c r="A256" s="5" t="n">
        <v>45889</v>
      </c>
      <c r="B256" t="inlineStr">
        <is>
          <t>meta_retargeting_webinar</t>
        </is>
      </c>
      <c r="C256" t="inlineStr">
        <is>
          <t>meta</t>
        </is>
      </c>
      <c r="D256" t="n">
        <v>9708</v>
      </c>
      <c r="E256" t="n">
        <v>6934</v>
      </c>
      <c r="F256" t="n">
        <v>77</v>
      </c>
      <c r="G256" t="n">
        <v>5</v>
      </c>
      <c r="H256" t="n">
        <v>2</v>
      </c>
      <c r="I256" t="n">
        <v>0</v>
      </c>
      <c r="J256" t="n">
        <v>0</v>
      </c>
    </row>
    <row r="257">
      <c r="A257" s="5" t="n">
        <v>45890</v>
      </c>
      <c r="B257" t="inlineStr">
        <is>
          <t>FB-Broad</t>
        </is>
      </c>
      <c r="C257" t="inlineStr">
        <is>
          <t>meta</t>
        </is>
      </c>
      <c r="D257" t="n">
        <v>15879</v>
      </c>
      <c r="E257" t="n">
        <v>11342</v>
      </c>
      <c r="F257" t="n">
        <v>116</v>
      </c>
      <c r="G257" t="n">
        <v>6</v>
      </c>
      <c r="H257" t="n">
        <v>0</v>
      </c>
      <c r="I257" t="n">
        <v>0</v>
      </c>
      <c r="J257" t="n">
        <v>1</v>
      </c>
    </row>
    <row r="258">
      <c r="A258" s="5" t="n">
        <v>45890</v>
      </c>
      <c r="B258" t="inlineStr">
        <is>
          <t>google_brand_search</t>
        </is>
      </c>
      <c r="C258" t="inlineStr">
        <is>
          <t>google</t>
        </is>
      </c>
      <c r="D258" t="n">
        <v>6520</v>
      </c>
      <c r="E258" t="n">
        <v>1358</v>
      </c>
      <c r="F258" t="n">
        <v>68</v>
      </c>
      <c r="G258" t="n">
        <v>2</v>
      </c>
      <c r="H258" t="n">
        <v>0</v>
      </c>
      <c r="I258" t="n">
        <v>1</v>
      </c>
      <c r="J258" t="n">
        <v>0</v>
      </c>
    </row>
    <row r="259">
      <c r="A259" s="5" t="n">
        <v>45890</v>
      </c>
      <c r="B259" t="inlineStr">
        <is>
          <t>google_nonbrand_growth</t>
        </is>
      </c>
      <c r="C259" t="inlineStr">
        <is>
          <t>google</t>
        </is>
      </c>
      <c r="D259" t="n">
        <v>24300</v>
      </c>
      <c r="E259" t="n">
        <v>5062</v>
      </c>
      <c r="F259" t="n">
        <v>269</v>
      </c>
      <c r="G259" t="n">
        <v>6</v>
      </c>
      <c r="H259" t="n">
        <v>1</v>
      </c>
      <c r="I259" t="n">
        <v>1</v>
      </c>
      <c r="J259" t="n">
        <v>0</v>
      </c>
    </row>
    <row r="260">
      <c r="A260" s="5" t="n">
        <v>45890</v>
      </c>
      <c r="B260" t="inlineStr">
        <is>
          <t>meta_prospecting_founder</t>
        </is>
      </c>
      <c r="C260" t="inlineStr">
        <is>
          <t>meta</t>
        </is>
      </c>
      <c r="D260" t="n">
        <v>32816</v>
      </c>
      <c r="E260" t="n">
        <v>23440</v>
      </c>
      <c r="F260" t="n">
        <v>234</v>
      </c>
      <c r="G260" t="n">
        <v>7</v>
      </c>
      <c r="H260" t="n">
        <v>0</v>
      </c>
      <c r="I260" t="n">
        <v>0</v>
      </c>
      <c r="J260" t="n">
        <v>0</v>
      </c>
    </row>
    <row r="261">
      <c r="A261" s="5" t="n">
        <v>45890</v>
      </c>
      <c r="B261" t="inlineStr">
        <is>
          <t>meta_retargeting_webinar</t>
        </is>
      </c>
      <c r="C261" t="inlineStr">
        <is>
          <t>meta</t>
        </is>
      </c>
      <c r="D261" t="n">
        <v>8975</v>
      </c>
      <c r="E261" t="n">
        <v>6410</v>
      </c>
      <c r="F261" t="n">
        <v>67</v>
      </c>
      <c r="G261" t="n">
        <v>3</v>
      </c>
      <c r="H261" t="n">
        <v>1</v>
      </c>
      <c r="I261" t="n">
        <v>1</v>
      </c>
      <c r="J261" t="n">
        <v>1</v>
      </c>
    </row>
    <row r="262">
      <c r="A262" s="5" t="n">
        <v>45891</v>
      </c>
      <c r="B262" t="inlineStr">
        <is>
          <t>FB-Broad</t>
        </is>
      </c>
      <c r="C262" t="inlineStr">
        <is>
          <t>meta</t>
        </is>
      </c>
      <c r="D262" t="n">
        <v>16739</v>
      </c>
      <c r="E262" t="n">
        <v>11956</v>
      </c>
      <c r="F262" t="n">
        <v>116</v>
      </c>
      <c r="G262" t="n">
        <v>6</v>
      </c>
      <c r="H262" t="n">
        <v>0</v>
      </c>
      <c r="I262" t="n">
        <v>0</v>
      </c>
      <c r="J262" t="n">
        <v>1</v>
      </c>
    </row>
    <row r="263">
      <c r="A263" s="5" t="n">
        <v>45891</v>
      </c>
      <c r="B263" t="inlineStr">
        <is>
          <t>google_brand_search</t>
        </is>
      </c>
      <c r="C263" t="inlineStr">
        <is>
          <t>google</t>
        </is>
      </c>
      <c r="D263" t="n">
        <v>6661</v>
      </c>
      <c r="E263" t="n">
        <v>1387</v>
      </c>
      <c r="F263" t="n">
        <v>62</v>
      </c>
      <c r="G263" t="n">
        <v>3</v>
      </c>
      <c r="H263" t="n">
        <v>2</v>
      </c>
      <c r="I263" t="n">
        <v>1</v>
      </c>
      <c r="J263" t="n">
        <v>0</v>
      </c>
    </row>
    <row r="264">
      <c r="A264" s="5" t="n">
        <v>45891</v>
      </c>
      <c r="B264" t="inlineStr">
        <is>
          <t>google_nonbrand_growth</t>
        </is>
      </c>
      <c r="C264" t="inlineStr">
        <is>
          <t>google</t>
        </is>
      </c>
      <c r="D264" t="n">
        <v>22717</v>
      </c>
      <c r="E264" t="n">
        <v>4732</v>
      </c>
      <c r="F264" t="n">
        <v>282</v>
      </c>
      <c r="G264" t="n">
        <v>4</v>
      </c>
      <c r="H264" t="n">
        <v>1</v>
      </c>
      <c r="I264" t="n">
        <v>0</v>
      </c>
      <c r="J264" t="n">
        <v>0</v>
      </c>
    </row>
    <row r="265">
      <c r="A265" s="5" t="n">
        <v>45891</v>
      </c>
      <c r="B265" t="inlineStr">
        <is>
          <t>meta_prospecting_founder</t>
        </is>
      </c>
      <c r="C265" t="inlineStr">
        <is>
          <t>meta</t>
        </is>
      </c>
      <c r="D265" t="n">
        <v>30388</v>
      </c>
      <c r="E265" t="n">
        <v>21705</v>
      </c>
      <c r="F265" t="n">
        <v>241</v>
      </c>
      <c r="G265" t="n">
        <v>1</v>
      </c>
      <c r="H265" t="n">
        <v>3</v>
      </c>
      <c r="I265" t="n">
        <v>2</v>
      </c>
      <c r="J265" t="n">
        <v>1</v>
      </c>
    </row>
    <row r="266">
      <c r="A266" s="5" t="n">
        <v>45891</v>
      </c>
      <c r="B266" t="inlineStr">
        <is>
          <t>meta_retargeting_webinar</t>
        </is>
      </c>
      <c r="C266" t="inlineStr">
        <is>
          <t>meta</t>
        </is>
      </c>
      <c r="D266" t="n">
        <v>8642</v>
      </c>
      <c r="E266" t="n">
        <v>6172</v>
      </c>
      <c r="F266" t="n">
        <v>69</v>
      </c>
      <c r="G266" t="n">
        <v>2</v>
      </c>
      <c r="H266" t="n">
        <v>2</v>
      </c>
      <c r="I266" t="n">
        <v>1</v>
      </c>
      <c r="J266" t="n">
        <v>0</v>
      </c>
    </row>
    <row r="267">
      <c r="A267" s="5" t="n">
        <v>45892</v>
      </c>
      <c r="B267" t="inlineStr">
        <is>
          <t>FB-Broad</t>
        </is>
      </c>
      <c r="C267" t="inlineStr">
        <is>
          <t>meta</t>
        </is>
      </c>
      <c r="D267" t="n">
        <v>16517</v>
      </c>
      <c r="E267" t="n">
        <v>11797</v>
      </c>
      <c r="F267" t="n">
        <v>129</v>
      </c>
      <c r="G267" t="n">
        <v>3</v>
      </c>
      <c r="H267" t="n">
        <v>0</v>
      </c>
      <c r="I267" t="n">
        <v>0</v>
      </c>
      <c r="J267" t="n">
        <v>0</v>
      </c>
    </row>
    <row r="268">
      <c r="A268" s="5" t="n">
        <v>45892</v>
      </c>
      <c r="B268" t="inlineStr">
        <is>
          <t>google_brand_search</t>
        </is>
      </c>
      <c r="C268" t="inlineStr">
        <is>
          <t>google</t>
        </is>
      </c>
      <c r="D268" t="n">
        <v>6471</v>
      </c>
      <c r="E268" t="n">
        <v>1348</v>
      </c>
      <c r="F268" t="n">
        <v>69</v>
      </c>
      <c r="G268" t="n">
        <v>2</v>
      </c>
      <c r="H268" t="n">
        <v>1</v>
      </c>
      <c r="I268" t="n">
        <v>0</v>
      </c>
      <c r="J268" t="n">
        <v>0</v>
      </c>
    </row>
    <row r="269">
      <c r="A269" s="5" t="n">
        <v>45892</v>
      </c>
      <c r="B269" t="inlineStr">
        <is>
          <t>google_nonbrand_growth</t>
        </is>
      </c>
      <c r="C269" t="inlineStr">
        <is>
          <t>google</t>
        </is>
      </c>
      <c r="D269" t="n">
        <v>24444</v>
      </c>
      <c r="E269" t="n">
        <v>5092</v>
      </c>
      <c r="F269" t="n">
        <v>294</v>
      </c>
      <c r="G269" t="n">
        <v>1</v>
      </c>
      <c r="H269" t="n">
        <v>0</v>
      </c>
      <c r="I269" t="n">
        <v>2</v>
      </c>
      <c r="J269" t="n">
        <v>0</v>
      </c>
    </row>
    <row r="270">
      <c r="A270" s="5" t="n">
        <v>45892</v>
      </c>
      <c r="B270" t="inlineStr">
        <is>
          <t>meta_prospecting_founder</t>
        </is>
      </c>
      <c r="C270" t="inlineStr">
        <is>
          <t>meta</t>
        </is>
      </c>
      <c r="D270" t="n">
        <v>33965</v>
      </c>
      <c r="E270" t="n">
        <v>24260</v>
      </c>
      <c r="F270" t="n">
        <v>300</v>
      </c>
      <c r="G270" t="n">
        <v>4</v>
      </c>
      <c r="H270" t="n">
        <v>2</v>
      </c>
      <c r="I270" t="n">
        <v>0</v>
      </c>
      <c r="J270" t="n">
        <v>0</v>
      </c>
    </row>
    <row r="271">
      <c r="A271" s="5" t="n">
        <v>45892</v>
      </c>
      <c r="B271" t="inlineStr">
        <is>
          <t>meta_retargeting_webinar</t>
        </is>
      </c>
      <c r="C271" t="inlineStr">
        <is>
          <t>meta</t>
        </is>
      </c>
      <c r="D271" t="n">
        <v>9048</v>
      </c>
      <c r="E271" t="n">
        <v>6462</v>
      </c>
      <c r="F271" t="n">
        <v>68</v>
      </c>
      <c r="G271" t="n">
        <v>1</v>
      </c>
      <c r="H271" t="n">
        <v>0</v>
      </c>
      <c r="I271" t="n">
        <v>1</v>
      </c>
      <c r="J271" t="n">
        <v>0</v>
      </c>
    </row>
    <row r="272">
      <c r="A272" s="5" t="n">
        <v>45893</v>
      </c>
      <c r="B272" t="inlineStr">
        <is>
          <t>FB-Broad</t>
        </is>
      </c>
      <c r="C272" t="inlineStr">
        <is>
          <t>meta</t>
        </is>
      </c>
      <c r="D272" t="n">
        <v>18109</v>
      </c>
      <c r="E272" t="n">
        <v>12935</v>
      </c>
      <c r="F272" t="n">
        <v>142</v>
      </c>
      <c r="G272" t="n">
        <v>5</v>
      </c>
      <c r="H272" t="n">
        <v>1</v>
      </c>
      <c r="I272" t="n">
        <v>0</v>
      </c>
      <c r="J272" t="n">
        <v>0</v>
      </c>
    </row>
    <row r="273">
      <c r="A273" s="5" t="n">
        <v>45893</v>
      </c>
      <c r="B273" t="inlineStr">
        <is>
          <t>google_brand_search</t>
        </is>
      </c>
      <c r="C273" t="inlineStr">
        <is>
          <t>google</t>
        </is>
      </c>
      <c r="D273" t="n">
        <v>7189</v>
      </c>
      <c r="E273" t="n">
        <v>1497</v>
      </c>
      <c r="F273" t="n">
        <v>72</v>
      </c>
      <c r="G273" t="n">
        <v>3</v>
      </c>
      <c r="H273" t="n">
        <v>1</v>
      </c>
      <c r="I273" t="n">
        <v>0</v>
      </c>
      <c r="J273" t="n">
        <v>0</v>
      </c>
    </row>
    <row r="274">
      <c r="A274" s="5" t="n">
        <v>45893</v>
      </c>
      <c r="B274" t="inlineStr">
        <is>
          <t>google_nonbrand_growth</t>
        </is>
      </c>
      <c r="C274" t="inlineStr">
        <is>
          <t>google</t>
        </is>
      </c>
      <c r="D274" t="n">
        <v>21823</v>
      </c>
      <c r="E274" t="n">
        <v>4546</v>
      </c>
      <c r="F274" t="n">
        <v>205</v>
      </c>
      <c r="G274" t="n">
        <v>2</v>
      </c>
      <c r="H274" t="n">
        <v>2</v>
      </c>
      <c r="I274" t="n">
        <v>1</v>
      </c>
      <c r="J274" t="n">
        <v>0</v>
      </c>
    </row>
    <row r="275">
      <c r="A275" s="5" t="n">
        <v>45893</v>
      </c>
      <c r="B275" t="inlineStr">
        <is>
          <t>meta_prospecting_founder</t>
        </is>
      </c>
      <c r="C275" t="inlineStr">
        <is>
          <t>meta</t>
        </is>
      </c>
      <c r="D275" t="n">
        <v>33722</v>
      </c>
      <c r="E275" t="n">
        <v>24087</v>
      </c>
      <c r="F275" t="n">
        <v>261</v>
      </c>
      <c r="G275" t="n">
        <v>8</v>
      </c>
      <c r="H275" t="n">
        <v>0</v>
      </c>
      <c r="I275" t="n">
        <v>1</v>
      </c>
      <c r="J275" t="n">
        <v>0</v>
      </c>
    </row>
    <row r="276">
      <c r="A276" s="5" t="n">
        <v>45893</v>
      </c>
      <c r="B276" t="inlineStr">
        <is>
          <t>meta_retargeting_webinar</t>
        </is>
      </c>
      <c r="C276" t="inlineStr">
        <is>
          <t>meta</t>
        </is>
      </c>
      <c r="D276" t="n">
        <v>8617</v>
      </c>
      <c r="E276" t="n">
        <v>6155</v>
      </c>
      <c r="F276" t="n">
        <v>58</v>
      </c>
      <c r="G276" t="n">
        <v>1</v>
      </c>
      <c r="H276" t="n">
        <v>0</v>
      </c>
      <c r="I276" t="n">
        <v>0</v>
      </c>
      <c r="J276" t="n">
        <v>0</v>
      </c>
    </row>
    <row r="277">
      <c r="A277" s="5" t="n">
        <v>45894</v>
      </c>
      <c r="B277" t="inlineStr">
        <is>
          <t>FB-Broad</t>
        </is>
      </c>
      <c r="C277" t="inlineStr">
        <is>
          <t>meta</t>
        </is>
      </c>
      <c r="D277" t="n">
        <v>16657</v>
      </c>
      <c r="E277" t="n">
        <v>11897</v>
      </c>
      <c r="F277" t="n">
        <v>134</v>
      </c>
      <c r="G277" t="n">
        <v>3</v>
      </c>
      <c r="H277" t="n">
        <v>0</v>
      </c>
      <c r="I277" t="n">
        <v>0</v>
      </c>
      <c r="J277" t="n">
        <v>0</v>
      </c>
    </row>
    <row r="278">
      <c r="A278" s="5" t="n">
        <v>45894</v>
      </c>
      <c r="B278" t="inlineStr">
        <is>
          <t>google_brand_search</t>
        </is>
      </c>
      <c r="C278" t="inlineStr">
        <is>
          <t>google</t>
        </is>
      </c>
      <c r="D278" t="n">
        <v>6564</v>
      </c>
      <c r="E278" t="n">
        <v>1367</v>
      </c>
      <c r="F278" t="n">
        <v>76</v>
      </c>
      <c r="G278" t="n">
        <v>1</v>
      </c>
      <c r="H278" t="n">
        <v>0</v>
      </c>
      <c r="I278" t="n">
        <v>1</v>
      </c>
      <c r="J278" t="n">
        <v>2</v>
      </c>
    </row>
    <row r="279">
      <c r="A279" s="5" t="n">
        <v>45894</v>
      </c>
      <c r="B279" t="inlineStr">
        <is>
          <t>google_nonbrand_growth</t>
        </is>
      </c>
      <c r="C279" t="inlineStr">
        <is>
          <t>google</t>
        </is>
      </c>
      <c r="D279" t="n">
        <v>24334</v>
      </c>
      <c r="E279" t="n">
        <v>5069</v>
      </c>
      <c r="F279" t="n">
        <v>278</v>
      </c>
      <c r="G279" t="n">
        <v>3</v>
      </c>
      <c r="H279" t="n">
        <v>0</v>
      </c>
      <c r="I279" t="n">
        <v>0</v>
      </c>
      <c r="J279" t="n">
        <v>0</v>
      </c>
    </row>
    <row r="280">
      <c r="A280" s="5" t="n">
        <v>45894</v>
      </c>
      <c r="B280" t="inlineStr">
        <is>
          <t>meta_prospecting_founder</t>
        </is>
      </c>
      <c r="C280" t="inlineStr">
        <is>
          <t>meta</t>
        </is>
      </c>
      <c r="D280" t="n">
        <v>31299</v>
      </c>
      <c r="E280" t="n">
        <v>22356</v>
      </c>
      <c r="F280" t="n">
        <v>218</v>
      </c>
      <c r="G280" t="n">
        <v>8</v>
      </c>
      <c r="H280" t="n">
        <v>1</v>
      </c>
      <c r="I280" t="n">
        <v>1</v>
      </c>
      <c r="J280" t="n">
        <v>0</v>
      </c>
    </row>
    <row r="281">
      <c r="A281" s="5" t="n">
        <v>45894</v>
      </c>
      <c r="B281" t="inlineStr">
        <is>
          <t>meta_retargeting_webinar</t>
        </is>
      </c>
      <c r="C281" t="inlineStr">
        <is>
          <t>meta</t>
        </is>
      </c>
      <c r="D281" t="n">
        <v>8528</v>
      </c>
      <c r="E281" t="n">
        <v>6091</v>
      </c>
      <c r="F281" t="n">
        <v>66</v>
      </c>
      <c r="G281" t="n">
        <v>4</v>
      </c>
      <c r="H281" t="n">
        <v>0</v>
      </c>
      <c r="I281" t="n">
        <v>1</v>
      </c>
      <c r="J281" t="n">
        <v>0</v>
      </c>
    </row>
    <row r="282">
      <c r="A282" s="5" t="n">
        <v>45895</v>
      </c>
      <c r="B282" t="inlineStr">
        <is>
          <t>FB-Broad</t>
        </is>
      </c>
      <c r="C282" t="inlineStr">
        <is>
          <t>meta</t>
        </is>
      </c>
      <c r="D282" t="n">
        <v>15094</v>
      </c>
      <c r="E282" t="n">
        <v>10781</v>
      </c>
      <c r="F282" t="n">
        <v>123</v>
      </c>
      <c r="G282" t="n">
        <v>4</v>
      </c>
      <c r="H282" t="n">
        <v>2</v>
      </c>
      <c r="I282" t="n">
        <v>1</v>
      </c>
      <c r="J282" t="n">
        <v>0</v>
      </c>
    </row>
    <row r="283">
      <c r="A283" s="5" t="n">
        <v>45895</v>
      </c>
      <c r="B283" t="inlineStr">
        <is>
          <t>google_brand_search</t>
        </is>
      </c>
      <c r="C283" t="inlineStr">
        <is>
          <t>google</t>
        </is>
      </c>
      <c r="D283" t="n">
        <v>6196</v>
      </c>
      <c r="E283" t="n">
        <v>1290</v>
      </c>
      <c r="F283" t="n">
        <v>64</v>
      </c>
      <c r="G283" t="n">
        <v>2</v>
      </c>
      <c r="H283" t="n">
        <v>3</v>
      </c>
      <c r="I283" t="n">
        <v>0</v>
      </c>
      <c r="J283" t="n">
        <v>0</v>
      </c>
    </row>
    <row r="284">
      <c r="A284" s="5" t="n">
        <v>45895</v>
      </c>
      <c r="B284" t="inlineStr">
        <is>
          <t>google_nonbrand_growth</t>
        </is>
      </c>
      <c r="C284" t="inlineStr">
        <is>
          <t>google</t>
        </is>
      </c>
      <c r="D284" t="n">
        <v>21562</v>
      </c>
      <c r="E284" t="n">
        <v>4492</v>
      </c>
      <c r="F284" t="n">
        <v>205</v>
      </c>
      <c r="G284" t="n">
        <v>4</v>
      </c>
      <c r="H284" t="n">
        <v>0</v>
      </c>
      <c r="I284" t="n">
        <v>1</v>
      </c>
      <c r="J284" t="n">
        <v>0</v>
      </c>
    </row>
    <row r="285">
      <c r="A285" s="5" t="n">
        <v>45895</v>
      </c>
      <c r="B285" t="inlineStr">
        <is>
          <t>meta_prospecting_founder</t>
        </is>
      </c>
      <c r="C285" t="inlineStr">
        <is>
          <t>meta</t>
        </is>
      </c>
      <c r="D285" t="n">
        <v>30585</v>
      </c>
      <c r="E285" t="n">
        <v>21846</v>
      </c>
      <c r="F285" t="n">
        <v>205</v>
      </c>
      <c r="G285" t="n">
        <v>12</v>
      </c>
      <c r="H285" t="n">
        <v>1</v>
      </c>
      <c r="I285" t="n">
        <v>1</v>
      </c>
      <c r="J285" t="n">
        <v>2</v>
      </c>
    </row>
    <row r="286">
      <c r="A286" s="5" t="n">
        <v>45895</v>
      </c>
      <c r="B286" t="inlineStr">
        <is>
          <t>meta_retargeting_webinar</t>
        </is>
      </c>
      <c r="C286" t="inlineStr">
        <is>
          <t>meta</t>
        </is>
      </c>
      <c r="D286" t="n">
        <v>10103</v>
      </c>
      <c r="E286" t="n">
        <v>7216</v>
      </c>
      <c r="F286" t="n">
        <v>70</v>
      </c>
      <c r="G286" t="n">
        <v>4</v>
      </c>
      <c r="H286" t="n">
        <v>1</v>
      </c>
      <c r="I286" t="n">
        <v>0</v>
      </c>
      <c r="J286" t="n">
        <v>0</v>
      </c>
    </row>
    <row r="287">
      <c r="A287" s="5" t="n">
        <v>45896</v>
      </c>
      <c r="B287" t="inlineStr">
        <is>
          <t>FB-Broad</t>
        </is>
      </c>
      <c r="C287" t="inlineStr">
        <is>
          <t>meta</t>
        </is>
      </c>
      <c r="D287" t="n">
        <v>15977</v>
      </c>
      <c r="E287" t="n">
        <v>11412</v>
      </c>
      <c r="F287" t="n">
        <v>136</v>
      </c>
      <c r="G287" t="n">
        <v>4</v>
      </c>
      <c r="H287" t="n">
        <v>1</v>
      </c>
      <c r="I287" t="n">
        <v>1</v>
      </c>
      <c r="J287" t="n">
        <v>0</v>
      </c>
    </row>
    <row r="288">
      <c r="A288" s="5" t="n">
        <v>45896</v>
      </c>
      <c r="B288" t="inlineStr">
        <is>
          <t>google_brand_search</t>
        </is>
      </c>
      <c r="C288" t="inlineStr">
        <is>
          <t>google</t>
        </is>
      </c>
      <c r="D288" t="n">
        <v>7320</v>
      </c>
      <c r="E288" t="n">
        <v>1525</v>
      </c>
      <c r="F288" t="n">
        <v>71</v>
      </c>
      <c r="G288" t="n">
        <v>3</v>
      </c>
      <c r="H288" t="n">
        <v>3</v>
      </c>
      <c r="I288" t="n">
        <v>0</v>
      </c>
      <c r="J288" t="n">
        <v>0</v>
      </c>
    </row>
    <row r="289">
      <c r="A289" s="5" t="n">
        <v>45896</v>
      </c>
      <c r="B289" t="inlineStr">
        <is>
          <t>google_nonbrand_growth</t>
        </is>
      </c>
      <c r="C289" t="inlineStr">
        <is>
          <t>google</t>
        </is>
      </c>
      <c r="D289" t="n">
        <v>23150</v>
      </c>
      <c r="E289" t="n">
        <v>4822</v>
      </c>
      <c r="F289" t="n">
        <v>278</v>
      </c>
      <c r="G289" t="n">
        <v>7</v>
      </c>
      <c r="H289" t="n">
        <v>3</v>
      </c>
      <c r="I289" t="n">
        <v>0</v>
      </c>
      <c r="J289" t="n">
        <v>0</v>
      </c>
    </row>
    <row r="290">
      <c r="A290" s="5" t="n">
        <v>45896</v>
      </c>
      <c r="B290" t="inlineStr">
        <is>
          <t>meta_prospecting_founder</t>
        </is>
      </c>
      <c r="C290" t="inlineStr">
        <is>
          <t>meta</t>
        </is>
      </c>
      <c r="D290" t="n">
        <v>33284</v>
      </c>
      <c r="E290" t="n">
        <v>23774</v>
      </c>
      <c r="F290" t="n">
        <v>272</v>
      </c>
      <c r="G290" t="n">
        <v>12</v>
      </c>
      <c r="H290" t="n">
        <v>3</v>
      </c>
      <c r="I290" t="n">
        <v>0</v>
      </c>
      <c r="J290" t="n">
        <v>0</v>
      </c>
    </row>
    <row r="291">
      <c r="A291" s="5" t="n">
        <v>45896</v>
      </c>
      <c r="B291" t="inlineStr">
        <is>
          <t>meta_retargeting_webinar</t>
        </is>
      </c>
      <c r="C291" t="inlineStr">
        <is>
          <t>meta</t>
        </is>
      </c>
      <c r="D291" t="n">
        <v>9869</v>
      </c>
      <c r="E291" t="n">
        <v>7049</v>
      </c>
      <c r="F291" t="n">
        <v>78</v>
      </c>
      <c r="G291" t="n">
        <v>3</v>
      </c>
      <c r="H291" t="n">
        <v>1</v>
      </c>
      <c r="I291" t="n">
        <v>0</v>
      </c>
      <c r="J291" t="n">
        <v>1</v>
      </c>
    </row>
    <row r="292">
      <c r="A292" s="5" t="n">
        <v>45897</v>
      </c>
      <c r="B292" t="inlineStr">
        <is>
          <t>FB-Broad</t>
        </is>
      </c>
      <c r="C292" t="inlineStr">
        <is>
          <t>meta</t>
        </is>
      </c>
      <c r="D292" t="n">
        <v>17094</v>
      </c>
      <c r="E292" t="n">
        <v>12209</v>
      </c>
      <c r="F292" t="n">
        <v>145</v>
      </c>
      <c r="G292" t="n">
        <v>3</v>
      </c>
      <c r="H292" t="n">
        <v>0</v>
      </c>
      <c r="I292" t="n">
        <v>1</v>
      </c>
      <c r="J292" t="n">
        <v>0</v>
      </c>
    </row>
    <row r="293">
      <c r="A293" s="5" t="n">
        <v>45897</v>
      </c>
      <c r="B293" t="inlineStr">
        <is>
          <t>google_brand_search</t>
        </is>
      </c>
      <c r="C293" t="inlineStr">
        <is>
          <t>google</t>
        </is>
      </c>
      <c r="D293" t="n">
        <v>7209</v>
      </c>
      <c r="E293" t="n">
        <v>1501</v>
      </c>
      <c r="F293" t="n">
        <v>84</v>
      </c>
      <c r="G293" t="n">
        <v>1</v>
      </c>
      <c r="H293" t="n">
        <v>2</v>
      </c>
      <c r="I293" t="n">
        <v>1</v>
      </c>
      <c r="J293" t="n">
        <v>0</v>
      </c>
    </row>
    <row r="294">
      <c r="A294" s="5" t="n">
        <v>45897</v>
      </c>
      <c r="B294" t="inlineStr">
        <is>
          <t>google_nonbrand_growth</t>
        </is>
      </c>
      <c r="C294" t="inlineStr">
        <is>
          <t>google</t>
        </is>
      </c>
      <c r="D294" t="n">
        <v>22453</v>
      </c>
      <c r="E294" t="n">
        <v>4677</v>
      </c>
      <c r="F294" t="n">
        <v>215</v>
      </c>
      <c r="G294" t="n">
        <v>2</v>
      </c>
      <c r="H294" t="n">
        <v>2</v>
      </c>
      <c r="I294" t="n">
        <v>1</v>
      </c>
      <c r="J294" t="n">
        <v>0</v>
      </c>
    </row>
    <row r="295">
      <c r="A295" s="5" t="n">
        <v>45897</v>
      </c>
      <c r="B295" t="inlineStr">
        <is>
          <t>meta_prospecting_founder</t>
        </is>
      </c>
      <c r="C295" t="inlineStr">
        <is>
          <t>meta</t>
        </is>
      </c>
      <c r="D295" t="n">
        <v>32789</v>
      </c>
      <c r="E295" t="n">
        <v>23420</v>
      </c>
      <c r="F295" t="n">
        <v>284</v>
      </c>
      <c r="G295" t="n">
        <v>8</v>
      </c>
      <c r="H295" t="n">
        <v>3</v>
      </c>
      <c r="I295" t="n">
        <v>1</v>
      </c>
      <c r="J295" t="n">
        <v>0</v>
      </c>
    </row>
    <row r="296">
      <c r="A296" s="5" t="n">
        <v>45897</v>
      </c>
      <c r="B296" t="inlineStr">
        <is>
          <t>meta_retargeting_webinar</t>
        </is>
      </c>
      <c r="C296" t="inlineStr">
        <is>
          <t>meta</t>
        </is>
      </c>
      <c r="D296" t="n">
        <v>8511</v>
      </c>
      <c r="E296" t="n">
        <v>6079</v>
      </c>
      <c r="F296" t="n">
        <v>75</v>
      </c>
      <c r="G296" t="n">
        <v>1</v>
      </c>
      <c r="H296" t="n">
        <v>3</v>
      </c>
      <c r="I296" t="n">
        <v>0</v>
      </c>
      <c r="J296" t="n">
        <v>0</v>
      </c>
    </row>
    <row r="297">
      <c r="A297" s="5" t="n">
        <v>45898</v>
      </c>
      <c r="B297" t="inlineStr">
        <is>
          <t>FB-Broad</t>
        </is>
      </c>
      <c r="C297" t="inlineStr">
        <is>
          <t>meta</t>
        </is>
      </c>
      <c r="D297" t="n">
        <v>15243</v>
      </c>
      <c r="E297" t="n">
        <v>10887</v>
      </c>
      <c r="F297" t="n">
        <v>129</v>
      </c>
      <c r="G297" t="n">
        <v>2</v>
      </c>
      <c r="H297" t="n">
        <v>0</v>
      </c>
      <c r="I297" t="n">
        <v>0</v>
      </c>
      <c r="J297" t="n">
        <v>1</v>
      </c>
    </row>
    <row r="298">
      <c r="A298" s="5" t="n">
        <v>45898</v>
      </c>
      <c r="B298" t="inlineStr">
        <is>
          <t>google_brand_search</t>
        </is>
      </c>
      <c r="C298" t="inlineStr">
        <is>
          <t>google</t>
        </is>
      </c>
      <c r="D298" t="n">
        <v>6349</v>
      </c>
      <c r="E298" t="n">
        <v>1322</v>
      </c>
      <c r="F298" t="n">
        <v>68</v>
      </c>
      <c r="G298" t="n">
        <v>0</v>
      </c>
      <c r="H298" t="n">
        <v>0</v>
      </c>
      <c r="I298" t="n">
        <v>0</v>
      </c>
      <c r="J298" t="n">
        <v>1</v>
      </c>
    </row>
    <row r="299">
      <c r="A299" s="5" t="n">
        <v>45898</v>
      </c>
      <c r="B299" t="inlineStr">
        <is>
          <t>google_nonbrand_growth</t>
        </is>
      </c>
      <c r="C299" t="inlineStr">
        <is>
          <t>google</t>
        </is>
      </c>
      <c r="D299" t="n">
        <v>20362</v>
      </c>
      <c r="E299" t="n">
        <v>4242</v>
      </c>
      <c r="F299" t="n">
        <v>189</v>
      </c>
      <c r="G299" t="n">
        <v>0</v>
      </c>
      <c r="H299" t="n">
        <v>2</v>
      </c>
      <c r="I299" t="n">
        <v>0</v>
      </c>
      <c r="J299" t="n">
        <v>1</v>
      </c>
    </row>
    <row r="300">
      <c r="A300" s="5" t="n">
        <v>45898</v>
      </c>
      <c r="B300" t="inlineStr">
        <is>
          <t>meta_prospecting_founder</t>
        </is>
      </c>
      <c r="C300" t="inlineStr">
        <is>
          <t>meta</t>
        </is>
      </c>
      <c r="D300" t="n">
        <v>29384</v>
      </c>
      <c r="E300" t="n">
        <v>20988</v>
      </c>
      <c r="F300" t="n">
        <v>216</v>
      </c>
      <c r="G300" t="n">
        <v>8</v>
      </c>
      <c r="H300" t="n">
        <v>5</v>
      </c>
      <c r="I300" t="n">
        <v>1</v>
      </c>
      <c r="J300" t="n">
        <v>0</v>
      </c>
    </row>
    <row r="301">
      <c r="A301" s="5" t="n">
        <v>45898</v>
      </c>
      <c r="B301" t="inlineStr">
        <is>
          <t>meta_retargeting_webinar</t>
        </is>
      </c>
      <c r="C301" t="inlineStr">
        <is>
          <t>meta</t>
        </is>
      </c>
      <c r="D301" t="n">
        <v>8761</v>
      </c>
      <c r="E301" t="n">
        <v>6257</v>
      </c>
      <c r="F301" t="n">
        <v>77</v>
      </c>
      <c r="G301" t="n">
        <v>4</v>
      </c>
      <c r="H301" t="n">
        <v>0</v>
      </c>
      <c r="I301" t="n">
        <v>0</v>
      </c>
      <c r="J301" t="n">
        <v>0</v>
      </c>
    </row>
    <row r="302">
      <c r="A302" s="5" t="n">
        <v>45899</v>
      </c>
      <c r="B302" t="inlineStr">
        <is>
          <t>FB-Broad</t>
        </is>
      </c>
      <c r="C302" t="inlineStr">
        <is>
          <t>meta</t>
        </is>
      </c>
      <c r="D302" t="n">
        <v>18016</v>
      </c>
      <c r="E302" t="n">
        <v>12868</v>
      </c>
      <c r="F302" t="n">
        <v>161</v>
      </c>
      <c r="G302" t="n">
        <v>1</v>
      </c>
      <c r="H302" t="n">
        <v>1</v>
      </c>
      <c r="I302" t="n">
        <v>1</v>
      </c>
      <c r="J302" t="n">
        <v>0</v>
      </c>
    </row>
    <row r="303">
      <c r="A303" s="5" t="n">
        <v>45899</v>
      </c>
      <c r="B303" t="inlineStr">
        <is>
          <t>google_brand_search</t>
        </is>
      </c>
      <c r="C303" t="inlineStr">
        <is>
          <t>google</t>
        </is>
      </c>
      <c r="D303" t="n">
        <v>6199</v>
      </c>
      <c r="E303" t="n">
        <v>1291</v>
      </c>
      <c r="F303" t="n">
        <v>59</v>
      </c>
      <c r="G303" t="n">
        <v>1</v>
      </c>
      <c r="H303" t="n">
        <v>0</v>
      </c>
      <c r="I303" t="n">
        <v>2</v>
      </c>
      <c r="J303" t="n">
        <v>0</v>
      </c>
    </row>
    <row r="304">
      <c r="A304" s="5" t="n">
        <v>45899</v>
      </c>
      <c r="B304" t="inlineStr">
        <is>
          <t>google_nonbrand_growth</t>
        </is>
      </c>
      <c r="C304" t="inlineStr">
        <is>
          <t>google</t>
        </is>
      </c>
      <c r="D304" t="n">
        <v>21202</v>
      </c>
      <c r="E304" t="n">
        <v>4417</v>
      </c>
      <c r="F304" t="n">
        <v>195</v>
      </c>
      <c r="G304" t="n">
        <v>1</v>
      </c>
      <c r="H304" t="n">
        <v>0</v>
      </c>
      <c r="I304" t="n">
        <v>2</v>
      </c>
      <c r="J304" t="n">
        <v>0</v>
      </c>
    </row>
    <row r="305">
      <c r="A305" s="5" t="n">
        <v>45899</v>
      </c>
      <c r="B305" t="inlineStr">
        <is>
          <t>meta_prospecting_founder</t>
        </is>
      </c>
      <c r="C305" t="inlineStr">
        <is>
          <t>meta</t>
        </is>
      </c>
      <c r="D305" t="n">
        <v>33359</v>
      </c>
      <c r="E305" t="n">
        <v>23827</v>
      </c>
      <c r="F305" t="n">
        <v>227</v>
      </c>
      <c r="G305" t="n">
        <v>7</v>
      </c>
      <c r="H305" t="n">
        <v>1</v>
      </c>
      <c r="I305" t="n">
        <v>0</v>
      </c>
      <c r="J305" t="n">
        <v>1</v>
      </c>
    </row>
    <row r="306">
      <c r="A306" s="5" t="n">
        <v>45899</v>
      </c>
      <c r="B306" t="inlineStr">
        <is>
          <t>meta_retargeting_webinar</t>
        </is>
      </c>
      <c r="C306" t="inlineStr">
        <is>
          <t>meta</t>
        </is>
      </c>
      <c r="D306" t="n">
        <v>9152</v>
      </c>
      <c r="E306" t="n">
        <v>6537</v>
      </c>
      <c r="F306" t="n">
        <v>68</v>
      </c>
      <c r="G306" t="n">
        <v>2</v>
      </c>
      <c r="H306" t="n">
        <v>0</v>
      </c>
      <c r="I306" t="n">
        <v>2</v>
      </c>
      <c r="J306" t="n">
        <v>0</v>
      </c>
    </row>
    <row r="307">
      <c r="A307" s="5" t="n">
        <v>45900</v>
      </c>
      <c r="B307" t="inlineStr">
        <is>
          <t>FB-Broad</t>
        </is>
      </c>
      <c r="C307" t="inlineStr">
        <is>
          <t>meta</t>
        </is>
      </c>
      <c r="D307" t="n">
        <v>17365</v>
      </c>
      <c r="E307" t="n">
        <v>12403</v>
      </c>
      <c r="F307" t="n">
        <v>117</v>
      </c>
      <c r="G307" t="n">
        <v>1</v>
      </c>
      <c r="H307" t="n">
        <v>0</v>
      </c>
      <c r="I307" t="n">
        <v>0</v>
      </c>
      <c r="J307" t="n">
        <v>0</v>
      </c>
    </row>
    <row r="308">
      <c r="A308" s="5" t="n">
        <v>45900</v>
      </c>
      <c r="B308" t="inlineStr">
        <is>
          <t>google_brand_search</t>
        </is>
      </c>
      <c r="C308" t="inlineStr">
        <is>
          <t>google</t>
        </is>
      </c>
      <c r="D308" t="n">
        <v>7128</v>
      </c>
      <c r="E308" t="n">
        <v>1485</v>
      </c>
      <c r="F308" t="n">
        <v>74</v>
      </c>
      <c r="G308" t="n">
        <v>1</v>
      </c>
      <c r="H308" t="n">
        <v>0</v>
      </c>
      <c r="I308" t="n">
        <v>1</v>
      </c>
      <c r="J308" t="n">
        <v>0</v>
      </c>
    </row>
    <row r="309">
      <c r="A309" s="5" t="n">
        <v>45900</v>
      </c>
      <c r="B309" t="inlineStr">
        <is>
          <t>google_nonbrand_growth</t>
        </is>
      </c>
      <c r="C309" t="inlineStr">
        <is>
          <t>google</t>
        </is>
      </c>
      <c r="D309" t="n">
        <v>20800</v>
      </c>
      <c r="E309" t="n">
        <v>4333</v>
      </c>
      <c r="F309" t="n">
        <v>230</v>
      </c>
      <c r="G309" t="n">
        <v>6</v>
      </c>
      <c r="H309" t="n">
        <v>1</v>
      </c>
      <c r="I309" t="n">
        <v>0</v>
      </c>
      <c r="J309" t="n">
        <v>0</v>
      </c>
    </row>
    <row r="310">
      <c r="A310" s="5" t="n">
        <v>45900</v>
      </c>
      <c r="B310" t="inlineStr">
        <is>
          <t>meta_prospecting_founder</t>
        </is>
      </c>
      <c r="C310" t="inlineStr">
        <is>
          <t>meta</t>
        </is>
      </c>
      <c r="D310" t="n">
        <v>33601</v>
      </c>
      <c r="E310" t="n">
        <v>24000</v>
      </c>
      <c r="F310" t="n">
        <v>292</v>
      </c>
      <c r="G310" t="n">
        <v>5</v>
      </c>
      <c r="H310" t="n">
        <v>2</v>
      </c>
      <c r="I310" t="n">
        <v>0</v>
      </c>
      <c r="J310" t="n">
        <v>0</v>
      </c>
    </row>
    <row r="311">
      <c r="A311" s="5" t="n">
        <v>45900</v>
      </c>
      <c r="B311" t="inlineStr">
        <is>
          <t>meta_retargeting_webinar</t>
        </is>
      </c>
      <c r="C311" t="inlineStr">
        <is>
          <t>meta</t>
        </is>
      </c>
      <c r="D311" t="n">
        <v>9223</v>
      </c>
      <c r="E311" t="n">
        <v>6587</v>
      </c>
      <c r="F311" t="n">
        <v>67</v>
      </c>
      <c r="G311" t="n">
        <v>2</v>
      </c>
      <c r="H311" t="n">
        <v>2</v>
      </c>
      <c r="I311" t="n">
        <v>0</v>
      </c>
      <c r="J311" t="n">
        <v>0</v>
      </c>
    </row>
    <row r="312">
      <c r="A312" s="5" t="n">
        <v>45901</v>
      </c>
      <c r="B312" t="inlineStr">
        <is>
          <t>FB-Broad</t>
        </is>
      </c>
      <c r="C312" t="inlineStr">
        <is>
          <t>meta</t>
        </is>
      </c>
      <c r="D312" t="n">
        <v>16999</v>
      </c>
      <c r="E312" t="n">
        <v>12142</v>
      </c>
      <c r="F312" t="n">
        <v>135</v>
      </c>
      <c r="G312" t="n">
        <v>4</v>
      </c>
      <c r="H312" t="n">
        <v>0</v>
      </c>
      <c r="I312" t="n">
        <v>0</v>
      </c>
      <c r="J312" t="n">
        <v>0</v>
      </c>
    </row>
    <row r="313">
      <c r="A313" s="5" t="n">
        <v>45901</v>
      </c>
      <c r="B313" t="inlineStr">
        <is>
          <t>google_brand_search</t>
        </is>
      </c>
      <c r="C313" t="inlineStr">
        <is>
          <t>google</t>
        </is>
      </c>
      <c r="D313" t="n">
        <v>6521</v>
      </c>
      <c r="E313" t="n">
        <v>1358</v>
      </c>
      <c r="F313" t="n">
        <v>68</v>
      </c>
      <c r="G313" t="n">
        <v>3</v>
      </c>
      <c r="H313" t="n">
        <v>1</v>
      </c>
      <c r="I313" t="n">
        <v>1</v>
      </c>
      <c r="J313" t="n">
        <v>0</v>
      </c>
    </row>
    <row r="314">
      <c r="A314" s="5" t="n">
        <v>45901</v>
      </c>
      <c r="B314" t="inlineStr">
        <is>
          <t>google_nonbrand_growth</t>
        </is>
      </c>
      <c r="C314" t="inlineStr">
        <is>
          <t>google</t>
        </is>
      </c>
      <c r="D314" t="n">
        <v>24243</v>
      </c>
      <c r="E314" t="n">
        <v>5050</v>
      </c>
      <c r="F314" t="n">
        <v>261</v>
      </c>
      <c r="G314" t="n">
        <v>2</v>
      </c>
      <c r="H314" t="n">
        <v>0</v>
      </c>
      <c r="I314" t="n">
        <v>0</v>
      </c>
      <c r="J314" t="n">
        <v>0</v>
      </c>
    </row>
    <row r="315">
      <c r="A315" s="5" t="n">
        <v>45901</v>
      </c>
      <c r="B315" t="inlineStr">
        <is>
          <t>meta_prospecting_founder</t>
        </is>
      </c>
      <c r="C315" t="inlineStr">
        <is>
          <t>meta</t>
        </is>
      </c>
      <c r="D315" t="n">
        <v>31292</v>
      </c>
      <c r="E315" t="n">
        <v>22351</v>
      </c>
      <c r="F315" t="n">
        <v>225</v>
      </c>
      <c r="G315" t="n">
        <v>8</v>
      </c>
      <c r="H315" t="n">
        <v>1</v>
      </c>
      <c r="I315" t="n">
        <v>1</v>
      </c>
      <c r="J315" t="n">
        <v>0</v>
      </c>
    </row>
    <row r="316">
      <c r="A316" s="5" t="n">
        <v>45901</v>
      </c>
      <c r="B316" t="inlineStr">
        <is>
          <t>meta_retargeting_webinar</t>
        </is>
      </c>
      <c r="C316" t="inlineStr">
        <is>
          <t>meta</t>
        </is>
      </c>
      <c r="D316" t="n">
        <v>9652</v>
      </c>
      <c r="E316" t="n">
        <v>6894</v>
      </c>
      <c r="F316" t="n">
        <v>69</v>
      </c>
      <c r="G316" t="n">
        <v>1</v>
      </c>
      <c r="H316" t="n">
        <v>1</v>
      </c>
      <c r="I316" t="n">
        <v>1</v>
      </c>
      <c r="J316" t="n">
        <v>1</v>
      </c>
    </row>
    <row r="317">
      <c r="A317" s="5" t="n">
        <v>45902</v>
      </c>
      <c r="B317" t="inlineStr">
        <is>
          <t>FB-Broad</t>
        </is>
      </c>
      <c r="C317" t="inlineStr">
        <is>
          <t>meta</t>
        </is>
      </c>
      <c r="D317" t="n">
        <v>15497</v>
      </c>
      <c r="E317" t="n">
        <v>11069</v>
      </c>
      <c r="F317" t="n">
        <v>138</v>
      </c>
      <c r="G317" t="n">
        <v>7</v>
      </c>
      <c r="H317" t="n">
        <v>0</v>
      </c>
      <c r="I317" t="n">
        <v>0</v>
      </c>
      <c r="J317" t="n">
        <v>0</v>
      </c>
    </row>
    <row r="318">
      <c r="A318" s="5" t="n">
        <v>45902</v>
      </c>
      <c r="B318" t="inlineStr">
        <is>
          <t>google_brand_search</t>
        </is>
      </c>
      <c r="C318" t="inlineStr">
        <is>
          <t>google</t>
        </is>
      </c>
      <c r="D318" t="n">
        <v>6811</v>
      </c>
      <c r="E318" t="n">
        <v>1418</v>
      </c>
      <c r="F318" t="n">
        <v>75</v>
      </c>
      <c r="G318" t="n">
        <v>4</v>
      </c>
      <c r="H318" t="n">
        <v>2</v>
      </c>
      <c r="I318" t="n">
        <v>0</v>
      </c>
      <c r="J318" t="n">
        <v>0</v>
      </c>
    </row>
    <row r="319">
      <c r="A319" s="5" t="n">
        <v>45902</v>
      </c>
      <c r="B319" t="inlineStr">
        <is>
          <t>google_nonbrand_growth</t>
        </is>
      </c>
      <c r="C319" t="inlineStr">
        <is>
          <t>google</t>
        </is>
      </c>
      <c r="D319" t="n">
        <v>20980</v>
      </c>
      <c r="E319" t="n">
        <v>4370</v>
      </c>
      <c r="F319" t="n">
        <v>237</v>
      </c>
      <c r="G319" t="n">
        <v>1</v>
      </c>
      <c r="H319" t="n">
        <v>2</v>
      </c>
      <c r="I319" t="n">
        <v>1</v>
      </c>
      <c r="J319" t="n">
        <v>0</v>
      </c>
    </row>
    <row r="320">
      <c r="A320" s="5" t="n">
        <v>45902</v>
      </c>
      <c r="B320" t="inlineStr">
        <is>
          <t>meta_prospecting_founder</t>
        </is>
      </c>
      <c r="C320" t="inlineStr">
        <is>
          <t>meta</t>
        </is>
      </c>
      <c r="D320" t="n">
        <v>34257</v>
      </c>
      <c r="E320" t="n">
        <v>24469</v>
      </c>
      <c r="F320" t="n">
        <v>308</v>
      </c>
      <c r="G320" t="n">
        <v>10</v>
      </c>
      <c r="H320" t="n">
        <v>3</v>
      </c>
      <c r="I320" t="n">
        <v>1</v>
      </c>
      <c r="J320" t="n">
        <v>0</v>
      </c>
    </row>
    <row r="321">
      <c r="A321" s="5" t="n">
        <v>45902</v>
      </c>
      <c r="B321" t="inlineStr">
        <is>
          <t>meta_retargeting_webinar</t>
        </is>
      </c>
      <c r="C321" t="inlineStr">
        <is>
          <t>meta</t>
        </is>
      </c>
      <c r="D321" t="n">
        <v>9672</v>
      </c>
      <c r="E321" t="n">
        <v>6908</v>
      </c>
      <c r="F321" t="n">
        <v>84</v>
      </c>
      <c r="G321" t="n">
        <v>3</v>
      </c>
      <c r="H321" t="n">
        <v>1</v>
      </c>
      <c r="I321" t="n">
        <v>0</v>
      </c>
      <c r="J321" t="n">
        <v>0</v>
      </c>
    </row>
    <row r="322">
      <c r="A322" s="5" t="n">
        <v>45903</v>
      </c>
      <c r="B322" t="inlineStr">
        <is>
          <t>FB-Broad</t>
        </is>
      </c>
      <c r="C322" t="inlineStr">
        <is>
          <t>meta</t>
        </is>
      </c>
      <c r="D322" t="n">
        <v>16128</v>
      </c>
      <c r="E322" t="n">
        <v>11520</v>
      </c>
      <c r="F322" t="n">
        <v>134</v>
      </c>
      <c r="G322" t="n">
        <v>3</v>
      </c>
      <c r="H322" t="n">
        <v>1</v>
      </c>
      <c r="I322" t="n">
        <v>0</v>
      </c>
      <c r="J322" t="n">
        <v>0</v>
      </c>
    </row>
    <row r="323">
      <c r="A323" s="5" t="n">
        <v>45903</v>
      </c>
      <c r="B323" t="inlineStr">
        <is>
          <t>google_brand_search</t>
        </is>
      </c>
      <c r="C323" t="inlineStr">
        <is>
          <t>google</t>
        </is>
      </c>
      <c r="D323" t="n">
        <v>7246</v>
      </c>
      <c r="E323" t="n">
        <v>1509</v>
      </c>
      <c r="F323" t="n">
        <v>84</v>
      </c>
      <c r="G323" t="n">
        <v>3</v>
      </c>
      <c r="H323" t="n">
        <v>3</v>
      </c>
      <c r="I323" t="n">
        <v>0</v>
      </c>
      <c r="J323" t="n">
        <v>0</v>
      </c>
    </row>
    <row r="324">
      <c r="A324" s="5" t="n">
        <v>45903</v>
      </c>
      <c r="B324" t="inlineStr">
        <is>
          <t>google_nonbrand_growth</t>
        </is>
      </c>
      <c r="C324" t="inlineStr">
        <is>
          <t>google</t>
        </is>
      </c>
      <c r="D324" t="n">
        <v>21729</v>
      </c>
      <c r="E324" t="n">
        <v>4526</v>
      </c>
      <c r="F324" t="n">
        <v>248</v>
      </c>
      <c r="G324" t="n">
        <v>2</v>
      </c>
      <c r="H324" t="n">
        <v>1</v>
      </c>
      <c r="I324" t="n">
        <v>2</v>
      </c>
      <c r="J324" t="n">
        <v>0</v>
      </c>
    </row>
    <row r="325">
      <c r="A325" s="5" t="n">
        <v>45903</v>
      </c>
      <c r="B325" t="inlineStr">
        <is>
          <t>meta_prospecting_founder</t>
        </is>
      </c>
      <c r="C325" t="inlineStr">
        <is>
          <t>meta</t>
        </is>
      </c>
      <c r="D325" t="n">
        <v>29165</v>
      </c>
      <c r="E325" t="n">
        <v>20832</v>
      </c>
      <c r="F325" t="n">
        <v>240</v>
      </c>
      <c r="G325" t="n">
        <v>4</v>
      </c>
      <c r="H325" t="n">
        <v>2</v>
      </c>
      <c r="I325" t="n">
        <v>1</v>
      </c>
      <c r="J325" t="n">
        <v>2</v>
      </c>
    </row>
    <row r="326">
      <c r="A326" s="5" t="n">
        <v>45903</v>
      </c>
      <c r="B326" t="inlineStr">
        <is>
          <t>meta_retargeting_webinar</t>
        </is>
      </c>
      <c r="C326" t="inlineStr">
        <is>
          <t>meta</t>
        </is>
      </c>
      <c r="D326" t="n">
        <v>9355</v>
      </c>
      <c r="E326" t="n">
        <v>6682</v>
      </c>
      <c r="F326" t="n">
        <v>62</v>
      </c>
      <c r="G326" t="n">
        <v>5</v>
      </c>
      <c r="H326" t="n">
        <v>0</v>
      </c>
      <c r="I326" t="n">
        <v>1</v>
      </c>
      <c r="J326" t="n">
        <v>0</v>
      </c>
    </row>
    <row r="327">
      <c r="A327" s="5" t="n">
        <v>45904</v>
      </c>
      <c r="B327" t="inlineStr">
        <is>
          <t>FB-Broad</t>
        </is>
      </c>
      <c r="C327" t="inlineStr">
        <is>
          <t>meta</t>
        </is>
      </c>
      <c r="D327" t="n">
        <v>16039</v>
      </c>
      <c r="E327" t="n">
        <v>11456</v>
      </c>
      <c r="F327" t="n">
        <v>133</v>
      </c>
      <c r="G327" t="n">
        <v>2</v>
      </c>
      <c r="H327" t="n">
        <v>1</v>
      </c>
      <c r="I327" t="n">
        <v>0</v>
      </c>
      <c r="J327" t="n">
        <v>0</v>
      </c>
    </row>
    <row r="328">
      <c r="A328" s="5" t="n">
        <v>45904</v>
      </c>
      <c r="B328" t="inlineStr">
        <is>
          <t>google_brand_search</t>
        </is>
      </c>
      <c r="C328" t="inlineStr">
        <is>
          <t>google</t>
        </is>
      </c>
      <c r="D328" t="n">
        <v>7372</v>
      </c>
      <c r="E328" t="n">
        <v>1535</v>
      </c>
      <c r="F328" t="n">
        <v>87</v>
      </c>
      <c r="G328" t="n">
        <v>2</v>
      </c>
      <c r="H328" t="n">
        <v>1</v>
      </c>
      <c r="I328" t="n">
        <v>1</v>
      </c>
      <c r="J328" t="n">
        <v>0</v>
      </c>
    </row>
    <row r="329">
      <c r="A329" s="5" t="n">
        <v>45904</v>
      </c>
      <c r="B329" t="inlineStr">
        <is>
          <t>google_nonbrand_growth</t>
        </is>
      </c>
      <c r="C329" t="inlineStr">
        <is>
          <t>google</t>
        </is>
      </c>
      <c r="D329" t="n">
        <v>22905</v>
      </c>
      <c r="E329" t="n">
        <v>4771</v>
      </c>
      <c r="F329" t="n">
        <v>233</v>
      </c>
      <c r="G329" t="n">
        <v>6</v>
      </c>
      <c r="H329" t="n">
        <v>2</v>
      </c>
      <c r="I329" t="n">
        <v>0</v>
      </c>
      <c r="J329" t="n">
        <v>0</v>
      </c>
    </row>
    <row r="330">
      <c r="A330" s="5" t="n">
        <v>45904</v>
      </c>
      <c r="B330" t="inlineStr">
        <is>
          <t>meta_prospecting_founder</t>
        </is>
      </c>
      <c r="C330" t="inlineStr">
        <is>
          <t>meta</t>
        </is>
      </c>
      <c r="D330" t="n">
        <v>30732</v>
      </c>
      <c r="E330" t="n">
        <v>21951</v>
      </c>
      <c r="F330" t="n">
        <v>219</v>
      </c>
      <c r="G330" t="n">
        <v>12</v>
      </c>
      <c r="H330" t="n">
        <v>1</v>
      </c>
      <c r="I330" t="n">
        <v>3</v>
      </c>
      <c r="J330" t="n">
        <v>0</v>
      </c>
    </row>
    <row r="331">
      <c r="A331" s="5" t="n">
        <v>45904</v>
      </c>
      <c r="B331" t="inlineStr">
        <is>
          <t>meta_retargeting_webinar</t>
        </is>
      </c>
      <c r="C331" t="inlineStr">
        <is>
          <t>meta</t>
        </is>
      </c>
      <c r="D331" t="n">
        <v>9980</v>
      </c>
      <c r="E331" t="n">
        <v>7128</v>
      </c>
      <c r="F331" t="n">
        <v>76</v>
      </c>
      <c r="G331" t="n">
        <v>2</v>
      </c>
      <c r="H331" t="n">
        <v>1</v>
      </c>
      <c r="I331" t="n">
        <v>0</v>
      </c>
      <c r="J331" t="n">
        <v>0</v>
      </c>
    </row>
    <row r="332">
      <c r="A332" s="5" t="n">
        <v>45905</v>
      </c>
      <c r="B332" t="inlineStr">
        <is>
          <t>FB-Broad</t>
        </is>
      </c>
      <c r="C332" t="inlineStr">
        <is>
          <t>meta</t>
        </is>
      </c>
      <c r="D332" t="n">
        <v>16957</v>
      </c>
      <c r="E332" t="n">
        <v>12112</v>
      </c>
      <c r="F332" t="n">
        <v>115</v>
      </c>
      <c r="G332" t="n">
        <v>0</v>
      </c>
      <c r="H332" t="n">
        <v>1</v>
      </c>
      <c r="I332" t="n">
        <v>0</v>
      </c>
      <c r="J332" t="n">
        <v>1</v>
      </c>
    </row>
    <row r="333">
      <c r="A333" s="5" t="n">
        <v>45905</v>
      </c>
      <c r="B333" t="inlineStr">
        <is>
          <t>google_brand_search</t>
        </is>
      </c>
      <c r="C333" t="inlineStr">
        <is>
          <t>google</t>
        </is>
      </c>
      <c r="D333" t="n">
        <v>6611</v>
      </c>
      <c r="E333" t="n">
        <v>1377</v>
      </c>
      <c r="F333" t="n">
        <v>78</v>
      </c>
      <c r="G333" t="n">
        <v>3</v>
      </c>
      <c r="H333" t="n">
        <v>2</v>
      </c>
      <c r="I333" t="n">
        <v>0</v>
      </c>
      <c r="J333" t="n">
        <v>0</v>
      </c>
    </row>
    <row r="334">
      <c r="A334" s="5" t="n">
        <v>45905</v>
      </c>
      <c r="B334" t="inlineStr">
        <is>
          <t>google_nonbrand_growth</t>
        </is>
      </c>
      <c r="C334" t="inlineStr">
        <is>
          <t>google</t>
        </is>
      </c>
      <c r="D334" t="n">
        <v>22806</v>
      </c>
      <c r="E334" t="n">
        <v>4751</v>
      </c>
      <c r="F334" t="n">
        <v>231</v>
      </c>
      <c r="G334" t="n">
        <v>3</v>
      </c>
      <c r="H334" t="n">
        <v>1</v>
      </c>
      <c r="I334" t="n">
        <v>1</v>
      </c>
      <c r="J334" t="n">
        <v>0</v>
      </c>
    </row>
    <row r="335">
      <c r="A335" s="5" t="n">
        <v>45905</v>
      </c>
      <c r="B335" t="inlineStr">
        <is>
          <t>meta_prospecting_founder</t>
        </is>
      </c>
      <c r="C335" t="inlineStr">
        <is>
          <t>meta</t>
        </is>
      </c>
      <c r="D335" t="n">
        <v>30470</v>
      </c>
      <c r="E335" t="n">
        <v>21764</v>
      </c>
      <c r="F335" t="n">
        <v>224</v>
      </c>
      <c r="G335" t="n">
        <v>4</v>
      </c>
      <c r="H335" t="n">
        <v>2</v>
      </c>
      <c r="I335" t="n">
        <v>0</v>
      </c>
      <c r="J335" t="n">
        <v>0</v>
      </c>
    </row>
    <row r="336">
      <c r="A336" s="5" t="n">
        <v>45905</v>
      </c>
      <c r="B336" t="inlineStr">
        <is>
          <t>meta_retargeting_webinar</t>
        </is>
      </c>
      <c r="C336" t="inlineStr">
        <is>
          <t>meta</t>
        </is>
      </c>
      <c r="D336" t="n">
        <v>8705</v>
      </c>
      <c r="E336" t="n">
        <v>6217</v>
      </c>
      <c r="F336" t="n">
        <v>71</v>
      </c>
      <c r="G336" t="n">
        <v>5</v>
      </c>
      <c r="H336" t="n">
        <v>1</v>
      </c>
      <c r="I336" t="n">
        <v>0</v>
      </c>
      <c r="J336" t="n">
        <v>0</v>
      </c>
    </row>
    <row r="337">
      <c r="A337" s="5" t="n">
        <v>45906</v>
      </c>
      <c r="B337" t="inlineStr">
        <is>
          <t>FB-Broad</t>
        </is>
      </c>
      <c r="C337" t="inlineStr">
        <is>
          <t>meta</t>
        </is>
      </c>
      <c r="D337" t="n">
        <v>17434</v>
      </c>
      <c r="E337" t="n">
        <v>12452</v>
      </c>
      <c r="F337" t="n">
        <v>148</v>
      </c>
      <c r="G337" t="n">
        <v>5</v>
      </c>
      <c r="H337" t="n">
        <v>1</v>
      </c>
      <c r="I337" t="n">
        <v>1</v>
      </c>
      <c r="J337" t="n">
        <v>0</v>
      </c>
    </row>
    <row r="338">
      <c r="A338" s="5" t="n">
        <v>45906</v>
      </c>
      <c r="B338" t="inlineStr">
        <is>
          <t>google_brand_search</t>
        </is>
      </c>
      <c r="C338" t="inlineStr">
        <is>
          <t>google</t>
        </is>
      </c>
      <c r="D338" t="n">
        <v>6189</v>
      </c>
      <c r="E338" t="n">
        <v>1289</v>
      </c>
      <c r="F338" t="n">
        <v>63</v>
      </c>
      <c r="G338" t="n">
        <v>2</v>
      </c>
      <c r="H338" t="n">
        <v>1</v>
      </c>
      <c r="I338" t="n">
        <v>0</v>
      </c>
      <c r="J338" t="n">
        <v>0</v>
      </c>
    </row>
    <row r="339">
      <c r="A339" s="5" t="n">
        <v>45906</v>
      </c>
      <c r="B339" t="inlineStr">
        <is>
          <t>google_nonbrand_growth</t>
        </is>
      </c>
      <c r="C339" t="inlineStr">
        <is>
          <t>google</t>
        </is>
      </c>
      <c r="D339" t="n">
        <v>21265</v>
      </c>
      <c r="E339" t="n">
        <v>4430</v>
      </c>
      <c r="F339" t="n">
        <v>232</v>
      </c>
      <c r="G339" t="n">
        <v>2</v>
      </c>
      <c r="H339" t="n">
        <v>1</v>
      </c>
      <c r="I339" t="n">
        <v>0</v>
      </c>
      <c r="J339" t="n">
        <v>0</v>
      </c>
    </row>
    <row r="340">
      <c r="A340" s="5" t="n">
        <v>45906</v>
      </c>
      <c r="B340" t="inlineStr">
        <is>
          <t>meta_prospecting_founder</t>
        </is>
      </c>
      <c r="C340" t="inlineStr">
        <is>
          <t>meta</t>
        </is>
      </c>
      <c r="D340" t="n">
        <v>32000</v>
      </c>
      <c r="E340" t="n">
        <v>22857</v>
      </c>
      <c r="F340" t="n">
        <v>246</v>
      </c>
      <c r="G340" t="n">
        <v>9</v>
      </c>
      <c r="H340" t="n">
        <v>1</v>
      </c>
      <c r="I340" t="n">
        <v>1</v>
      </c>
      <c r="J340" t="n">
        <v>0</v>
      </c>
    </row>
    <row r="341">
      <c r="A341" s="5" t="n">
        <v>45906</v>
      </c>
      <c r="B341" t="inlineStr">
        <is>
          <t>meta_retargeting_webinar</t>
        </is>
      </c>
      <c r="C341" t="inlineStr">
        <is>
          <t>meta</t>
        </is>
      </c>
      <c r="D341" t="n">
        <v>8804</v>
      </c>
      <c r="E341" t="n">
        <v>6288</v>
      </c>
      <c r="F341" t="n">
        <v>64</v>
      </c>
      <c r="G341" t="n">
        <v>3</v>
      </c>
      <c r="H341" t="n">
        <v>2</v>
      </c>
      <c r="I341" t="n">
        <v>1</v>
      </c>
      <c r="J341" t="n">
        <v>0</v>
      </c>
    </row>
    <row r="342">
      <c r="A342" s="5" t="n">
        <v>45907</v>
      </c>
      <c r="B342" t="inlineStr">
        <is>
          <t>FB-Broad</t>
        </is>
      </c>
      <c r="C342" t="inlineStr">
        <is>
          <t>meta</t>
        </is>
      </c>
      <c r="D342" t="n">
        <v>15292</v>
      </c>
      <c r="E342" t="n">
        <v>10922</v>
      </c>
      <c r="F342" t="n">
        <v>115</v>
      </c>
      <c r="G342" t="n">
        <v>1</v>
      </c>
      <c r="H342" t="n">
        <v>1</v>
      </c>
      <c r="I342" t="n">
        <v>1</v>
      </c>
      <c r="J342" t="n">
        <v>0</v>
      </c>
    </row>
    <row r="343">
      <c r="A343" s="5" t="n">
        <v>45907</v>
      </c>
      <c r="B343" t="inlineStr">
        <is>
          <t>google_brand_search</t>
        </is>
      </c>
      <c r="C343" t="inlineStr">
        <is>
          <t>google</t>
        </is>
      </c>
      <c r="D343" t="n">
        <v>6491</v>
      </c>
      <c r="E343" t="n">
        <v>1352</v>
      </c>
      <c r="F343" t="n">
        <v>80</v>
      </c>
      <c r="G343" t="n">
        <v>1</v>
      </c>
      <c r="H343" t="n">
        <v>0</v>
      </c>
      <c r="I343" t="n">
        <v>0</v>
      </c>
      <c r="J343" t="n">
        <v>0</v>
      </c>
    </row>
    <row r="344">
      <c r="A344" s="5" t="n">
        <v>45907</v>
      </c>
      <c r="B344" t="inlineStr">
        <is>
          <t>google_nonbrand_growth</t>
        </is>
      </c>
      <c r="C344" t="inlineStr">
        <is>
          <t>google</t>
        </is>
      </c>
      <c r="D344" t="n">
        <v>24370</v>
      </c>
      <c r="E344" t="n">
        <v>5077</v>
      </c>
      <c r="F344" t="n">
        <v>226</v>
      </c>
      <c r="G344" t="n">
        <v>3</v>
      </c>
      <c r="H344" t="n">
        <v>1</v>
      </c>
      <c r="I344" t="n">
        <v>2</v>
      </c>
      <c r="J344" t="n">
        <v>0</v>
      </c>
    </row>
    <row r="345">
      <c r="A345" s="5" t="n">
        <v>45907</v>
      </c>
      <c r="B345" t="inlineStr">
        <is>
          <t>meta_prospecting_founder</t>
        </is>
      </c>
      <c r="C345" t="inlineStr">
        <is>
          <t>meta</t>
        </is>
      </c>
      <c r="D345" t="n">
        <v>30713</v>
      </c>
      <c r="E345" t="n">
        <v>21937</v>
      </c>
      <c r="F345" t="n">
        <v>265</v>
      </c>
      <c r="G345" t="n">
        <v>7</v>
      </c>
      <c r="H345" t="n">
        <v>1</v>
      </c>
      <c r="I345" t="n">
        <v>1</v>
      </c>
      <c r="J345" t="n">
        <v>1</v>
      </c>
    </row>
    <row r="346">
      <c r="A346" s="5" t="n">
        <v>45907</v>
      </c>
      <c r="B346" t="inlineStr">
        <is>
          <t>meta_retargeting_webinar</t>
        </is>
      </c>
      <c r="C346" t="inlineStr">
        <is>
          <t>meta</t>
        </is>
      </c>
      <c r="D346" t="n">
        <v>9404</v>
      </c>
      <c r="E346" t="n">
        <v>6717</v>
      </c>
      <c r="F346" t="n">
        <v>64</v>
      </c>
      <c r="G346" t="n">
        <v>3</v>
      </c>
      <c r="H346" t="n">
        <v>0</v>
      </c>
      <c r="I346" t="n">
        <v>0</v>
      </c>
      <c r="J346" t="n">
        <v>1</v>
      </c>
    </row>
    <row r="347">
      <c r="A347" s="5" t="n">
        <v>45908</v>
      </c>
      <c r="B347" t="inlineStr">
        <is>
          <t>FB-Broad</t>
        </is>
      </c>
      <c r="C347" t="inlineStr">
        <is>
          <t>meta</t>
        </is>
      </c>
      <c r="D347" t="n">
        <v>15603</v>
      </c>
      <c r="E347" t="n">
        <v>11145</v>
      </c>
      <c r="F347" t="n">
        <v>138</v>
      </c>
      <c r="G347" t="n">
        <v>6</v>
      </c>
      <c r="H347" t="n">
        <v>0</v>
      </c>
      <c r="I347" t="n">
        <v>0</v>
      </c>
      <c r="J347" t="n">
        <v>0</v>
      </c>
    </row>
    <row r="348">
      <c r="A348" s="5" t="n">
        <v>45908</v>
      </c>
      <c r="B348" t="inlineStr">
        <is>
          <t>google_brand_search</t>
        </is>
      </c>
      <c r="C348" t="inlineStr">
        <is>
          <t>google</t>
        </is>
      </c>
      <c r="D348" t="n">
        <v>7436</v>
      </c>
      <c r="E348" t="n">
        <v>1549</v>
      </c>
      <c r="F348" t="n">
        <v>79</v>
      </c>
      <c r="G348" t="n">
        <v>3</v>
      </c>
      <c r="H348" t="n">
        <v>0</v>
      </c>
      <c r="I348" t="n">
        <v>0</v>
      </c>
      <c r="J348" t="n">
        <v>2</v>
      </c>
    </row>
    <row r="349">
      <c r="A349" s="5" t="n">
        <v>45908</v>
      </c>
      <c r="B349" t="inlineStr">
        <is>
          <t>google_nonbrand_growth</t>
        </is>
      </c>
      <c r="C349" t="inlineStr">
        <is>
          <t>google</t>
        </is>
      </c>
      <c r="D349" t="n">
        <v>23274</v>
      </c>
      <c r="E349" t="n">
        <v>4848</v>
      </c>
      <c r="F349" t="n">
        <v>280</v>
      </c>
      <c r="G349" t="n">
        <v>3</v>
      </c>
      <c r="H349" t="n">
        <v>1</v>
      </c>
      <c r="I349" t="n">
        <v>0</v>
      </c>
      <c r="J349" t="n">
        <v>1</v>
      </c>
    </row>
    <row r="350">
      <c r="A350" s="5" t="n">
        <v>45908</v>
      </c>
      <c r="B350" t="inlineStr">
        <is>
          <t>meta_prospecting_founder</t>
        </is>
      </c>
      <c r="C350" t="inlineStr">
        <is>
          <t>meta</t>
        </is>
      </c>
      <c r="D350" t="n">
        <v>31567</v>
      </c>
      <c r="E350" t="n">
        <v>22547</v>
      </c>
      <c r="F350" t="n">
        <v>233</v>
      </c>
      <c r="G350" t="n">
        <v>10</v>
      </c>
      <c r="H350" t="n">
        <v>2</v>
      </c>
      <c r="I350" t="n">
        <v>0</v>
      </c>
      <c r="J350" t="n">
        <v>1</v>
      </c>
    </row>
    <row r="351">
      <c r="A351" s="5" t="n">
        <v>45908</v>
      </c>
      <c r="B351" t="inlineStr">
        <is>
          <t>meta_retargeting_webinar</t>
        </is>
      </c>
      <c r="C351" t="inlineStr">
        <is>
          <t>meta</t>
        </is>
      </c>
      <c r="D351" t="n">
        <v>9882</v>
      </c>
      <c r="E351" t="n">
        <v>7058</v>
      </c>
      <c r="F351" t="n">
        <v>87</v>
      </c>
      <c r="G351" t="n">
        <v>4</v>
      </c>
      <c r="H351" t="n">
        <v>0</v>
      </c>
      <c r="I351" t="n">
        <v>0</v>
      </c>
      <c r="J351" t="n">
        <v>0</v>
      </c>
    </row>
    <row r="352">
      <c r="A352" s="5" t="n">
        <v>45909</v>
      </c>
      <c r="B352" t="inlineStr">
        <is>
          <t>FB-Broad</t>
        </is>
      </c>
      <c r="C352" t="inlineStr">
        <is>
          <t>meta</t>
        </is>
      </c>
      <c r="D352" t="n">
        <v>17951</v>
      </c>
      <c r="E352" t="n">
        <v>12822</v>
      </c>
      <c r="F352" t="n">
        <v>139</v>
      </c>
      <c r="G352" t="n">
        <v>3</v>
      </c>
      <c r="H352" t="n">
        <v>1</v>
      </c>
      <c r="I352" t="n">
        <v>0</v>
      </c>
      <c r="J352" t="n">
        <v>0</v>
      </c>
    </row>
    <row r="353">
      <c r="A353" s="5" t="n">
        <v>45909</v>
      </c>
      <c r="B353" t="inlineStr">
        <is>
          <t>google_brand_search</t>
        </is>
      </c>
      <c r="C353" t="inlineStr">
        <is>
          <t>google</t>
        </is>
      </c>
      <c r="D353" t="n">
        <v>7077</v>
      </c>
      <c r="E353" t="n">
        <v>1474</v>
      </c>
      <c r="F353" t="n">
        <v>86</v>
      </c>
      <c r="G353" t="n">
        <v>3</v>
      </c>
      <c r="H353" t="n">
        <v>0</v>
      </c>
      <c r="I353" t="n">
        <v>1</v>
      </c>
      <c r="J353" t="n">
        <v>0</v>
      </c>
    </row>
    <row r="354">
      <c r="A354" s="5" t="n">
        <v>45909</v>
      </c>
      <c r="B354" t="inlineStr">
        <is>
          <t>google_nonbrand_growth</t>
        </is>
      </c>
      <c r="C354" t="inlineStr">
        <is>
          <t>google</t>
        </is>
      </c>
      <c r="D354" t="n">
        <v>23003</v>
      </c>
      <c r="E354" t="n">
        <v>4792</v>
      </c>
      <c r="F354" t="n">
        <v>211</v>
      </c>
      <c r="G354" t="n">
        <v>6</v>
      </c>
      <c r="H354" t="n">
        <v>2</v>
      </c>
      <c r="I354" t="n">
        <v>1</v>
      </c>
      <c r="J354" t="n">
        <v>1</v>
      </c>
    </row>
    <row r="355">
      <c r="A355" s="5" t="n">
        <v>45909</v>
      </c>
      <c r="B355" t="inlineStr">
        <is>
          <t>meta_prospecting_founder</t>
        </is>
      </c>
      <c r="C355" t="inlineStr">
        <is>
          <t>meta</t>
        </is>
      </c>
      <c r="D355" t="n">
        <v>32283</v>
      </c>
      <c r="E355" t="n">
        <v>23059</v>
      </c>
      <c r="F355" t="n">
        <v>241</v>
      </c>
      <c r="G355" t="n">
        <v>12</v>
      </c>
      <c r="H355" t="n">
        <v>2</v>
      </c>
      <c r="I355" t="n">
        <v>2</v>
      </c>
      <c r="J355" t="n">
        <v>0</v>
      </c>
    </row>
    <row r="356">
      <c r="A356" s="5" t="n">
        <v>45909</v>
      </c>
      <c r="B356" t="inlineStr">
        <is>
          <t>meta_retargeting_webinar</t>
        </is>
      </c>
      <c r="C356" t="inlineStr">
        <is>
          <t>meta</t>
        </is>
      </c>
      <c r="D356" t="n">
        <v>8885</v>
      </c>
      <c r="E356" t="n">
        <v>6346</v>
      </c>
      <c r="F356" t="n">
        <v>64</v>
      </c>
      <c r="G356" t="n">
        <v>2</v>
      </c>
      <c r="H356" t="n">
        <v>0</v>
      </c>
      <c r="I356" t="n">
        <v>0</v>
      </c>
      <c r="J356" t="n">
        <v>0</v>
      </c>
    </row>
    <row r="357">
      <c r="A357" s="5" t="n">
        <v>45910</v>
      </c>
      <c r="B357" t="inlineStr">
        <is>
          <t>FB-Broad</t>
        </is>
      </c>
      <c r="C357" t="inlineStr">
        <is>
          <t>meta</t>
        </is>
      </c>
      <c r="D357" t="n">
        <v>15709</v>
      </c>
      <c r="E357" t="n">
        <v>11220</v>
      </c>
      <c r="F357" t="n">
        <v>134</v>
      </c>
      <c r="G357" t="n">
        <v>4</v>
      </c>
      <c r="H357" t="n">
        <v>0</v>
      </c>
      <c r="I357" t="n">
        <v>0</v>
      </c>
      <c r="J357" t="n">
        <v>0</v>
      </c>
    </row>
    <row r="358">
      <c r="A358" s="5" t="n">
        <v>45910</v>
      </c>
      <c r="B358" t="inlineStr">
        <is>
          <t>google_brand_search</t>
        </is>
      </c>
      <c r="C358" t="inlineStr">
        <is>
          <t>google</t>
        </is>
      </c>
      <c r="D358" t="n">
        <v>7440</v>
      </c>
      <c r="E358" t="n">
        <v>1550</v>
      </c>
      <c r="F358" t="n">
        <v>90</v>
      </c>
      <c r="G358" t="n">
        <v>3</v>
      </c>
      <c r="H358" t="n">
        <v>2</v>
      </c>
      <c r="I358" t="n">
        <v>0</v>
      </c>
      <c r="J358" t="n">
        <v>0</v>
      </c>
    </row>
    <row r="359">
      <c r="A359" s="5" t="n">
        <v>45910</v>
      </c>
      <c r="B359" t="inlineStr">
        <is>
          <t>google_nonbrand_growth</t>
        </is>
      </c>
      <c r="C359" t="inlineStr">
        <is>
          <t>google</t>
        </is>
      </c>
      <c r="D359" t="n">
        <v>23509</v>
      </c>
      <c r="E359" t="n">
        <v>4897</v>
      </c>
      <c r="F359" t="n">
        <v>242</v>
      </c>
      <c r="G359" t="n">
        <v>7</v>
      </c>
      <c r="H359" t="n">
        <v>2</v>
      </c>
      <c r="I359" t="n">
        <v>0</v>
      </c>
      <c r="J359" t="n">
        <v>1</v>
      </c>
    </row>
    <row r="360">
      <c r="A360" s="5" t="n">
        <v>45910</v>
      </c>
      <c r="B360" t="inlineStr">
        <is>
          <t>meta_prospecting_founder</t>
        </is>
      </c>
      <c r="C360" t="inlineStr">
        <is>
          <t>meta</t>
        </is>
      </c>
      <c r="D360" t="n">
        <v>34209</v>
      </c>
      <c r="E360" t="n">
        <v>24435</v>
      </c>
      <c r="F360" t="n">
        <v>256</v>
      </c>
      <c r="G360" t="n">
        <v>12</v>
      </c>
      <c r="H360" t="n">
        <v>4</v>
      </c>
      <c r="I360" t="n">
        <v>0</v>
      </c>
      <c r="J360" t="n">
        <v>0</v>
      </c>
    </row>
    <row r="361">
      <c r="A361" s="5" t="n">
        <v>45910</v>
      </c>
      <c r="B361" t="inlineStr">
        <is>
          <t>meta_retargeting_webinar</t>
        </is>
      </c>
      <c r="C361" t="inlineStr">
        <is>
          <t>meta</t>
        </is>
      </c>
      <c r="D361" t="n">
        <v>9619</v>
      </c>
      <c r="E361" t="n">
        <v>6870</v>
      </c>
      <c r="F361" t="n">
        <v>66</v>
      </c>
      <c r="G361" t="n">
        <v>3</v>
      </c>
      <c r="H361" t="n">
        <v>0</v>
      </c>
      <c r="I361" t="n">
        <v>0</v>
      </c>
      <c r="J361" t="n">
        <v>0</v>
      </c>
    </row>
    <row r="362">
      <c r="A362" s="5" t="n">
        <v>45911</v>
      </c>
      <c r="B362" t="inlineStr">
        <is>
          <t>FB-Broad</t>
        </is>
      </c>
      <c r="C362" t="inlineStr">
        <is>
          <t>meta</t>
        </is>
      </c>
      <c r="D362" t="n">
        <v>15702</v>
      </c>
      <c r="E362" t="n">
        <v>11215</v>
      </c>
      <c r="F362" t="n">
        <v>112</v>
      </c>
      <c r="G362" t="n">
        <v>5</v>
      </c>
      <c r="H362" t="n">
        <v>0</v>
      </c>
      <c r="I362" t="n">
        <v>0</v>
      </c>
      <c r="J362" t="n">
        <v>0</v>
      </c>
    </row>
    <row r="363">
      <c r="A363" s="5" t="n">
        <v>45911</v>
      </c>
      <c r="B363" t="inlineStr">
        <is>
          <t>google_brand_search</t>
        </is>
      </c>
      <c r="C363" t="inlineStr">
        <is>
          <t>google</t>
        </is>
      </c>
      <c r="D363" t="n">
        <v>7227</v>
      </c>
      <c r="E363" t="n">
        <v>1505</v>
      </c>
      <c r="F363" t="n">
        <v>69</v>
      </c>
      <c r="G363" t="n">
        <v>3</v>
      </c>
      <c r="H363" t="n">
        <v>1</v>
      </c>
      <c r="I363" t="n">
        <v>0</v>
      </c>
      <c r="J363" t="n">
        <v>0</v>
      </c>
    </row>
    <row r="364">
      <c r="A364" s="5" t="n">
        <v>45911</v>
      </c>
      <c r="B364" t="inlineStr">
        <is>
          <t>google_nonbrand_growth</t>
        </is>
      </c>
      <c r="C364" t="inlineStr">
        <is>
          <t>google</t>
        </is>
      </c>
      <c r="D364" t="n">
        <v>23190</v>
      </c>
      <c r="E364" t="n">
        <v>4831</v>
      </c>
      <c r="F364" t="n">
        <v>224</v>
      </c>
      <c r="G364" t="n">
        <v>3</v>
      </c>
      <c r="H364" t="n">
        <v>2</v>
      </c>
      <c r="I364" t="n">
        <v>2</v>
      </c>
      <c r="J364" t="n">
        <v>0</v>
      </c>
    </row>
    <row r="365">
      <c r="A365" s="5" t="n">
        <v>45911</v>
      </c>
      <c r="B365" t="inlineStr">
        <is>
          <t>meta_prospecting_founder</t>
        </is>
      </c>
      <c r="C365" t="inlineStr">
        <is>
          <t>meta</t>
        </is>
      </c>
      <c r="D365" t="n">
        <v>32507</v>
      </c>
      <c r="E365" t="n">
        <v>23219</v>
      </c>
      <c r="F365" t="n">
        <v>260</v>
      </c>
      <c r="G365" t="n">
        <v>8</v>
      </c>
      <c r="H365" t="n">
        <v>0</v>
      </c>
      <c r="I365" t="n">
        <v>2</v>
      </c>
      <c r="J365" t="n">
        <v>1</v>
      </c>
    </row>
    <row r="366">
      <c r="A366" s="5" t="n">
        <v>45911</v>
      </c>
      <c r="B366" t="inlineStr">
        <is>
          <t>meta_retargeting_webinar</t>
        </is>
      </c>
      <c r="C366" t="inlineStr">
        <is>
          <t>meta</t>
        </is>
      </c>
      <c r="D366" t="n">
        <v>8931</v>
      </c>
      <c r="E366" t="n">
        <v>6379</v>
      </c>
      <c r="F366" t="n">
        <v>77</v>
      </c>
      <c r="G366" t="n">
        <v>3</v>
      </c>
      <c r="H366" t="n">
        <v>3</v>
      </c>
      <c r="I366" t="n">
        <v>0</v>
      </c>
      <c r="J366" t="n">
        <v>0</v>
      </c>
    </row>
    <row r="367">
      <c r="A367" s="5" t="n">
        <v>45912</v>
      </c>
      <c r="B367" t="inlineStr">
        <is>
          <t>FB-Broad</t>
        </is>
      </c>
      <c r="C367" t="inlineStr">
        <is>
          <t>meta</t>
        </is>
      </c>
      <c r="D367" t="n">
        <v>16994</v>
      </c>
      <c r="E367" t="n">
        <v>12138</v>
      </c>
      <c r="F367" t="n">
        <v>131</v>
      </c>
      <c r="G367" t="n">
        <v>6</v>
      </c>
      <c r="H367" t="n">
        <v>1</v>
      </c>
      <c r="I367" t="n">
        <v>0</v>
      </c>
      <c r="J367" t="n">
        <v>0</v>
      </c>
    </row>
    <row r="368">
      <c r="A368" s="5" t="n">
        <v>45912</v>
      </c>
      <c r="B368" t="inlineStr">
        <is>
          <t>google_brand_search</t>
        </is>
      </c>
      <c r="C368" t="inlineStr">
        <is>
          <t>google</t>
        </is>
      </c>
      <c r="D368" t="n">
        <v>7045</v>
      </c>
      <c r="E368" t="n">
        <v>1467</v>
      </c>
      <c r="F368" t="n">
        <v>76</v>
      </c>
      <c r="G368" t="n">
        <v>4</v>
      </c>
      <c r="H368" t="n">
        <v>0</v>
      </c>
      <c r="I368" t="n">
        <v>0</v>
      </c>
      <c r="J368" t="n">
        <v>0</v>
      </c>
    </row>
    <row r="369">
      <c r="A369" s="5" t="n">
        <v>45912</v>
      </c>
      <c r="B369" t="inlineStr">
        <is>
          <t>google_nonbrand_growth</t>
        </is>
      </c>
      <c r="C369" t="inlineStr">
        <is>
          <t>google</t>
        </is>
      </c>
      <c r="D369" t="n">
        <v>23330</v>
      </c>
      <c r="E369" t="n">
        <v>4860</v>
      </c>
      <c r="F369" t="n">
        <v>243</v>
      </c>
      <c r="G369" t="n">
        <v>2</v>
      </c>
      <c r="H369" t="n">
        <v>1</v>
      </c>
      <c r="I369" t="n">
        <v>0</v>
      </c>
      <c r="J369" t="n">
        <v>0</v>
      </c>
    </row>
    <row r="370">
      <c r="A370" s="5" t="n">
        <v>45912</v>
      </c>
      <c r="B370" t="inlineStr">
        <is>
          <t>meta_prospecting_founder</t>
        </is>
      </c>
      <c r="C370" t="inlineStr">
        <is>
          <t>meta</t>
        </is>
      </c>
      <c r="D370" t="n">
        <v>29286</v>
      </c>
      <c r="E370" t="n">
        <v>20918</v>
      </c>
      <c r="F370" t="n">
        <v>222</v>
      </c>
      <c r="G370" t="n">
        <v>7</v>
      </c>
      <c r="H370" t="n">
        <v>2</v>
      </c>
      <c r="I370" t="n">
        <v>0</v>
      </c>
      <c r="J370" t="n">
        <v>0</v>
      </c>
    </row>
    <row r="371">
      <c r="A371" s="5" t="n">
        <v>45912</v>
      </c>
      <c r="B371" t="inlineStr">
        <is>
          <t>meta_retargeting_webinar</t>
        </is>
      </c>
      <c r="C371" t="inlineStr">
        <is>
          <t>meta</t>
        </is>
      </c>
      <c r="D371" t="n">
        <v>9347</v>
      </c>
      <c r="E371" t="n">
        <v>6676</v>
      </c>
      <c r="F371" t="n">
        <v>81</v>
      </c>
      <c r="G371" t="n">
        <v>4</v>
      </c>
      <c r="H371" t="n">
        <v>2</v>
      </c>
      <c r="I371" t="n">
        <v>0</v>
      </c>
      <c r="J371" t="n">
        <v>1</v>
      </c>
    </row>
    <row r="372">
      <c r="A372" s="5" t="n">
        <v>45913</v>
      </c>
      <c r="B372" t="inlineStr">
        <is>
          <t>FB-Broad</t>
        </is>
      </c>
      <c r="C372" t="inlineStr">
        <is>
          <t>meta</t>
        </is>
      </c>
      <c r="D372" t="n">
        <v>16825</v>
      </c>
      <c r="E372" t="n">
        <v>12017</v>
      </c>
      <c r="F372" t="n">
        <v>147</v>
      </c>
      <c r="G372" t="n">
        <v>1</v>
      </c>
      <c r="H372" t="n">
        <v>1</v>
      </c>
      <c r="I372" t="n">
        <v>0</v>
      </c>
      <c r="J372" t="n">
        <v>0</v>
      </c>
    </row>
    <row r="373">
      <c r="A373" s="5" t="n">
        <v>45913</v>
      </c>
      <c r="B373" t="inlineStr">
        <is>
          <t>google_brand_search</t>
        </is>
      </c>
      <c r="C373" t="inlineStr">
        <is>
          <t>google</t>
        </is>
      </c>
      <c r="D373" t="n">
        <v>7383</v>
      </c>
      <c r="E373" t="n">
        <v>1538</v>
      </c>
      <c r="F373" t="n">
        <v>80</v>
      </c>
      <c r="G373" t="n">
        <v>1</v>
      </c>
      <c r="H373" t="n">
        <v>2</v>
      </c>
      <c r="I373" t="n">
        <v>1</v>
      </c>
      <c r="J373" t="n">
        <v>0</v>
      </c>
    </row>
    <row r="374">
      <c r="A374" s="5" t="n">
        <v>45913</v>
      </c>
      <c r="B374" t="inlineStr">
        <is>
          <t>google_nonbrand_growth</t>
        </is>
      </c>
      <c r="C374" t="inlineStr">
        <is>
          <t>google</t>
        </is>
      </c>
      <c r="D374" t="n">
        <v>23285</v>
      </c>
      <c r="E374" t="n">
        <v>4851</v>
      </c>
      <c r="F374" t="n">
        <v>256</v>
      </c>
      <c r="G374" t="n">
        <v>2</v>
      </c>
      <c r="H374" t="n">
        <v>2</v>
      </c>
      <c r="I374" t="n">
        <v>0</v>
      </c>
      <c r="J374" t="n">
        <v>0</v>
      </c>
    </row>
    <row r="375">
      <c r="A375" s="5" t="n">
        <v>45913</v>
      </c>
      <c r="B375" t="inlineStr">
        <is>
          <t>meta_prospecting_founder</t>
        </is>
      </c>
      <c r="C375" t="inlineStr">
        <is>
          <t>meta</t>
        </is>
      </c>
      <c r="D375" t="n">
        <v>32916</v>
      </c>
      <c r="E375" t="n">
        <v>23511</v>
      </c>
      <c r="F375" t="n">
        <v>229</v>
      </c>
      <c r="G375" t="n">
        <v>4</v>
      </c>
      <c r="H375" t="n">
        <v>1</v>
      </c>
      <c r="I375" t="n">
        <v>0</v>
      </c>
      <c r="J375" t="n">
        <v>0</v>
      </c>
    </row>
    <row r="376">
      <c r="A376" s="5" t="n">
        <v>45913</v>
      </c>
      <c r="B376" t="inlineStr">
        <is>
          <t>meta_retargeting_webinar</t>
        </is>
      </c>
      <c r="C376" t="inlineStr">
        <is>
          <t>meta</t>
        </is>
      </c>
      <c r="D376" t="n">
        <v>8442</v>
      </c>
      <c r="E376" t="n">
        <v>6030</v>
      </c>
      <c r="F376" t="n">
        <v>62</v>
      </c>
      <c r="G376" t="n">
        <v>2</v>
      </c>
      <c r="H376" t="n">
        <v>1</v>
      </c>
      <c r="I376" t="n">
        <v>0</v>
      </c>
      <c r="J376" t="n">
        <v>1</v>
      </c>
    </row>
    <row r="377">
      <c r="A377" s="5" t="n">
        <v>45914</v>
      </c>
      <c r="B377" t="inlineStr">
        <is>
          <t>FB-Broad</t>
        </is>
      </c>
      <c r="C377" t="inlineStr">
        <is>
          <t>meta</t>
        </is>
      </c>
      <c r="D377" t="n">
        <v>17888</v>
      </c>
      <c r="E377" t="n">
        <v>12777</v>
      </c>
      <c r="F377" t="n">
        <v>141</v>
      </c>
      <c r="G377" t="n">
        <v>4</v>
      </c>
      <c r="H377" t="n">
        <v>1</v>
      </c>
      <c r="I377" t="n">
        <v>0</v>
      </c>
      <c r="J377" t="n">
        <v>1</v>
      </c>
    </row>
    <row r="378">
      <c r="A378" s="5" t="n">
        <v>45914</v>
      </c>
      <c r="B378" t="inlineStr">
        <is>
          <t>google_brand_search</t>
        </is>
      </c>
      <c r="C378" t="inlineStr">
        <is>
          <t>google</t>
        </is>
      </c>
      <c r="D378" t="n">
        <v>6308</v>
      </c>
      <c r="E378" t="n">
        <v>1314</v>
      </c>
      <c r="F378" t="n">
        <v>59</v>
      </c>
      <c r="G378" t="n">
        <v>0</v>
      </c>
      <c r="H378" t="n">
        <v>2</v>
      </c>
      <c r="I378" t="n">
        <v>1</v>
      </c>
      <c r="J378" t="n">
        <v>0</v>
      </c>
    </row>
    <row r="379">
      <c r="A379" s="5" t="n">
        <v>45914</v>
      </c>
      <c r="B379" t="inlineStr">
        <is>
          <t>google_nonbrand_growth</t>
        </is>
      </c>
      <c r="C379" t="inlineStr">
        <is>
          <t>google</t>
        </is>
      </c>
      <c r="D379" t="n">
        <v>23829</v>
      </c>
      <c r="E379" t="n">
        <v>4964</v>
      </c>
      <c r="F379" t="n">
        <v>257</v>
      </c>
      <c r="G379" t="n">
        <v>2</v>
      </c>
      <c r="H379" t="n">
        <v>1</v>
      </c>
      <c r="I379" t="n">
        <v>2</v>
      </c>
      <c r="J379" t="n">
        <v>0</v>
      </c>
    </row>
    <row r="380">
      <c r="A380" s="5" t="n">
        <v>45914</v>
      </c>
      <c r="B380" t="inlineStr">
        <is>
          <t>meta_prospecting_founder</t>
        </is>
      </c>
      <c r="C380" t="inlineStr">
        <is>
          <t>meta</t>
        </is>
      </c>
      <c r="D380" t="n">
        <v>29040</v>
      </c>
      <c r="E380" t="n">
        <v>20742</v>
      </c>
      <c r="F380" t="n">
        <v>261</v>
      </c>
      <c r="G380" t="n">
        <v>10</v>
      </c>
      <c r="H380" t="n">
        <v>2</v>
      </c>
      <c r="I380" t="n">
        <v>1</v>
      </c>
      <c r="J380" t="n">
        <v>0</v>
      </c>
    </row>
    <row r="381">
      <c r="A381" s="5" t="n">
        <v>45914</v>
      </c>
      <c r="B381" t="inlineStr">
        <is>
          <t>meta_retargeting_webinar</t>
        </is>
      </c>
      <c r="C381" t="inlineStr">
        <is>
          <t>meta</t>
        </is>
      </c>
      <c r="D381" t="n">
        <v>9490</v>
      </c>
      <c r="E381" t="n">
        <v>6778</v>
      </c>
      <c r="F381" t="n">
        <v>81</v>
      </c>
      <c r="G381" t="n">
        <v>2</v>
      </c>
      <c r="H381" t="n">
        <v>2</v>
      </c>
      <c r="I381" t="n">
        <v>1</v>
      </c>
      <c r="J381" t="n">
        <v>0</v>
      </c>
    </row>
    <row r="382">
      <c r="A382" s="5" t="n">
        <v>45915</v>
      </c>
      <c r="B382" t="inlineStr">
        <is>
          <t>FB-Broad</t>
        </is>
      </c>
      <c r="C382" t="inlineStr">
        <is>
          <t>meta</t>
        </is>
      </c>
      <c r="D382" t="n">
        <v>18046</v>
      </c>
      <c r="E382" t="n">
        <v>12890</v>
      </c>
      <c r="F382" t="n">
        <v>135</v>
      </c>
      <c r="G382" t="n">
        <v>6</v>
      </c>
      <c r="H382" t="n">
        <v>1</v>
      </c>
      <c r="I382" t="n">
        <v>0</v>
      </c>
      <c r="J382" t="n">
        <v>0</v>
      </c>
    </row>
    <row r="383">
      <c r="A383" s="5" t="n">
        <v>45915</v>
      </c>
      <c r="B383" t="inlineStr">
        <is>
          <t>google_brand_search</t>
        </is>
      </c>
      <c r="C383" t="inlineStr">
        <is>
          <t>google</t>
        </is>
      </c>
      <c r="D383" t="n">
        <v>6794</v>
      </c>
      <c r="E383" t="n">
        <v>1415</v>
      </c>
      <c r="F383" t="n">
        <v>81</v>
      </c>
      <c r="G383" t="n">
        <v>2</v>
      </c>
      <c r="H383" t="n">
        <v>0</v>
      </c>
      <c r="I383" t="n">
        <v>0</v>
      </c>
      <c r="J383" t="n">
        <v>0</v>
      </c>
    </row>
    <row r="384">
      <c r="A384" s="5" t="n">
        <v>45915</v>
      </c>
      <c r="B384" t="inlineStr">
        <is>
          <t>google_nonbrand_growth</t>
        </is>
      </c>
      <c r="C384" t="inlineStr">
        <is>
          <t>google</t>
        </is>
      </c>
      <c r="D384" t="n">
        <v>24101</v>
      </c>
      <c r="E384" t="n">
        <v>5021</v>
      </c>
      <c r="F384" t="n">
        <v>277</v>
      </c>
      <c r="G384" t="n">
        <v>2</v>
      </c>
      <c r="H384" t="n">
        <v>0</v>
      </c>
      <c r="I384" t="n">
        <v>0</v>
      </c>
      <c r="J384" t="n">
        <v>0</v>
      </c>
    </row>
    <row r="385">
      <c r="A385" s="5" t="n">
        <v>45915</v>
      </c>
      <c r="B385" t="inlineStr">
        <is>
          <t>meta_prospecting_founder</t>
        </is>
      </c>
      <c r="C385" t="inlineStr">
        <is>
          <t>meta</t>
        </is>
      </c>
      <c r="D385" t="n">
        <v>31873</v>
      </c>
      <c r="E385" t="n">
        <v>22766</v>
      </c>
      <c r="F385" t="n">
        <v>272</v>
      </c>
      <c r="G385" t="n">
        <v>9</v>
      </c>
      <c r="H385" t="n">
        <v>0</v>
      </c>
      <c r="I385" t="n">
        <v>1</v>
      </c>
      <c r="J385" t="n">
        <v>0</v>
      </c>
    </row>
    <row r="386">
      <c r="A386" s="5" t="n">
        <v>45915</v>
      </c>
      <c r="B386" t="inlineStr">
        <is>
          <t>meta_retargeting_webinar</t>
        </is>
      </c>
      <c r="C386" t="inlineStr">
        <is>
          <t>meta</t>
        </is>
      </c>
      <c r="D386" t="n">
        <v>9752</v>
      </c>
      <c r="E386" t="n">
        <v>6965</v>
      </c>
      <c r="F386" t="n">
        <v>73</v>
      </c>
      <c r="G386" t="n">
        <v>4</v>
      </c>
      <c r="H386" t="n">
        <v>1</v>
      </c>
      <c r="I386" t="n">
        <v>0</v>
      </c>
      <c r="J386" t="n">
        <v>1</v>
      </c>
    </row>
    <row r="387">
      <c r="A387" s="5" t="n">
        <v>45916</v>
      </c>
      <c r="B387" t="inlineStr">
        <is>
          <t>FB-Broad</t>
        </is>
      </c>
      <c r="C387" t="inlineStr">
        <is>
          <t>meta</t>
        </is>
      </c>
      <c r="D387" t="n">
        <v>15126</v>
      </c>
      <c r="E387" t="n">
        <v>10804</v>
      </c>
      <c r="F387" t="n">
        <v>124</v>
      </c>
      <c r="G387" t="n">
        <v>5</v>
      </c>
      <c r="H387" t="n">
        <v>0</v>
      </c>
      <c r="I387" t="n">
        <v>0</v>
      </c>
      <c r="J387" t="n">
        <v>0</v>
      </c>
    </row>
    <row r="388">
      <c r="A388" s="5" t="n">
        <v>45916</v>
      </c>
      <c r="B388" t="inlineStr">
        <is>
          <t>google_brand_search</t>
        </is>
      </c>
      <c r="C388" t="inlineStr">
        <is>
          <t>google</t>
        </is>
      </c>
      <c r="D388" t="n">
        <v>6430</v>
      </c>
      <c r="E388" t="n">
        <v>1339</v>
      </c>
      <c r="F388" t="n">
        <v>60</v>
      </c>
      <c r="G388" t="n">
        <v>4</v>
      </c>
      <c r="H388" t="n">
        <v>1</v>
      </c>
      <c r="I388" t="n">
        <v>0</v>
      </c>
      <c r="J388" t="n">
        <v>0</v>
      </c>
    </row>
    <row r="389">
      <c r="A389" s="5" t="n">
        <v>45916</v>
      </c>
      <c r="B389" t="inlineStr">
        <is>
          <t>google_nonbrand_growth</t>
        </is>
      </c>
      <c r="C389" t="inlineStr">
        <is>
          <t>google</t>
        </is>
      </c>
      <c r="D389" t="n">
        <v>23127</v>
      </c>
      <c r="E389" t="n">
        <v>4818</v>
      </c>
      <c r="F389" t="n">
        <v>281</v>
      </c>
      <c r="G389" t="n">
        <v>6</v>
      </c>
      <c r="H389" t="n">
        <v>0</v>
      </c>
      <c r="I389" t="n">
        <v>0</v>
      </c>
      <c r="J389" t="n">
        <v>0</v>
      </c>
    </row>
    <row r="390">
      <c r="A390" s="5" t="n">
        <v>45916</v>
      </c>
      <c r="B390" t="inlineStr">
        <is>
          <t>meta_prospecting_founder</t>
        </is>
      </c>
      <c r="C390" t="inlineStr">
        <is>
          <t>meta</t>
        </is>
      </c>
      <c r="D390" t="n">
        <v>29042</v>
      </c>
      <c r="E390" t="n">
        <v>20744</v>
      </c>
      <c r="F390" t="n">
        <v>223</v>
      </c>
      <c r="G390" t="n">
        <v>13</v>
      </c>
      <c r="H390" t="n">
        <v>2</v>
      </c>
      <c r="I390" t="n">
        <v>1</v>
      </c>
      <c r="J390" t="n">
        <v>0</v>
      </c>
    </row>
    <row r="391">
      <c r="A391" s="5" t="n">
        <v>45916</v>
      </c>
      <c r="B391" t="inlineStr">
        <is>
          <t>meta_retargeting_webinar</t>
        </is>
      </c>
      <c r="C391" t="inlineStr">
        <is>
          <t>meta</t>
        </is>
      </c>
      <c r="D391" t="n">
        <v>10021</v>
      </c>
      <c r="E391" t="n">
        <v>7157</v>
      </c>
      <c r="F391" t="n">
        <v>72</v>
      </c>
      <c r="G391" t="n">
        <v>2</v>
      </c>
      <c r="H391" t="n">
        <v>1</v>
      </c>
      <c r="I391" t="n">
        <v>2</v>
      </c>
      <c r="J391" t="n">
        <v>0</v>
      </c>
    </row>
    <row r="392">
      <c r="A392" s="5" t="n">
        <v>45917</v>
      </c>
      <c r="B392" t="inlineStr">
        <is>
          <t>FB-Broad</t>
        </is>
      </c>
      <c r="C392" t="inlineStr">
        <is>
          <t>meta</t>
        </is>
      </c>
      <c r="D392" t="n">
        <v>16741</v>
      </c>
      <c r="E392" t="n">
        <v>11957</v>
      </c>
      <c r="F392" t="n">
        <v>136</v>
      </c>
      <c r="G392" t="n">
        <v>3</v>
      </c>
      <c r="H392" t="n">
        <v>0</v>
      </c>
      <c r="I392" t="n">
        <v>2</v>
      </c>
      <c r="J392" t="n">
        <v>0</v>
      </c>
    </row>
    <row r="393">
      <c r="A393" s="5" t="n">
        <v>45917</v>
      </c>
      <c r="B393" t="inlineStr">
        <is>
          <t>google_brand_search</t>
        </is>
      </c>
      <c r="C393" t="inlineStr">
        <is>
          <t>google</t>
        </is>
      </c>
      <c r="D393" t="n">
        <v>7098</v>
      </c>
      <c r="E393" t="n">
        <v>1478</v>
      </c>
      <c r="F393" t="n">
        <v>71</v>
      </c>
      <c r="G393" t="n">
        <v>4</v>
      </c>
      <c r="H393" t="n">
        <v>1</v>
      </c>
      <c r="I393" t="n">
        <v>2</v>
      </c>
      <c r="J393" t="n">
        <v>0</v>
      </c>
    </row>
    <row r="394">
      <c r="A394" s="5" t="n">
        <v>45917</v>
      </c>
      <c r="B394" t="inlineStr">
        <is>
          <t>google_nonbrand_growth</t>
        </is>
      </c>
      <c r="C394" t="inlineStr">
        <is>
          <t>google</t>
        </is>
      </c>
      <c r="D394" t="n">
        <v>22604</v>
      </c>
      <c r="E394" t="n">
        <v>4709</v>
      </c>
      <c r="F394" t="n">
        <v>269</v>
      </c>
      <c r="G394" t="n">
        <v>1</v>
      </c>
      <c r="H394" t="n">
        <v>0</v>
      </c>
      <c r="I394" t="n">
        <v>0</v>
      </c>
      <c r="J394" t="n">
        <v>1</v>
      </c>
    </row>
    <row r="395">
      <c r="A395" s="5" t="n">
        <v>45917</v>
      </c>
      <c r="B395" t="inlineStr">
        <is>
          <t>meta_prospecting_founder</t>
        </is>
      </c>
      <c r="C395" t="inlineStr">
        <is>
          <t>meta</t>
        </is>
      </c>
      <c r="D395" t="n">
        <v>32504</v>
      </c>
      <c r="E395" t="n">
        <v>23217</v>
      </c>
      <c r="F395" t="n">
        <v>276</v>
      </c>
      <c r="G395" t="n">
        <v>8</v>
      </c>
      <c r="H395" t="n">
        <v>1</v>
      </c>
      <c r="I395" t="n">
        <v>0</v>
      </c>
      <c r="J395" t="n">
        <v>1</v>
      </c>
    </row>
    <row r="396">
      <c r="A396" s="5" t="n">
        <v>45917</v>
      </c>
      <c r="B396" t="inlineStr">
        <is>
          <t>meta_retargeting_webinar</t>
        </is>
      </c>
      <c r="C396" t="inlineStr">
        <is>
          <t>meta</t>
        </is>
      </c>
      <c r="D396" t="n">
        <v>9224</v>
      </c>
      <c r="E396" t="n">
        <v>6588</v>
      </c>
      <c r="F396" t="n">
        <v>65</v>
      </c>
      <c r="G396" t="n">
        <v>2</v>
      </c>
      <c r="H396" t="n">
        <v>2</v>
      </c>
      <c r="I396" t="n">
        <v>0</v>
      </c>
      <c r="J396" t="n">
        <v>0</v>
      </c>
    </row>
    <row r="397">
      <c r="A397" s="5" t="n">
        <v>45918</v>
      </c>
      <c r="B397" t="inlineStr">
        <is>
          <t>FB-Broad</t>
        </is>
      </c>
      <c r="C397" t="inlineStr">
        <is>
          <t>meta</t>
        </is>
      </c>
      <c r="D397" t="n">
        <v>15794</v>
      </c>
      <c r="E397" t="n">
        <v>11281</v>
      </c>
      <c r="F397" t="n">
        <v>139</v>
      </c>
      <c r="G397" t="n">
        <v>5</v>
      </c>
      <c r="H397" t="n">
        <v>0</v>
      </c>
      <c r="I397" t="n">
        <v>0</v>
      </c>
      <c r="J397" t="n">
        <v>0</v>
      </c>
    </row>
    <row r="398">
      <c r="A398" s="5" t="n">
        <v>45918</v>
      </c>
      <c r="B398" t="inlineStr">
        <is>
          <t>google_brand_search</t>
        </is>
      </c>
      <c r="C398" t="inlineStr">
        <is>
          <t>google</t>
        </is>
      </c>
      <c r="D398" t="n">
        <v>7361</v>
      </c>
      <c r="E398" t="n">
        <v>1533</v>
      </c>
      <c r="F398" t="n">
        <v>88</v>
      </c>
      <c r="G398" t="n">
        <v>3</v>
      </c>
      <c r="H398" t="n">
        <v>1</v>
      </c>
      <c r="I398" t="n">
        <v>1</v>
      </c>
      <c r="J398" t="n">
        <v>0</v>
      </c>
    </row>
    <row r="399">
      <c r="A399" s="5" t="n">
        <v>45918</v>
      </c>
      <c r="B399" t="inlineStr">
        <is>
          <t>google_nonbrand_growth</t>
        </is>
      </c>
      <c r="C399" t="inlineStr">
        <is>
          <t>google</t>
        </is>
      </c>
      <c r="D399" t="n">
        <v>23836</v>
      </c>
      <c r="E399" t="n">
        <v>4965</v>
      </c>
      <c r="F399" t="n">
        <v>288</v>
      </c>
      <c r="G399" t="n">
        <v>5</v>
      </c>
      <c r="H399" t="n">
        <v>0</v>
      </c>
      <c r="I399" t="n">
        <v>1</v>
      </c>
      <c r="J399" t="n">
        <v>0</v>
      </c>
    </row>
    <row r="400">
      <c r="A400" s="5" t="n">
        <v>45918</v>
      </c>
      <c r="B400" t="inlineStr">
        <is>
          <t>meta_prospecting_founder</t>
        </is>
      </c>
      <c r="C400" t="inlineStr">
        <is>
          <t>meta</t>
        </is>
      </c>
      <c r="D400" t="n">
        <v>34719</v>
      </c>
      <c r="E400" t="n">
        <v>24799</v>
      </c>
      <c r="F400" t="n">
        <v>307</v>
      </c>
      <c r="G400" t="n">
        <v>7</v>
      </c>
      <c r="H400" t="n">
        <v>2</v>
      </c>
      <c r="I400" t="n">
        <v>0</v>
      </c>
      <c r="J400" t="n">
        <v>0</v>
      </c>
    </row>
    <row r="401">
      <c r="A401" s="5" t="n">
        <v>45918</v>
      </c>
      <c r="B401" t="inlineStr">
        <is>
          <t>meta_retargeting_webinar</t>
        </is>
      </c>
      <c r="C401" t="inlineStr">
        <is>
          <t>meta</t>
        </is>
      </c>
      <c r="D401" t="n">
        <v>8649</v>
      </c>
      <c r="E401" t="n">
        <v>6177</v>
      </c>
      <c r="F401" t="n">
        <v>73</v>
      </c>
      <c r="G401" t="n">
        <v>1</v>
      </c>
      <c r="H401" t="n">
        <v>0</v>
      </c>
      <c r="I401" t="n">
        <v>2</v>
      </c>
      <c r="J401" t="n">
        <v>0</v>
      </c>
    </row>
    <row r="402">
      <c r="A402" s="5" t="n">
        <v>45919</v>
      </c>
      <c r="B402" t="inlineStr">
        <is>
          <t>FB-Broad</t>
        </is>
      </c>
      <c r="C402" t="inlineStr">
        <is>
          <t>meta</t>
        </is>
      </c>
      <c r="D402" t="n">
        <v>17032</v>
      </c>
      <c r="E402" t="n">
        <v>12165</v>
      </c>
      <c r="F402" t="n">
        <v>153</v>
      </c>
      <c r="G402" t="n">
        <v>5</v>
      </c>
      <c r="H402" t="n">
        <v>2</v>
      </c>
      <c r="I402" t="n">
        <v>0</v>
      </c>
      <c r="J402" t="n">
        <v>0</v>
      </c>
    </row>
    <row r="403">
      <c r="A403" s="5" t="n">
        <v>45919</v>
      </c>
      <c r="B403" t="inlineStr">
        <is>
          <t>google_brand_search</t>
        </is>
      </c>
      <c r="C403" t="inlineStr">
        <is>
          <t>google</t>
        </is>
      </c>
      <c r="D403" t="n">
        <v>7208</v>
      </c>
      <c r="E403" t="n">
        <v>1501</v>
      </c>
      <c r="F403" t="n">
        <v>87</v>
      </c>
      <c r="G403" t="n">
        <v>0</v>
      </c>
      <c r="H403" t="n">
        <v>2</v>
      </c>
      <c r="I403" t="n">
        <v>0</v>
      </c>
      <c r="J403" t="n">
        <v>1</v>
      </c>
    </row>
    <row r="404">
      <c r="A404" s="5" t="n">
        <v>45919</v>
      </c>
      <c r="B404" t="inlineStr">
        <is>
          <t>google_nonbrand_growth</t>
        </is>
      </c>
      <c r="C404" t="inlineStr">
        <is>
          <t>google</t>
        </is>
      </c>
      <c r="D404" t="n">
        <v>23074</v>
      </c>
      <c r="E404" t="n">
        <v>4807</v>
      </c>
      <c r="F404" t="n">
        <v>222</v>
      </c>
      <c r="G404" t="n">
        <v>1</v>
      </c>
      <c r="H404" t="n">
        <v>0</v>
      </c>
      <c r="I404" t="n">
        <v>0</v>
      </c>
      <c r="J404" t="n">
        <v>0</v>
      </c>
    </row>
    <row r="405">
      <c r="A405" s="5" t="n">
        <v>45919</v>
      </c>
      <c r="B405" t="inlineStr">
        <is>
          <t>meta_prospecting_founder</t>
        </is>
      </c>
      <c r="C405" t="inlineStr">
        <is>
          <t>meta</t>
        </is>
      </c>
      <c r="D405" t="n">
        <v>33269</v>
      </c>
      <c r="E405" t="n">
        <v>23763</v>
      </c>
      <c r="F405" t="n">
        <v>227</v>
      </c>
      <c r="G405" t="n">
        <v>15</v>
      </c>
      <c r="H405" t="n">
        <v>1</v>
      </c>
      <c r="I405" t="n">
        <v>0</v>
      </c>
      <c r="J405" t="n">
        <v>0</v>
      </c>
    </row>
    <row r="406">
      <c r="A406" s="5" t="n">
        <v>45919</v>
      </c>
      <c r="B406" t="inlineStr">
        <is>
          <t>meta_retargeting_webinar</t>
        </is>
      </c>
      <c r="C406" t="inlineStr">
        <is>
          <t>meta</t>
        </is>
      </c>
      <c r="D406" t="n">
        <v>10011</v>
      </c>
      <c r="E406" t="n">
        <v>7150</v>
      </c>
      <c r="F406" t="n">
        <v>79</v>
      </c>
      <c r="G406" t="n">
        <v>6</v>
      </c>
      <c r="H406" t="n">
        <v>1</v>
      </c>
      <c r="I406" t="n">
        <v>0</v>
      </c>
      <c r="J406" t="n">
        <v>0</v>
      </c>
    </row>
    <row r="407">
      <c r="A407" s="5" t="n">
        <v>45920</v>
      </c>
      <c r="B407" t="inlineStr">
        <is>
          <t>FB-Broad</t>
        </is>
      </c>
      <c r="C407" t="inlineStr">
        <is>
          <t>meta</t>
        </is>
      </c>
      <c r="D407" t="n">
        <v>16747</v>
      </c>
      <c r="E407" t="n">
        <v>11962</v>
      </c>
      <c r="F407" t="n">
        <v>127</v>
      </c>
      <c r="G407" t="n">
        <v>2</v>
      </c>
      <c r="H407" t="n">
        <v>1</v>
      </c>
      <c r="I407" t="n">
        <v>0</v>
      </c>
      <c r="J407" t="n">
        <v>0</v>
      </c>
    </row>
    <row r="408">
      <c r="A408" s="5" t="n">
        <v>45920</v>
      </c>
      <c r="B408" t="inlineStr">
        <is>
          <t>google_brand_search</t>
        </is>
      </c>
      <c r="C408" t="inlineStr">
        <is>
          <t>google</t>
        </is>
      </c>
      <c r="D408" t="n">
        <v>6498</v>
      </c>
      <c r="E408" t="n">
        <v>1353</v>
      </c>
      <c r="F408" t="n">
        <v>74</v>
      </c>
      <c r="G408" t="n">
        <v>2</v>
      </c>
      <c r="H408" t="n">
        <v>1</v>
      </c>
      <c r="I408" t="n">
        <v>0</v>
      </c>
      <c r="J408" t="n">
        <v>0</v>
      </c>
    </row>
    <row r="409">
      <c r="A409" s="5" t="n">
        <v>45920</v>
      </c>
      <c r="B409" t="inlineStr">
        <is>
          <t>google_nonbrand_growth</t>
        </is>
      </c>
      <c r="C409" t="inlineStr">
        <is>
          <t>google</t>
        </is>
      </c>
      <c r="D409" t="n">
        <v>23095</v>
      </c>
      <c r="E409" t="n">
        <v>4811</v>
      </c>
      <c r="F409" t="n">
        <v>249</v>
      </c>
      <c r="G409" t="n">
        <v>2</v>
      </c>
      <c r="H409" t="n">
        <v>0</v>
      </c>
      <c r="I409" t="n">
        <v>0</v>
      </c>
      <c r="J409" t="n">
        <v>0</v>
      </c>
    </row>
    <row r="410">
      <c r="A410" s="5" t="n">
        <v>45920</v>
      </c>
      <c r="B410" t="inlineStr">
        <is>
          <t>meta_prospecting_founder</t>
        </is>
      </c>
      <c r="C410" t="inlineStr">
        <is>
          <t>meta</t>
        </is>
      </c>
      <c r="D410" t="n">
        <v>33610</v>
      </c>
      <c r="E410" t="n">
        <v>24007</v>
      </c>
      <c r="F410" t="n">
        <v>239</v>
      </c>
      <c r="G410" t="n">
        <v>6</v>
      </c>
      <c r="H410" t="n">
        <v>2</v>
      </c>
      <c r="I410" t="n">
        <v>1</v>
      </c>
      <c r="J410" t="n">
        <v>0</v>
      </c>
    </row>
    <row r="411">
      <c r="A411" s="5" t="n">
        <v>45920</v>
      </c>
      <c r="B411" t="inlineStr">
        <is>
          <t>meta_retargeting_webinar</t>
        </is>
      </c>
      <c r="C411" t="inlineStr">
        <is>
          <t>meta</t>
        </is>
      </c>
      <c r="D411" t="n">
        <v>8901</v>
      </c>
      <c r="E411" t="n">
        <v>6357</v>
      </c>
      <c r="F411" t="n">
        <v>62</v>
      </c>
      <c r="G411" t="n">
        <v>5</v>
      </c>
      <c r="H411" t="n">
        <v>1</v>
      </c>
      <c r="I411" t="n">
        <v>0</v>
      </c>
      <c r="J411" t="n">
        <v>0</v>
      </c>
    </row>
    <row r="412">
      <c r="A412" s="5" t="n">
        <v>45921</v>
      </c>
      <c r="B412" t="inlineStr">
        <is>
          <t>FB-Broad</t>
        </is>
      </c>
      <c r="C412" t="inlineStr">
        <is>
          <t>meta</t>
        </is>
      </c>
      <c r="D412" t="n">
        <v>15702</v>
      </c>
      <c r="E412" t="n">
        <v>11215</v>
      </c>
      <c r="F412" t="n">
        <v>111</v>
      </c>
      <c r="G412" t="n">
        <v>5</v>
      </c>
      <c r="H412" t="n">
        <v>1</v>
      </c>
      <c r="I412" t="n">
        <v>0</v>
      </c>
      <c r="J412" t="n">
        <v>1</v>
      </c>
    </row>
    <row r="413">
      <c r="A413" s="5" t="n">
        <v>45921</v>
      </c>
      <c r="B413" t="inlineStr">
        <is>
          <t>google_brand_search</t>
        </is>
      </c>
      <c r="C413" t="inlineStr">
        <is>
          <t>google</t>
        </is>
      </c>
      <c r="D413" t="n">
        <v>7357</v>
      </c>
      <c r="E413" t="n">
        <v>1532</v>
      </c>
      <c r="F413" t="n">
        <v>78</v>
      </c>
      <c r="G413" t="n">
        <v>4</v>
      </c>
      <c r="H413" t="n">
        <v>1</v>
      </c>
      <c r="I413" t="n">
        <v>2</v>
      </c>
      <c r="J413" t="n">
        <v>0</v>
      </c>
    </row>
    <row r="414">
      <c r="A414" s="5" t="n">
        <v>45921</v>
      </c>
      <c r="B414" t="inlineStr">
        <is>
          <t>google_nonbrand_growth</t>
        </is>
      </c>
      <c r="C414" t="inlineStr">
        <is>
          <t>google</t>
        </is>
      </c>
      <c r="D414" t="n">
        <v>20817</v>
      </c>
      <c r="E414" t="n">
        <v>4336</v>
      </c>
      <c r="F414" t="n">
        <v>249</v>
      </c>
      <c r="G414" t="n">
        <v>0</v>
      </c>
      <c r="H414" t="n">
        <v>0</v>
      </c>
      <c r="I414" t="n">
        <v>0</v>
      </c>
      <c r="J414" t="n">
        <v>0</v>
      </c>
    </row>
    <row r="415">
      <c r="A415" s="5" t="n">
        <v>45921</v>
      </c>
      <c r="B415" t="inlineStr">
        <is>
          <t>meta_prospecting_founder</t>
        </is>
      </c>
      <c r="C415" t="inlineStr">
        <is>
          <t>meta</t>
        </is>
      </c>
      <c r="D415" t="n">
        <v>34548</v>
      </c>
      <c r="E415" t="n">
        <v>24677</v>
      </c>
      <c r="F415" t="n">
        <v>235</v>
      </c>
      <c r="G415" t="n">
        <v>5</v>
      </c>
      <c r="H415" t="n">
        <v>3</v>
      </c>
      <c r="I415" t="n">
        <v>0</v>
      </c>
      <c r="J415" t="n">
        <v>0</v>
      </c>
    </row>
    <row r="416">
      <c r="A416" s="5" t="n">
        <v>45921</v>
      </c>
      <c r="B416" t="inlineStr">
        <is>
          <t>meta_retargeting_webinar</t>
        </is>
      </c>
      <c r="C416" t="inlineStr">
        <is>
          <t>meta</t>
        </is>
      </c>
      <c r="D416" t="n">
        <v>10046</v>
      </c>
      <c r="E416" t="n">
        <v>7175</v>
      </c>
      <c r="F416" t="n">
        <v>90</v>
      </c>
      <c r="G416" t="n">
        <v>4</v>
      </c>
      <c r="H416" t="n">
        <v>2</v>
      </c>
      <c r="I416" t="n">
        <v>0</v>
      </c>
      <c r="J416" t="n">
        <v>0</v>
      </c>
    </row>
    <row r="417">
      <c r="A417" s="5" t="n">
        <v>45922</v>
      </c>
      <c r="B417" t="inlineStr">
        <is>
          <t>FB-Broad</t>
        </is>
      </c>
      <c r="C417" t="inlineStr">
        <is>
          <t>meta</t>
        </is>
      </c>
      <c r="D417" t="n">
        <v>17034</v>
      </c>
      <c r="E417" t="n">
        <v>12167</v>
      </c>
      <c r="F417" t="n">
        <v>121</v>
      </c>
      <c r="G417" t="n">
        <v>3</v>
      </c>
      <c r="H417" t="n">
        <v>0</v>
      </c>
      <c r="I417" t="n">
        <v>0</v>
      </c>
      <c r="J417" t="n">
        <v>0</v>
      </c>
    </row>
    <row r="418">
      <c r="A418" s="5" t="n">
        <v>45922</v>
      </c>
      <c r="B418" t="inlineStr">
        <is>
          <t>google_brand_search</t>
        </is>
      </c>
      <c r="C418" t="inlineStr">
        <is>
          <t>google</t>
        </is>
      </c>
      <c r="D418" t="n">
        <v>6547</v>
      </c>
      <c r="E418" t="n">
        <v>1363</v>
      </c>
      <c r="F418" t="n">
        <v>60</v>
      </c>
      <c r="G418" t="n">
        <v>2</v>
      </c>
      <c r="H418" t="n">
        <v>2</v>
      </c>
      <c r="I418" t="n">
        <v>0</v>
      </c>
      <c r="J418" t="n">
        <v>0</v>
      </c>
    </row>
    <row r="419">
      <c r="A419" s="5" t="n">
        <v>45922</v>
      </c>
      <c r="B419" t="inlineStr">
        <is>
          <t>google_nonbrand_growth</t>
        </is>
      </c>
      <c r="C419" t="inlineStr">
        <is>
          <t>google</t>
        </is>
      </c>
      <c r="D419" t="n">
        <v>20779</v>
      </c>
      <c r="E419" t="n">
        <v>4328</v>
      </c>
      <c r="F419" t="n">
        <v>194</v>
      </c>
      <c r="G419" t="n">
        <v>2</v>
      </c>
      <c r="H419" t="n">
        <v>0</v>
      </c>
      <c r="I419" t="n">
        <v>0</v>
      </c>
      <c r="J419" t="n">
        <v>0</v>
      </c>
    </row>
    <row r="420">
      <c r="A420" s="5" t="n">
        <v>45922</v>
      </c>
      <c r="B420" t="inlineStr">
        <is>
          <t>meta_prospecting_founder</t>
        </is>
      </c>
      <c r="C420" t="inlineStr">
        <is>
          <t>meta</t>
        </is>
      </c>
      <c r="D420" t="n">
        <v>32443</v>
      </c>
      <c r="E420" t="n">
        <v>23173</v>
      </c>
      <c r="F420" t="n">
        <v>225</v>
      </c>
      <c r="G420" t="n">
        <v>6</v>
      </c>
      <c r="H420" t="n">
        <v>1</v>
      </c>
      <c r="I420" t="n">
        <v>1</v>
      </c>
      <c r="J420" t="n">
        <v>0</v>
      </c>
    </row>
    <row r="421">
      <c r="A421" s="5" t="n">
        <v>45922</v>
      </c>
      <c r="B421" t="inlineStr">
        <is>
          <t>meta_retargeting_webinar</t>
        </is>
      </c>
      <c r="C421" t="inlineStr">
        <is>
          <t>meta</t>
        </is>
      </c>
      <c r="D421" t="n">
        <v>9289</v>
      </c>
      <c r="E421" t="n">
        <v>6635</v>
      </c>
      <c r="F421" t="n">
        <v>81</v>
      </c>
      <c r="G421" t="n">
        <v>3</v>
      </c>
      <c r="H421" t="n">
        <v>2</v>
      </c>
      <c r="I421" t="n">
        <v>1</v>
      </c>
      <c r="J421" t="n">
        <v>0</v>
      </c>
    </row>
    <row r="422">
      <c r="A422" s="5" t="n">
        <v>45923</v>
      </c>
      <c r="B422" t="inlineStr">
        <is>
          <t>FB-Broad</t>
        </is>
      </c>
      <c r="C422" t="inlineStr">
        <is>
          <t>meta</t>
        </is>
      </c>
      <c r="D422" t="n">
        <v>16205</v>
      </c>
      <c r="E422" t="n">
        <v>11575</v>
      </c>
      <c r="F422" t="n">
        <v>122</v>
      </c>
      <c r="G422" t="n">
        <v>7</v>
      </c>
      <c r="H422" t="n">
        <v>2</v>
      </c>
      <c r="I422" t="n">
        <v>1</v>
      </c>
      <c r="J422" t="n">
        <v>0</v>
      </c>
    </row>
    <row r="423">
      <c r="A423" s="5" t="n">
        <v>45923</v>
      </c>
      <c r="B423" t="inlineStr">
        <is>
          <t>google_brand_search</t>
        </is>
      </c>
      <c r="C423" t="inlineStr">
        <is>
          <t>google</t>
        </is>
      </c>
      <c r="D423" t="n">
        <v>7523</v>
      </c>
      <c r="E423" t="n">
        <v>1567</v>
      </c>
      <c r="F423" t="n">
        <v>78</v>
      </c>
      <c r="G423" t="n">
        <v>5</v>
      </c>
      <c r="H423" t="n">
        <v>2</v>
      </c>
      <c r="I423" t="n">
        <v>1</v>
      </c>
      <c r="J423" t="n">
        <v>0</v>
      </c>
    </row>
    <row r="424">
      <c r="A424" s="5" t="n">
        <v>45923</v>
      </c>
      <c r="B424" t="inlineStr">
        <is>
          <t>google_nonbrand_growth</t>
        </is>
      </c>
      <c r="C424" t="inlineStr">
        <is>
          <t>google</t>
        </is>
      </c>
      <c r="D424" t="n">
        <v>20316</v>
      </c>
      <c r="E424" t="n">
        <v>4232</v>
      </c>
      <c r="F424" t="n">
        <v>233</v>
      </c>
      <c r="G424" t="n">
        <v>2</v>
      </c>
      <c r="H424" t="n">
        <v>0</v>
      </c>
      <c r="I424" t="n">
        <v>1</v>
      </c>
      <c r="J424" t="n">
        <v>0</v>
      </c>
    </row>
    <row r="425">
      <c r="A425" s="5" t="n">
        <v>45923</v>
      </c>
      <c r="B425" t="inlineStr">
        <is>
          <t>meta_prospecting_founder</t>
        </is>
      </c>
      <c r="C425" t="inlineStr">
        <is>
          <t>meta</t>
        </is>
      </c>
      <c r="D425" t="n">
        <v>33506</v>
      </c>
      <c r="E425" t="n">
        <v>23932</v>
      </c>
      <c r="F425" t="n">
        <v>269</v>
      </c>
      <c r="G425" t="n">
        <v>9</v>
      </c>
      <c r="H425" t="n">
        <v>2</v>
      </c>
      <c r="I425" t="n">
        <v>1</v>
      </c>
      <c r="J425" t="n">
        <v>1</v>
      </c>
    </row>
    <row r="426">
      <c r="A426" s="5" t="n">
        <v>45923</v>
      </c>
      <c r="B426" t="inlineStr">
        <is>
          <t>meta_retargeting_webinar</t>
        </is>
      </c>
      <c r="C426" t="inlineStr">
        <is>
          <t>meta</t>
        </is>
      </c>
      <c r="D426" t="n">
        <v>9468</v>
      </c>
      <c r="E426" t="n">
        <v>6762</v>
      </c>
      <c r="F426" t="n">
        <v>77</v>
      </c>
      <c r="G426" t="n">
        <v>5</v>
      </c>
      <c r="H426" t="n">
        <v>3</v>
      </c>
      <c r="I426" t="n">
        <v>1</v>
      </c>
      <c r="J426" t="n">
        <v>0</v>
      </c>
    </row>
    <row r="427">
      <c r="A427" s="5" t="n">
        <v>45924</v>
      </c>
      <c r="B427" t="inlineStr">
        <is>
          <t>FB-Broad</t>
        </is>
      </c>
      <c r="C427" t="inlineStr">
        <is>
          <t>meta</t>
        </is>
      </c>
      <c r="D427" t="n">
        <v>17025</v>
      </c>
      <c r="E427" t="n">
        <v>12160</v>
      </c>
      <c r="F427" t="n">
        <v>118</v>
      </c>
      <c r="G427" t="n">
        <v>3</v>
      </c>
      <c r="H427" t="n">
        <v>1</v>
      </c>
      <c r="I427" t="n">
        <v>0</v>
      </c>
      <c r="J427" t="n">
        <v>0</v>
      </c>
    </row>
    <row r="428">
      <c r="A428" s="5" t="n">
        <v>45924</v>
      </c>
      <c r="B428" t="inlineStr">
        <is>
          <t>google_brand_search</t>
        </is>
      </c>
      <c r="C428" t="inlineStr">
        <is>
          <t>google</t>
        </is>
      </c>
      <c r="D428" t="n">
        <v>6837</v>
      </c>
      <c r="E428" t="n">
        <v>1424</v>
      </c>
      <c r="F428" t="n">
        <v>73</v>
      </c>
      <c r="G428" t="n">
        <v>0</v>
      </c>
      <c r="H428" t="n">
        <v>2</v>
      </c>
      <c r="I428" t="n">
        <v>0</v>
      </c>
      <c r="J428" t="n">
        <v>0</v>
      </c>
    </row>
    <row r="429">
      <c r="A429" s="5" t="n">
        <v>45924</v>
      </c>
      <c r="B429" t="inlineStr">
        <is>
          <t>google_nonbrand_growth</t>
        </is>
      </c>
      <c r="C429" t="inlineStr">
        <is>
          <t>google</t>
        </is>
      </c>
      <c r="D429" t="n">
        <v>20371</v>
      </c>
      <c r="E429" t="n">
        <v>4243</v>
      </c>
      <c r="F429" t="n">
        <v>229</v>
      </c>
      <c r="G429" t="n">
        <v>5</v>
      </c>
      <c r="H429" t="n">
        <v>0</v>
      </c>
      <c r="I429" t="n">
        <v>0</v>
      </c>
      <c r="J429" t="n">
        <v>0</v>
      </c>
    </row>
    <row r="430">
      <c r="A430" s="5" t="n">
        <v>45924</v>
      </c>
      <c r="B430" t="inlineStr">
        <is>
          <t>meta_prospecting_founder</t>
        </is>
      </c>
      <c r="C430" t="inlineStr">
        <is>
          <t>meta</t>
        </is>
      </c>
      <c r="D430" t="n">
        <v>33293</v>
      </c>
      <c r="E430" t="n">
        <v>23780</v>
      </c>
      <c r="F430" t="n">
        <v>259</v>
      </c>
      <c r="G430" t="n">
        <v>12</v>
      </c>
      <c r="H430" t="n">
        <v>1</v>
      </c>
      <c r="I430" t="n">
        <v>0</v>
      </c>
      <c r="J430" t="n">
        <v>1</v>
      </c>
    </row>
    <row r="431">
      <c r="A431" s="5" t="n">
        <v>45924</v>
      </c>
      <c r="B431" t="inlineStr">
        <is>
          <t>meta_retargeting_webinar</t>
        </is>
      </c>
      <c r="C431" t="inlineStr">
        <is>
          <t>meta</t>
        </is>
      </c>
      <c r="D431" t="n">
        <v>9416</v>
      </c>
      <c r="E431" t="n">
        <v>6725</v>
      </c>
      <c r="F431" t="n">
        <v>81</v>
      </c>
      <c r="G431" t="n">
        <v>4</v>
      </c>
      <c r="H431" t="n">
        <v>3</v>
      </c>
      <c r="I431" t="n">
        <v>1</v>
      </c>
      <c r="J431" t="n">
        <v>0</v>
      </c>
    </row>
    <row r="432">
      <c r="A432" s="5" t="n">
        <v>45925</v>
      </c>
      <c r="B432" t="inlineStr">
        <is>
          <t>FB-Broad</t>
        </is>
      </c>
      <c r="C432" t="inlineStr">
        <is>
          <t>meta</t>
        </is>
      </c>
      <c r="D432" t="n">
        <v>16006</v>
      </c>
      <c r="E432" t="n">
        <v>11432</v>
      </c>
      <c r="F432" t="n">
        <v>121</v>
      </c>
      <c r="G432" t="n">
        <v>3</v>
      </c>
      <c r="H432" t="n">
        <v>1</v>
      </c>
      <c r="I432" t="n">
        <v>0</v>
      </c>
      <c r="J432" t="n">
        <v>0</v>
      </c>
    </row>
    <row r="433">
      <c r="A433" s="5" t="n">
        <v>45925</v>
      </c>
      <c r="B433" t="inlineStr">
        <is>
          <t>google_brand_search</t>
        </is>
      </c>
      <c r="C433" t="inlineStr">
        <is>
          <t>google</t>
        </is>
      </c>
      <c r="D433" t="n">
        <v>6911</v>
      </c>
      <c r="E433" t="n">
        <v>1439</v>
      </c>
      <c r="F433" t="n">
        <v>69</v>
      </c>
      <c r="G433" t="n">
        <v>0</v>
      </c>
      <c r="H433" t="n">
        <v>1</v>
      </c>
      <c r="I433" t="n">
        <v>1</v>
      </c>
      <c r="J433" t="n">
        <v>0</v>
      </c>
    </row>
    <row r="434">
      <c r="A434" s="5" t="n">
        <v>45925</v>
      </c>
      <c r="B434" t="inlineStr">
        <is>
          <t>google_nonbrand_growth</t>
        </is>
      </c>
      <c r="C434" t="inlineStr">
        <is>
          <t>google</t>
        </is>
      </c>
      <c r="D434" t="n">
        <v>24299</v>
      </c>
      <c r="E434" t="n">
        <v>5062</v>
      </c>
      <c r="F434" t="n">
        <v>258</v>
      </c>
      <c r="G434" t="n">
        <v>1</v>
      </c>
      <c r="H434" t="n">
        <v>1</v>
      </c>
      <c r="I434" t="n">
        <v>0</v>
      </c>
      <c r="J434" t="n">
        <v>0</v>
      </c>
    </row>
    <row r="435">
      <c r="A435" s="5" t="n">
        <v>45925</v>
      </c>
      <c r="B435" t="inlineStr">
        <is>
          <t>meta_prospecting_founder</t>
        </is>
      </c>
      <c r="C435" t="inlineStr">
        <is>
          <t>meta</t>
        </is>
      </c>
      <c r="D435" t="n">
        <v>32324</v>
      </c>
      <c r="E435" t="n">
        <v>23088</v>
      </c>
      <c r="F435" t="n">
        <v>237</v>
      </c>
      <c r="G435" t="n">
        <v>5</v>
      </c>
      <c r="H435" t="n">
        <v>0</v>
      </c>
      <c r="I435" t="n">
        <v>1</v>
      </c>
      <c r="J435" t="n">
        <v>0</v>
      </c>
    </row>
    <row r="436">
      <c r="A436" s="5" t="n">
        <v>45925</v>
      </c>
      <c r="B436" t="inlineStr">
        <is>
          <t>meta_retargeting_webinar</t>
        </is>
      </c>
      <c r="C436" t="inlineStr">
        <is>
          <t>meta</t>
        </is>
      </c>
      <c r="D436" t="n">
        <v>10225</v>
      </c>
      <c r="E436" t="n">
        <v>7303</v>
      </c>
      <c r="F436" t="n">
        <v>77</v>
      </c>
      <c r="G436" t="n">
        <v>3</v>
      </c>
      <c r="H436" t="n">
        <v>0</v>
      </c>
      <c r="I436" t="n">
        <v>1</v>
      </c>
      <c r="J436" t="n">
        <v>0</v>
      </c>
    </row>
    <row r="437">
      <c r="A437" s="5" t="n">
        <v>45926</v>
      </c>
      <c r="B437" t="inlineStr">
        <is>
          <t>FB-Broad</t>
        </is>
      </c>
      <c r="C437" t="inlineStr">
        <is>
          <t>meta</t>
        </is>
      </c>
      <c r="D437" t="n">
        <v>16967</v>
      </c>
      <c r="E437" t="n">
        <v>12119</v>
      </c>
      <c r="F437" t="n">
        <v>121</v>
      </c>
      <c r="G437" t="n">
        <v>2</v>
      </c>
      <c r="H437" t="n">
        <v>1</v>
      </c>
      <c r="I437" t="n">
        <v>0</v>
      </c>
      <c r="J437" t="n">
        <v>0</v>
      </c>
    </row>
    <row r="438">
      <c r="A438" s="5" t="n">
        <v>45926</v>
      </c>
      <c r="B438" t="inlineStr">
        <is>
          <t>google_brand_search</t>
        </is>
      </c>
      <c r="C438" t="inlineStr">
        <is>
          <t>google</t>
        </is>
      </c>
      <c r="D438" t="n">
        <v>7551</v>
      </c>
      <c r="E438" t="n">
        <v>1573</v>
      </c>
      <c r="F438" t="n">
        <v>82</v>
      </c>
      <c r="G438" t="n">
        <v>1</v>
      </c>
      <c r="H438" t="n">
        <v>1</v>
      </c>
      <c r="I438" t="n">
        <v>1</v>
      </c>
      <c r="J438" t="n">
        <v>0</v>
      </c>
    </row>
    <row r="439">
      <c r="A439" s="5" t="n">
        <v>45926</v>
      </c>
      <c r="B439" t="inlineStr">
        <is>
          <t>google_nonbrand_growth</t>
        </is>
      </c>
      <c r="C439" t="inlineStr">
        <is>
          <t>google</t>
        </is>
      </c>
      <c r="D439" t="n">
        <v>23774</v>
      </c>
      <c r="E439" t="n">
        <v>4952</v>
      </c>
      <c r="F439" t="n">
        <v>228</v>
      </c>
      <c r="G439" t="n">
        <v>1</v>
      </c>
      <c r="H439" t="n">
        <v>2</v>
      </c>
      <c r="I439" t="n">
        <v>0</v>
      </c>
      <c r="J439" t="n">
        <v>1</v>
      </c>
    </row>
    <row r="440">
      <c r="A440" s="5" t="n">
        <v>45926</v>
      </c>
      <c r="B440" t="inlineStr">
        <is>
          <t>meta_prospecting_founder</t>
        </is>
      </c>
      <c r="C440" t="inlineStr">
        <is>
          <t>meta</t>
        </is>
      </c>
      <c r="D440" t="n">
        <v>30312</v>
      </c>
      <c r="E440" t="n">
        <v>21651</v>
      </c>
      <c r="F440" t="n">
        <v>245</v>
      </c>
      <c r="G440" t="n">
        <v>6</v>
      </c>
      <c r="H440" t="n">
        <v>2</v>
      </c>
      <c r="I440" t="n">
        <v>0</v>
      </c>
      <c r="J440" t="n">
        <v>0</v>
      </c>
    </row>
    <row r="441">
      <c r="A441" s="5" t="n">
        <v>45926</v>
      </c>
      <c r="B441" t="inlineStr">
        <is>
          <t>meta_retargeting_webinar</t>
        </is>
      </c>
      <c r="C441" t="inlineStr">
        <is>
          <t>meta</t>
        </is>
      </c>
      <c r="D441" t="n">
        <v>8747</v>
      </c>
      <c r="E441" t="n">
        <v>6247</v>
      </c>
      <c r="F441" t="n">
        <v>71</v>
      </c>
      <c r="G441" t="n">
        <v>4</v>
      </c>
      <c r="H441" t="n">
        <v>0</v>
      </c>
      <c r="I441" t="n">
        <v>1</v>
      </c>
      <c r="J441" t="n">
        <v>0</v>
      </c>
    </row>
    <row r="442">
      <c r="A442" s="5" t="n">
        <v>45927</v>
      </c>
      <c r="B442" t="inlineStr">
        <is>
          <t>FB-Broad</t>
        </is>
      </c>
      <c r="C442" t="inlineStr">
        <is>
          <t>meta</t>
        </is>
      </c>
      <c r="D442" t="n">
        <v>15705</v>
      </c>
      <c r="E442" t="n">
        <v>11217</v>
      </c>
      <c r="F442" t="n">
        <v>117</v>
      </c>
      <c r="G442" t="n">
        <v>6</v>
      </c>
      <c r="H442" t="n">
        <v>0</v>
      </c>
      <c r="I442" t="n">
        <v>1</v>
      </c>
      <c r="J442" t="n">
        <v>0</v>
      </c>
    </row>
    <row r="443">
      <c r="A443" s="5" t="n">
        <v>45927</v>
      </c>
      <c r="B443" t="inlineStr">
        <is>
          <t>google_brand_search</t>
        </is>
      </c>
      <c r="C443" t="inlineStr">
        <is>
          <t>google</t>
        </is>
      </c>
      <c r="D443" t="n">
        <v>6446</v>
      </c>
      <c r="E443" t="n">
        <v>1342</v>
      </c>
      <c r="F443" t="n">
        <v>72</v>
      </c>
      <c r="G443" t="n">
        <v>1</v>
      </c>
      <c r="H443" t="n">
        <v>0</v>
      </c>
      <c r="I443" t="n">
        <v>2</v>
      </c>
      <c r="J443" t="n">
        <v>0</v>
      </c>
    </row>
    <row r="444">
      <c r="A444" s="5" t="n">
        <v>45927</v>
      </c>
      <c r="B444" t="inlineStr">
        <is>
          <t>google_nonbrand_growth</t>
        </is>
      </c>
      <c r="C444" t="inlineStr">
        <is>
          <t>google</t>
        </is>
      </c>
      <c r="D444" t="n">
        <v>22169</v>
      </c>
      <c r="E444" t="n">
        <v>4618</v>
      </c>
      <c r="F444" t="n">
        <v>230</v>
      </c>
      <c r="G444" t="n">
        <v>1</v>
      </c>
      <c r="H444" t="n">
        <v>1</v>
      </c>
      <c r="I444" t="n">
        <v>0</v>
      </c>
      <c r="J444" t="n">
        <v>0</v>
      </c>
    </row>
    <row r="445">
      <c r="A445" s="5" t="n">
        <v>45927</v>
      </c>
      <c r="B445" t="inlineStr">
        <is>
          <t>meta_prospecting_founder</t>
        </is>
      </c>
      <c r="C445" t="inlineStr">
        <is>
          <t>meta</t>
        </is>
      </c>
      <c r="D445" t="n">
        <v>32314</v>
      </c>
      <c r="E445" t="n">
        <v>23081</v>
      </c>
      <c r="F445" t="n">
        <v>233</v>
      </c>
      <c r="G445" t="n">
        <v>3</v>
      </c>
      <c r="H445" t="n">
        <v>3</v>
      </c>
      <c r="I445" t="n">
        <v>2</v>
      </c>
      <c r="J445" t="n">
        <v>0</v>
      </c>
    </row>
    <row r="446">
      <c r="A446" s="5" t="n">
        <v>45927</v>
      </c>
      <c r="B446" t="inlineStr">
        <is>
          <t>meta_retargeting_webinar</t>
        </is>
      </c>
      <c r="C446" t="inlineStr">
        <is>
          <t>meta</t>
        </is>
      </c>
      <c r="D446" t="n">
        <v>10001</v>
      </c>
      <c r="E446" t="n">
        <v>7143</v>
      </c>
      <c r="F446" t="n">
        <v>73</v>
      </c>
      <c r="G446" t="n">
        <v>3</v>
      </c>
      <c r="H446" t="n">
        <v>1</v>
      </c>
      <c r="I446" t="n">
        <v>1</v>
      </c>
      <c r="J446" t="n">
        <v>0</v>
      </c>
    </row>
    <row r="447">
      <c r="A447" s="5" t="n">
        <v>45928</v>
      </c>
      <c r="B447" t="inlineStr">
        <is>
          <t>FB-Broad</t>
        </is>
      </c>
      <c r="C447" t="inlineStr">
        <is>
          <t>meta</t>
        </is>
      </c>
      <c r="D447" t="n">
        <v>15617</v>
      </c>
      <c r="E447" t="n">
        <v>11155</v>
      </c>
      <c r="F447" t="n">
        <v>132</v>
      </c>
      <c r="G447" t="n">
        <v>3</v>
      </c>
      <c r="H447" t="n">
        <v>0</v>
      </c>
      <c r="I447" t="n">
        <v>0</v>
      </c>
      <c r="J447" t="n">
        <v>0</v>
      </c>
    </row>
    <row r="448">
      <c r="A448" s="5" t="n">
        <v>45928</v>
      </c>
      <c r="B448" t="inlineStr">
        <is>
          <t>google_brand_search</t>
        </is>
      </c>
      <c r="C448" t="inlineStr">
        <is>
          <t>google</t>
        </is>
      </c>
      <c r="D448" t="n">
        <v>7479</v>
      </c>
      <c r="E448" t="n">
        <v>1558</v>
      </c>
      <c r="F448" t="n">
        <v>69</v>
      </c>
      <c r="G448" t="n">
        <v>4</v>
      </c>
      <c r="H448" t="n">
        <v>1</v>
      </c>
      <c r="I448" t="n">
        <v>0</v>
      </c>
      <c r="J448" t="n">
        <v>0</v>
      </c>
    </row>
    <row r="449">
      <c r="A449" s="5" t="n">
        <v>45928</v>
      </c>
      <c r="B449" t="inlineStr">
        <is>
          <t>google_nonbrand_growth</t>
        </is>
      </c>
      <c r="C449" t="inlineStr">
        <is>
          <t>google</t>
        </is>
      </c>
      <c r="D449" t="n">
        <v>20663</v>
      </c>
      <c r="E449" t="n">
        <v>4304</v>
      </c>
      <c r="F449" t="n">
        <v>237</v>
      </c>
      <c r="G449" t="n">
        <v>0</v>
      </c>
      <c r="H449" t="n">
        <v>0</v>
      </c>
      <c r="I449" t="n">
        <v>0</v>
      </c>
      <c r="J449" t="n">
        <v>0</v>
      </c>
    </row>
    <row r="450">
      <c r="A450" s="5" t="n">
        <v>45928</v>
      </c>
      <c r="B450" t="inlineStr">
        <is>
          <t>meta_prospecting_founder</t>
        </is>
      </c>
      <c r="C450" t="inlineStr">
        <is>
          <t>meta</t>
        </is>
      </c>
      <c r="D450" t="n">
        <v>35549</v>
      </c>
      <c r="E450" t="n">
        <v>25392</v>
      </c>
      <c r="F450" t="n">
        <v>243</v>
      </c>
      <c r="G450" t="n">
        <v>9</v>
      </c>
      <c r="H450" t="n">
        <v>1</v>
      </c>
      <c r="I450" t="n">
        <v>0</v>
      </c>
      <c r="J450" t="n">
        <v>0</v>
      </c>
    </row>
    <row r="451">
      <c r="A451" s="5" t="n">
        <v>45928</v>
      </c>
      <c r="B451" t="inlineStr">
        <is>
          <t>meta_retargeting_webinar</t>
        </is>
      </c>
      <c r="C451" t="inlineStr">
        <is>
          <t>meta</t>
        </is>
      </c>
      <c r="D451" t="n">
        <v>9293</v>
      </c>
      <c r="E451" t="n">
        <v>6637</v>
      </c>
      <c r="F451" t="n">
        <v>62</v>
      </c>
      <c r="G451" t="n">
        <v>3</v>
      </c>
      <c r="H451" t="n">
        <v>0</v>
      </c>
      <c r="I451" t="n">
        <v>0</v>
      </c>
      <c r="J451" t="n">
        <v>0</v>
      </c>
    </row>
    <row r="452">
      <c r="A452" s="5" t="n">
        <v>45929</v>
      </c>
      <c r="B452" t="inlineStr">
        <is>
          <t>FB-Broad</t>
        </is>
      </c>
      <c r="C452" t="inlineStr">
        <is>
          <t>meta</t>
        </is>
      </c>
      <c r="D452" t="n">
        <v>17828</v>
      </c>
      <c r="E452" t="n">
        <v>12734</v>
      </c>
      <c r="F452" t="n">
        <v>159</v>
      </c>
      <c r="G452" t="n">
        <v>10</v>
      </c>
      <c r="H452" t="n">
        <v>1</v>
      </c>
      <c r="I452" t="n">
        <v>0</v>
      </c>
      <c r="J452" t="n">
        <v>1</v>
      </c>
    </row>
    <row r="453">
      <c r="A453" s="5" t="n">
        <v>45929</v>
      </c>
      <c r="B453" t="inlineStr">
        <is>
          <t>google_brand_search</t>
        </is>
      </c>
      <c r="C453" t="inlineStr">
        <is>
          <t>google</t>
        </is>
      </c>
      <c r="D453" t="n">
        <v>6692</v>
      </c>
      <c r="E453" t="n">
        <v>1394</v>
      </c>
      <c r="F453" t="n">
        <v>83</v>
      </c>
      <c r="G453" t="n">
        <v>3</v>
      </c>
      <c r="H453" t="n">
        <v>0</v>
      </c>
      <c r="I453" t="n">
        <v>0</v>
      </c>
      <c r="J453" t="n">
        <v>0</v>
      </c>
    </row>
    <row r="454">
      <c r="A454" s="5" t="n">
        <v>45929</v>
      </c>
      <c r="B454" t="inlineStr">
        <is>
          <t>google_nonbrand_growth</t>
        </is>
      </c>
      <c r="C454" t="inlineStr">
        <is>
          <t>google</t>
        </is>
      </c>
      <c r="D454" t="n">
        <v>23241</v>
      </c>
      <c r="E454" t="n">
        <v>4841</v>
      </c>
      <c r="F454" t="n">
        <v>247</v>
      </c>
      <c r="G454" t="n">
        <v>7</v>
      </c>
      <c r="H454" t="n">
        <v>0</v>
      </c>
      <c r="I454" t="n">
        <v>1</v>
      </c>
      <c r="J454" t="n">
        <v>0</v>
      </c>
    </row>
    <row r="455">
      <c r="A455" s="5" t="n">
        <v>45929</v>
      </c>
      <c r="B455" t="inlineStr">
        <is>
          <t>meta_prospecting_founder</t>
        </is>
      </c>
      <c r="C455" t="inlineStr">
        <is>
          <t>meta</t>
        </is>
      </c>
      <c r="D455" t="n">
        <v>34774</v>
      </c>
      <c r="E455" t="n">
        <v>24838</v>
      </c>
      <c r="F455" t="n">
        <v>292</v>
      </c>
      <c r="G455" t="n">
        <v>12</v>
      </c>
      <c r="H455" t="n">
        <v>1</v>
      </c>
      <c r="I455" t="n">
        <v>0</v>
      </c>
      <c r="J455" t="n">
        <v>1</v>
      </c>
    </row>
    <row r="456">
      <c r="A456" s="5" t="n">
        <v>45929</v>
      </c>
      <c r="B456" t="inlineStr">
        <is>
          <t>meta_retargeting_webinar</t>
        </is>
      </c>
      <c r="C456" t="inlineStr">
        <is>
          <t>meta</t>
        </is>
      </c>
      <c r="D456" t="n">
        <v>10106</v>
      </c>
      <c r="E456" t="n">
        <v>7218</v>
      </c>
      <c r="F456" t="n">
        <v>77</v>
      </c>
      <c r="G456" t="n">
        <v>1</v>
      </c>
      <c r="H456" t="n">
        <v>1</v>
      </c>
      <c r="I456" t="n">
        <v>0</v>
      </c>
      <c r="J456" t="n">
        <v>1</v>
      </c>
    </row>
    <row r="457">
      <c r="A457" s="5" t="n">
        <v>45930</v>
      </c>
      <c r="B457" t="inlineStr">
        <is>
          <t>FB-Broad</t>
        </is>
      </c>
      <c r="C457" t="inlineStr">
        <is>
          <t>meta</t>
        </is>
      </c>
      <c r="D457" t="n">
        <v>16052</v>
      </c>
      <c r="E457" t="n">
        <v>11465</v>
      </c>
      <c r="F457" t="n">
        <v>130</v>
      </c>
      <c r="G457" t="n">
        <v>4</v>
      </c>
      <c r="H457" t="n">
        <v>3</v>
      </c>
      <c r="I457" t="n">
        <v>0</v>
      </c>
      <c r="J457" t="n">
        <v>0</v>
      </c>
    </row>
    <row r="458">
      <c r="A458" s="5" t="n">
        <v>45930</v>
      </c>
      <c r="B458" t="inlineStr">
        <is>
          <t>google_brand_search</t>
        </is>
      </c>
      <c r="C458" t="inlineStr">
        <is>
          <t>google</t>
        </is>
      </c>
      <c r="D458" t="n">
        <v>7459</v>
      </c>
      <c r="E458" t="n">
        <v>1553</v>
      </c>
      <c r="F458" t="n">
        <v>77</v>
      </c>
      <c r="G458" t="n">
        <v>6</v>
      </c>
      <c r="H458" t="n">
        <v>2</v>
      </c>
      <c r="I458" t="n">
        <v>2</v>
      </c>
      <c r="J458" t="n">
        <v>0</v>
      </c>
    </row>
    <row r="459">
      <c r="A459" s="5" t="n">
        <v>45930</v>
      </c>
      <c r="B459" t="inlineStr">
        <is>
          <t>google_nonbrand_growth</t>
        </is>
      </c>
      <c r="C459" t="inlineStr">
        <is>
          <t>google</t>
        </is>
      </c>
      <c r="D459" t="n">
        <v>23645</v>
      </c>
      <c r="E459" t="n">
        <v>4926</v>
      </c>
      <c r="F459" t="n">
        <v>277</v>
      </c>
      <c r="G459" t="n">
        <v>2</v>
      </c>
      <c r="H459" t="n">
        <v>1</v>
      </c>
      <c r="I459" t="n">
        <v>0</v>
      </c>
      <c r="J459" t="n">
        <v>1</v>
      </c>
    </row>
    <row r="460">
      <c r="A460" s="5" t="n">
        <v>45930</v>
      </c>
      <c r="B460" t="inlineStr">
        <is>
          <t>meta_prospecting_founder</t>
        </is>
      </c>
      <c r="C460" t="inlineStr">
        <is>
          <t>meta</t>
        </is>
      </c>
      <c r="D460" t="n">
        <v>30082</v>
      </c>
      <c r="E460" t="n">
        <v>21487</v>
      </c>
      <c r="F460" t="n">
        <v>251</v>
      </c>
      <c r="G460" t="n">
        <v>11</v>
      </c>
      <c r="H460" t="n">
        <v>2</v>
      </c>
      <c r="I460" t="n">
        <v>0</v>
      </c>
      <c r="J460" t="n">
        <v>0</v>
      </c>
    </row>
    <row r="461">
      <c r="A461" s="5" t="n">
        <v>45930</v>
      </c>
      <c r="B461" t="inlineStr">
        <is>
          <t>meta_retargeting_webinar</t>
        </is>
      </c>
      <c r="C461" t="inlineStr">
        <is>
          <t>meta</t>
        </is>
      </c>
      <c r="D461" t="n">
        <v>8816</v>
      </c>
      <c r="E461" t="n">
        <v>6297</v>
      </c>
      <c r="F461" t="n">
        <v>68</v>
      </c>
      <c r="G461" t="n">
        <v>5</v>
      </c>
      <c r="H461" t="n">
        <v>1</v>
      </c>
      <c r="I461" t="n">
        <v>0</v>
      </c>
      <c r="J461" t="n">
        <v>0</v>
      </c>
    </row>
    <row r="462">
      <c r="A462" s="5" t="n">
        <v>45931</v>
      </c>
      <c r="B462" t="inlineStr">
        <is>
          <t>FB-Broad</t>
        </is>
      </c>
      <c r="C462" t="inlineStr">
        <is>
          <t>meta</t>
        </is>
      </c>
      <c r="D462" t="n">
        <v>15506</v>
      </c>
      <c r="E462" t="n">
        <v>11075</v>
      </c>
      <c r="F462" t="n">
        <v>117</v>
      </c>
      <c r="G462" t="n">
        <v>4</v>
      </c>
      <c r="H462" t="n">
        <v>0</v>
      </c>
      <c r="I462" t="n">
        <v>2</v>
      </c>
      <c r="J462" t="n">
        <v>0</v>
      </c>
    </row>
    <row r="463">
      <c r="A463" s="5" t="n">
        <v>45931</v>
      </c>
      <c r="B463" t="inlineStr">
        <is>
          <t>google_brand_search</t>
        </is>
      </c>
      <c r="C463" t="inlineStr">
        <is>
          <t>google</t>
        </is>
      </c>
      <c r="D463" t="n">
        <v>6296</v>
      </c>
      <c r="E463" t="n">
        <v>1311</v>
      </c>
      <c r="F463" t="n">
        <v>77</v>
      </c>
      <c r="G463" t="n">
        <v>1</v>
      </c>
      <c r="H463" t="n">
        <v>1</v>
      </c>
      <c r="I463" t="n">
        <v>0</v>
      </c>
      <c r="J463" t="n">
        <v>1</v>
      </c>
    </row>
    <row r="464">
      <c r="A464" s="5" t="n">
        <v>45931</v>
      </c>
      <c r="B464" t="inlineStr">
        <is>
          <t>google_nonbrand_growth</t>
        </is>
      </c>
      <c r="C464" t="inlineStr">
        <is>
          <t>google</t>
        </is>
      </c>
      <c r="D464" t="n">
        <v>23095</v>
      </c>
      <c r="E464" t="n">
        <v>4811</v>
      </c>
      <c r="F464" t="n">
        <v>263</v>
      </c>
      <c r="G464" t="n">
        <v>1</v>
      </c>
      <c r="H464" t="n">
        <v>1</v>
      </c>
      <c r="I464" t="n">
        <v>0</v>
      </c>
      <c r="J464" t="n">
        <v>0</v>
      </c>
    </row>
    <row r="465">
      <c r="A465" s="5" t="n">
        <v>45931</v>
      </c>
      <c r="B465" t="inlineStr">
        <is>
          <t>linkedin_ceo_abm</t>
        </is>
      </c>
      <c r="C465" t="inlineStr">
        <is>
          <t>linkedin</t>
        </is>
      </c>
      <c r="D465" t="n">
        <v>26815</v>
      </c>
      <c r="E465" t="n">
        <v>5156</v>
      </c>
      <c r="F465" t="n">
        <v>31</v>
      </c>
      <c r="G465" t="n">
        <v>1</v>
      </c>
      <c r="H465" t="n">
        <v>0</v>
      </c>
      <c r="I465" t="n">
        <v>0</v>
      </c>
      <c r="J465" t="n">
        <v>0</v>
      </c>
    </row>
    <row r="466">
      <c r="A466" s="5" t="n">
        <v>45931</v>
      </c>
      <c r="B466" t="inlineStr">
        <is>
          <t>meta_prospecting_founder</t>
        </is>
      </c>
      <c r="C466" t="inlineStr">
        <is>
          <t>meta</t>
        </is>
      </c>
      <c r="D466" t="n">
        <v>29878</v>
      </c>
      <c r="E466" t="n">
        <v>21341</v>
      </c>
      <c r="F466" t="n">
        <v>225</v>
      </c>
      <c r="G466" t="n">
        <v>9</v>
      </c>
      <c r="H466" t="n">
        <v>4</v>
      </c>
      <c r="I466" t="n">
        <v>1</v>
      </c>
      <c r="J466" t="n">
        <v>0</v>
      </c>
    </row>
    <row r="467">
      <c r="A467" s="5" t="n">
        <v>45931</v>
      </c>
      <c r="B467" t="inlineStr">
        <is>
          <t>meta_retargeting_webinar</t>
        </is>
      </c>
      <c r="C467" t="inlineStr">
        <is>
          <t>meta</t>
        </is>
      </c>
      <c r="D467" t="n">
        <v>9068</v>
      </c>
      <c r="E467" t="n">
        <v>6477</v>
      </c>
      <c r="F467" t="n">
        <v>72</v>
      </c>
      <c r="G467" t="n">
        <v>1</v>
      </c>
      <c r="H467" t="n">
        <v>2</v>
      </c>
      <c r="I467" t="n">
        <v>0</v>
      </c>
      <c r="J467" t="n">
        <v>0</v>
      </c>
    </row>
    <row r="468">
      <c r="A468" s="5" t="n">
        <v>45932</v>
      </c>
      <c r="B468" t="inlineStr">
        <is>
          <t>FB-Broad</t>
        </is>
      </c>
      <c r="C468" t="inlineStr">
        <is>
          <t>meta</t>
        </is>
      </c>
      <c r="D468" t="n">
        <v>16518</v>
      </c>
      <c r="E468" t="n">
        <v>11798</v>
      </c>
      <c r="F468" t="n">
        <v>135</v>
      </c>
      <c r="G468" t="n">
        <v>4</v>
      </c>
      <c r="H468" t="n">
        <v>1</v>
      </c>
      <c r="I468" t="n">
        <v>1</v>
      </c>
      <c r="J468" t="n">
        <v>0</v>
      </c>
    </row>
    <row r="469">
      <c r="A469" s="5" t="n">
        <v>45932</v>
      </c>
      <c r="B469" t="inlineStr">
        <is>
          <t>google_brand_search</t>
        </is>
      </c>
      <c r="C469" t="inlineStr">
        <is>
          <t>google</t>
        </is>
      </c>
      <c r="D469" t="n">
        <v>7355</v>
      </c>
      <c r="E469" t="n">
        <v>1532</v>
      </c>
      <c r="F469" t="n">
        <v>87</v>
      </c>
      <c r="G469" t="n">
        <v>4</v>
      </c>
      <c r="H469" t="n">
        <v>1</v>
      </c>
      <c r="I469" t="n">
        <v>0</v>
      </c>
      <c r="J469" t="n">
        <v>0</v>
      </c>
    </row>
    <row r="470">
      <c r="A470" s="5" t="n">
        <v>45932</v>
      </c>
      <c r="B470" t="inlineStr">
        <is>
          <t>google_nonbrand_growth</t>
        </is>
      </c>
      <c r="C470" t="inlineStr">
        <is>
          <t>google</t>
        </is>
      </c>
      <c r="D470" t="n">
        <v>21105</v>
      </c>
      <c r="E470" t="n">
        <v>4396</v>
      </c>
      <c r="F470" t="n">
        <v>211</v>
      </c>
      <c r="G470" t="n">
        <v>3</v>
      </c>
      <c r="H470" t="n">
        <v>0</v>
      </c>
      <c r="I470" t="n">
        <v>0</v>
      </c>
      <c r="J470" t="n">
        <v>0</v>
      </c>
    </row>
    <row r="471">
      <c r="A471" s="5" t="n">
        <v>45932</v>
      </c>
      <c r="B471" t="inlineStr">
        <is>
          <t>linkedin_ceo_abm</t>
        </is>
      </c>
      <c r="C471" t="inlineStr">
        <is>
          <t>linkedin</t>
        </is>
      </c>
      <c r="D471" t="n">
        <v>23525</v>
      </c>
      <c r="E471" t="n">
        <v>4524</v>
      </c>
      <c r="F471" t="n">
        <v>26</v>
      </c>
      <c r="G471" t="n">
        <v>1</v>
      </c>
      <c r="H471" t="n">
        <v>0</v>
      </c>
      <c r="I471" t="n">
        <v>0</v>
      </c>
      <c r="J471" t="n">
        <v>0</v>
      </c>
    </row>
    <row r="472">
      <c r="A472" s="5" t="n">
        <v>45932</v>
      </c>
      <c r="B472" t="inlineStr">
        <is>
          <t>meta_prospecting_founder</t>
        </is>
      </c>
      <c r="C472" t="inlineStr">
        <is>
          <t>meta</t>
        </is>
      </c>
      <c r="D472" t="n">
        <v>35607</v>
      </c>
      <c r="E472" t="n">
        <v>25433</v>
      </c>
      <c r="F472" t="n">
        <v>277</v>
      </c>
      <c r="G472" t="n">
        <v>8</v>
      </c>
      <c r="H472" t="n">
        <v>0</v>
      </c>
      <c r="I472" t="n">
        <v>1</v>
      </c>
      <c r="J472" t="n">
        <v>0</v>
      </c>
    </row>
    <row r="473">
      <c r="A473" s="5" t="n">
        <v>45932</v>
      </c>
      <c r="B473" t="inlineStr">
        <is>
          <t>meta_retargeting_webinar</t>
        </is>
      </c>
      <c r="C473" t="inlineStr">
        <is>
          <t>meta</t>
        </is>
      </c>
      <c r="D473" t="n">
        <v>8692</v>
      </c>
      <c r="E473" t="n">
        <v>6208</v>
      </c>
      <c r="F473" t="n">
        <v>70</v>
      </c>
      <c r="G473" t="n">
        <v>3</v>
      </c>
      <c r="H473" t="n">
        <v>1</v>
      </c>
      <c r="I473" t="n">
        <v>1</v>
      </c>
      <c r="J473" t="n">
        <v>0</v>
      </c>
    </row>
    <row r="474">
      <c r="A474" s="5" t="n">
        <v>45933</v>
      </c>
      <c r="B474" t="inlineStr">
        <is>
          <t>FB-Broad</t>
        </is>
      </c>
      <c r="C474" t="inlineStr">
        <is>
          <t>meta</t>
        </is>
      </c>
      <c r="D474" t="n">
        <v>17333</v>
      </c>
      <c r="E474" t="n">
        <v>12380</v>
      </c>
      <c r="F474" t="n">
        <v>155</v>
      </c>
      <c r="G474" t="n">
        <v>3</v>
      </c>
      <c r="H474" t="n">
        <v>0</v>
      </c>
      <c r="I474" t="n">
        <v>0</v>
      </c>
      <c r="J474" t="n">
        <v>0</v>
      </c>
    </row>
    <row r="475">
      <c r="A475" s="5" t="n">
        <v>45933</v>
      </c>
      <c r="B475" t="inlineStr">
        <is>
          <t>google_brand_search</t>
        </is>
      </c>
      <c r="C475" t="inlineStr">
        <is>
          <t>google</t>
        </is>
      </c>
      <c r="D475" t="n">
        <v>7116</v>
      </c>
      <c r="E475" t="n">
        <v>1482</v>
      </c>
      <c r="F475" t="n">
        <v>75</v>
      </c>
      <c r="G475" t="n">
        <v>1</v>
      </c>
      <c r="H475" t="n">
        <v>1</v>
      </c>
      <c r="I475" t="n">
        <v>0</v>
      </c>
      <c r="J475" t="n">
        <v>0</v>
      </c>
    </row>
    <row r="476">
      <c r="A476" s="5" t="n">
        <v>45933</v>
      </c>
      <c r="B476" t="inlineStr">
        <is>
          <t>google_nonbrand_growth</t>
        </is>
      </c>
      <c r="C476" t="inlineStr">
        <is>
          <t>google</t>
        </is>
      </c>
      <c r="D476" t="n">
        <v>24836</v>
      </c>
      <c r="E476" t="n">
        <v>5174</v>
      </c>
      <c r="F476" t="n">
        <v>285</v>
      </c>
      <c r="G476" t="n">
        <v>4</v>
      </c>
      <c r="H476" t="n">
        <v>1</v>
      </c>
      <c r="I476" t="n">
        <v>0</v>
      </c>
      <c r="J476" t="n">
        <v>0</v>
      </c>
    </row>
    <row r="477">
      <c r="A477" s="5" t="n">
        <v>45933</v>
      </c>
      <c r="B477" t="inlineStr">
        <is>
          <t>linkedin_ceo_abm</t>
        </is>
      </c>
      <c r="C477" t="inlineStr">
        <is>
          <t>linkedin</t>
        </is>
      </c>
      <c r="D477" t="n">
        <v>24766</v>
      </c>
      <c r="E477" t="n">
        <v>4762</v>
      </c>
      <c r="F477" t="n">
        <v>28</v>
      </c>
      <c r="G477" t="n">
        <v>1</v>
      </c>
      <c r="H477" t="n">
        <v>0</v>
      </c>
      <c r="I477" t="n">
        <v>0</v>
      </c>
      <c r="J477" t="n">
        <v>0</v>
      </c>
    </row>
    <row r="478">
      <c r="A478" s="5" t="n">
        <v>45933</v>
      </c>
      <c r="B478" t="inlineStr">
        <is>
          <t>meta_prospecting_founder</t>
        </is>
      </c>
      <c r="C478" t="inlineStr">
        <is>
          <t>meta</t>
        </is>
      </c>
      <c r="D478" t="n">
        <v>32234</v>
      </c>
      <c r="E478" t="n">
        <v>23024</v>
      </c>
      <c r="F478" t="n">
        <v>243</v>
      </c>
      <c r="G478" t="n">
        <v>7</v>
      </c>
      <c r="H478" t="n">
        <v>4</v>
      </c>
      <c r="I478" t="n">
        <v>2</v>
      </c>
      <c r="J478" t="n">
        <v>0</v>
      </c>
    </row>
    <row r="479">
      <c r="A479" s="5" t="n">
        <v>45933</v>
      </c>
      <c r="B479" t="inlineStr">
        <is>
          <t>meta_retargeting_webinar</t>
        </is>
      </c>
      <c r="C479" t="inlineStr">
        <is>
          <t>meta</t>
        </is>
      </c>
      <c r="D479" t="n">
        <v>9176</v>
      </c>
      <c r="E479" t="n">
        <v>6554</v>
      </c>
      <c r="F479" t="n">
        <v>63</v>
      </c>
      <c r="G479" t="n">
        <v>4</v>
      </c>
      <c r="H479" t="n">
        <v>0</v>
      </c>
      <c r="I479" t="n">
        <v>0</v>
      </c>
      <c r="J479" t="n">
        <v>1</v>
      </c>
    </row>
    <row r="480">
      <c r="A480" s="5" t="n">
        <v>45934</v>
      </c>
      <c r="B480" t="inlineStr">
        <is>
          <t>FB-Broad</t>
        </is>
      </c>
      <c r="C480" t="inlineStr">
        <is>
          <t>meta</t>
        </is>
      </c>
      <c r="D480" t="n">
        <v>17868</v>
      </c>
      <c r="E480" t="n">
        <v>12762</v>
      </c>
      <c r="F480" t="n">
        <v>138</v>
      </c>
      <c r="G480" t="n">
        <v>4</v>
      </c>
      <c r="H480" t="n">
        <v>2</v>
      </c>
      <c r="I480" t="n">
        <v>1</v>
      </c>
      <c r="J480" t="n">
        <v>0</v>
      </c>
    </row>
    <row r="481">
      <c r="A481" s="5" t="n">
        <v>45934</v>
      </c>
      <c r="B481" t="inlineStr">
        <is>
          <t>google_brand_search</t>
        </is>
      </c>
      <c r="C481" t="inlineStr">
        <is>
          <t>google</t>
        </is>
      </c>
      <c r="D481" t="n">
        <v>7258</v>
      </c>
      <c r="E481" t="n">
        <v>1512</v>
      </c>
      <c r="F481" t="n">
        <v>87</v>
      </c>
      <c r="G481" t="n">
        <v>1</v>
      </c>
      <c r="H481" t="n">
        <v>1</v>
      </c>
      <c r="I481" t="n">
        <v>0</v>
      </c>
      <c r="J481" t="n">
        <v>1</v>
      </c>
    </row>
    <row r="482">
      <c r="A482" s="5" t="n">
        <v>45934</v>
      </c>
      <c r="B482" t="inlineStr">
        <is>
          <t>google_nonbrand_growth</t>
        </is>
      </c>
      <c r="C482" t="inlineStr">
        <is>
          <t>google</t>
        </is>
      </c>
      <c r="D482" t="n">
        <v>22738</v>
      </c>
      <c r="E482" t="n">
        <v>4737</v>
      </c>
      <c r="F482" t="n">
        <v>241</v>
      </c>
      <c r="G482" t="n">
        <v>3</v>
      </c>
      <c r="H482" t="n">
        <v>0</v>
      </c>
      <c r="I482" t="n">
        <v>0</v>
      </c>
      <c r="J482" t="n">
        <v>0</v>
      </c>
    </row>
    <row r="483">
      <c r="A483" s="5" t="n">
        <v>45934</v>
      </c>
      <c r="B483" t="inlineStr">
        <is>
          <t>linkedin_ceo_abm</t>
        </is>
      </c>
      <c r="C483" t="inlineStr">
        <is>
          <t>linkedin</t>
        </is>
      </c>
      <c r="D483" t="n">
        <v>23482</v>
      </c>
      <c r="E483" t="n">
        <v>4515</v>
      </c>
      <c r="F483" t="n">
        <v>26</v>
      </c>
      <c r="G483" t="n">
        <v>0</v>
      </c>
      <c r="H483" t="n">
        <v>0</v>
      </c>
      <c r="I483" t="n">
        <v>0</v>
      </c>
      <c r="J483" t="n">
        <v>0</v>
      </c>
    </row>
    <row r="484">
      <c r="A484" s="5" t="n">
        <v>45934</v>
      </c>
      <c r="B484" t="inlineStr">
        <is>
          <t>meta_prospecting_founder</t>
        </is>
      </c>
      <c r="C484" t="inlineStr">
        <is>
          <t>meta</t>
        </is>
      </c>
      <c r="D484" t="n">
        <v>32223</v>
      </c>
      <c r="E484" t="n">
        <v>23016</v>
      </c>
      <c r="F484" t="n">
        <v>242</v>
      </c>
      <c r="G484" t="n">
        <v>6</v>
      </c>
      <c r="H484" t="n">
        <v>1</v>
      </c>
      <c r="I484" t="n">
        <v>2</v>
      </c>
      <c r="J484" t="n">
        <v>0</v>
      </c>
    </row>
    <row r="485">
      <c r="A485" s="5" t="n">
        <v>45934</v>
      </c>
      <c r="B485" t="inlineStr">
        <is>
          <t>meta_retargeting_webinar</t>
        </is>
      </c>
      <c r="C485" t="inlineStr">
        <is>
          <t>meta</t>
        </is>
      </c>
      <c r="D485" t="n">
        <v>9914</v>
      </c>
      <c r="E485" t="n">
        <v>7081</v>
      </c>
      <c r="F485" t="n">
        <v>82</v>
      </c>
      <c r="G485" t="n">
        <v>1</v>
      </c>
      <c r="H485" t="n">
        <v>2</v>
      </c>
      <c r="I485" t="n">
        <v>0</v>
      </c>
      <c r="J485" t="n">
        <v>0</v>
      </c>
    </row>
    <row r="486">
      <c r="A486" s="5" t="n">
        <v>45935</v>
      </c>
      <c r="B486" t="inlineStr">
        <is>
          <t>FB-Broad</t>
        </is>
      </c>
      <c r="C486" t="inlineStr">
        <is>
          <t>meta</t>
        </is>
      </c>
      <c r="D486" t="n">
        <v>18085</v>
      </c>
      <c r="E486" t="n">
        <v>12917</v>
      </c>
      <c r="F486" t="n">
        <v>135</v>
      </c>
      <c r="G486" t="n">
        <v>2</v>
      </c>
      <c r="H486" t="n">
        <v>2</v>
      </c>
      <c r="I486" t="n">
        <v>2</v>
      </c>
      <c r="J486" t="n">
        <v>0</v>
      </c>
    </row>
    <row r="487">
      <c r="A487" s="5" t="n">
        <v>45935</v>
      </c>
      <c r="B487" t="inlineStr">
        <is>
          <t>google_brand_search</t>
        </is>
      </c>
      <c r="C487" t="inlineStr">
        <is>
          <t>google</t>
        </is>
      </c>
      <c r="D487" t="n">
        <v>6339</v>
      </c>
      <c r="E487" t="n">
        <v>1320</v>
      </c>
      <c r="F487" t="n">
        <v>72</v>
      </c>
      <c r="G487" t="n">
        <v>0</v>
      </c>
      <c r="H487" t="n">
        <v>0</v>
      </c>
      <c r="I487" t="n">
        <v>0</v>
      </c>
      <c r="J487" t="n">
        <v>0</v>
      </c>
    </row>
    <row r="488">
      <c r="A488" s="5" t="n">
        <v>45935</v>
      </c>
      <c r="B488" t="inlineStr">
        <is>
          <t>google_nonbrand_growth</t>
        </is>
      </c>
      <c r="C488" t="inlineStr">
        <is>
          <t>google</t>
        </is>
      </c>
      <c r="D488" t="n">
        <v>20715</v>
      </c>
      <c r="E488" t="n">
        <v>4315</v>
      </c>
      <c r="F488" t="n">
        <v>237</v>
      </c>
      <c r="G488" t="n">
        <v>1</v>
      </c>
      <c r="H488" t="n">
        <v>1</v>
      </c>
      <c r="I488" t="n">
        <v>0</v>
      </c>
      <c r="J488" t="n">
        <v>0</v>
      </c>
    </row>
    <row r="489">
      <c r="A489" s="5" t="n">
        <v>45935</v>
      </c>
      <c r="B489" t="inlineStr">
        <is>
          <t>linkedin_ceo_abm</t>
        </is>
      </c>
      <c r="C489" t="inlineStr">
        <is>
          <t>linkedin</t>
        </is>
      </c>
      <c r="D489" t="n">
        <v>27386</v>
      </c>
      <c r="E489" t="n">
        <v>5266</v>
      </c>
      <c r="F489" t="n">
        <v>30</v>
      </c>
      <c r="G489" t="n">
        <v>1</v>
      </c>
      <c r="H489" t="n">
        <v>1</v>
      </c>
      <c r="I489" t="n">
        <v>0</v>
      </c>
      <c r="J489" t="n">
        <v>0</v>
      </c>
    </row>
    <row r="490">
      <c r="A490" s="5" t="n">
        <v>45935</v>
      </c>
      <c r="B490" t="inlineStr">
        <is>
          <t>meta_prospecting_founder</t>
        </is>
      </c>
      <c r="C490" t="inlineStr">
        <is>
          <t>meta</t>
        </is>
      </c>
      <c r="D490" t="n">
        <v>30015</v>
      </c>
      <c r="E490" t="n">
        <v>21439</v>
      </c>
      <c r="F490" t="n">
        <v>209</v>
      </c>
      <c r="G490" t="n">
        <v>4</v>
      </c>
      <c r="H490" t="n">
        <v>2</v>
      </c>
      <c r="I490" t="n">
        <v>0</v>
      </c>
      <c r="J490" t="n">
        <v>0</v>
      </c>
    </row>
    <row r="491">
      <c r="A491" s="5" t="n">
        <v>45935</v>
      </c>
      <c r="B491" t="inlineStr">
        <is>
          <t>meta_retargeting_webinar</t>
        </is>
      </c>
      <c r="C491" t="inlineStr">
        <is>
          <t>meta</t>
        </is>
      </c>
      <c r="D491" t="n">
        <v>9678</v>
      </c>
      <c r="E491" t="n">
        <v>6912</v>
      </c>
      <c r="F491" t="n">
        <v>67</v>
      </c>
      <c r="G491" t="n">
        <v>2</v>
      </c>
      <c r="H491" t="n">
        <v>0</v>
      </c>
      <c r="I491" t="n">
        <v>0</v>
      </c>
      <c r="J491" t="n">
        <v>0</v>
      </c>
    </row>
    <row r="492">
      <c r="A492" s="5" t="n">
        <v>45936</v>
      </c>
      <c r="B492" t="inlineStr">
        <is>
          <t>FB-Broad</t>
        </is>
      </c>
      <c r="C492" t="inlineStr">
        <is>
          <t>meta</t>
        </is>
      </c>
      <c r="D492" t="n">
        <v>15733</v>
      </c>
      <c r="E492" t="n">
        <v>11237</v>
      </c>
      <c r="F492" t="n">
        <v>140</v>
      </c>
      <c r="G492" t="n">
        <v>4</v>
      </c>
      <c r="H492" t="n">
        <v>1</v>
      </c>
      <c r="I492" t="n">
        <v>0</v>
      </c>
      <c r="J492" t="n">
        <v>0</v>
      </c>
    </row>
    <row r="493">
      <c r="A493" s="5" t="n">
        <v>45936</v>
      </c>
      <c r="B493" t="inlineStr">
        <is>
          <t>google_brand_search</t>
        </is>
      </c>
      <c r="C493" t="inlineStr">
        <is>
          <t>google</t>
        </is>
      </c>
      <c r="D493" t="n">
        <v>6444</v>
      </c>
      <c r="E493" t="n">
        <v>1342</v>
      </c>
      <c r="F493" t="n">
        <v>78</v>
      </c>
      <c r="G493" t="n">
        <v>2</v>
      </c>
      <c r="H493" t="n">
        <v>1</v>
      </c>
      <c r="I493" t="n">
        <v>0</v>
      </c>
      <c r="J493" t="n">
        <v>0</v>
      </c>
    </row>
    <row r="494">
      <c r="A494" s="5" t="n">
        <v>45936</v>
      </c>
      <c r="B494" t="inlineStr">
        <is>
          <t>google_nonbrand_growth</t>
        </is>
      </c>
      <c r="C494" t="inlineStr">
        <is>
          <t>google</t>
        </is>
      </c>
      <c r="D494" t="n">
        <v>22107</v>
      </c>
      <c r="E494" t="n">
        <v>4605</v>
      </c>
      <c r="F494" t="n">
        <v>256</v>
      </c>
      <c r="G494" t="n">
        <v>1</v>
      </c>
      <c r="H494" t="n">
        <v>2</v>
      </c>
      <c r="I494" t="n">
        <v>0</v>
      </c>
      <c r="J494" t="n">
        <v>0</v>
      </c>
    </row>
    <row r="495">
      <c r="A495" s="5" t="n">
        <v>45936</v>
      </c>
      <c r="B495" t="inlineStr">
        <is>
          <t>linkedin_ceo_abm</t>
        </is>
      </c>
      <c r="C495" t="inlineStr">
        <is>
          <t>linkedin</t>
        </is>
      </c>
      <c r="D495" t="n">
        <v>25124</v>
      </c>
      <c r="E495" t="n">
        <v>4831</v>
      </c>
      <c r="F495" t="n">
        <v>31</v>
      </c>
      <c r="G495" t="n">
        <v>1</v>
      </c>
      <c r="H495" t="n">
        <v>0</v>
      </c>
      <c r="I495" t="n">
        <v>0</v>
      </c>
      <c r="J495" t="n">
        <v>0</v>
      </c>
    </row>
    <row r="496">
      <c r="A496" s="5" t="n">
        <v>45936</v>
      </c>
      <c r="B496" t="inlineStr">
        <is>
          <t>meta_prospecting_founder</t>
        </is>
      </c>
      <c r="C496" t="inlineStr">
        <is>
          <t>meta</t>
        </is>
      </c>
      <c r="D496" t="n">
        <v>35578</v>
      </c>
      <c r="E496" t="n">
        <v>25412</v>
      </c>
      <c r="F496" t="n">
        <v>245</v>
      </c>
      <c r="G496" t="n">
        <v>13</v>
      </c>
      <c r="H496" t="n">
        <v>0</v>
      </c>
      <c r="I496" t="n">
        <v>3</v>
      </c>
      <c r="J496" t="n">
        <v>0</v>
      </c>
    </row>
    <row r="497">
      <c r="A497" s="5" t="n">
        <v>45936</v>
      </c>
      <c r="B497" t="inlineStr">
        <is>
          <t>meta_retargeting_webinar</t>
        </is>
      </c>
      <c r="C497" t="inlineStr">
        <is>
          <t>meta</t>
        </is>
      </c>
      <c r="D497" t="n">
        <v>9762</v>
      </c>
      <c r="E497" t="n">
        <v>6972</v>
      </c>
      <c r="F497" t="n">
        <v>67</v>
      </c>
      <c r="G497" t="n">
        <v>0</v>
      </c>
      <c r="H497" t="n">
        <v>1</v>
      </c>
      <c r="I497" t="n">
        <v>0</v>
      </c>
      <c r="J497" t="n">
        <v>0</v>
      </c>
    </row>
    <row r="498">
      <c r="A498" s="5" t="n">
        <v>45937</v>
      </c>
      <c r="B498" t="inlineStr">
        <is>
          <t>FB-Broad</t>
        </is>
      </c>
      <c r="C498" t="inlineStr">
        <is>
          <t>meta</t>
        </is>
      </c>
      <c r="D498" t="n">
        <v>15125</v>
      </c>
      <c r="E498" t="n">
        <v>10803</v>
      </c>
      <c r="F498" t="n">
        <v>122</v>
      </c>
      <c r="G498" t="n">
        <v>2</v>
      </c>
      <c r="H498" t="n">
        <v>2</v>
      </c>
      <c r="I498" t="n">
        <v>0</v>
      </c>
      <c r="J498" t="n">
        <v>0</v>
      </c>
    </row>
    <row r="499">
      <c r="A499" s="5" t="n">
        <v>45937</v>
      </c>
      <c r="B499" t="inlineStr">
        <is>
          <t>google_brand_search</t>
        </is>
      </c>
      <c r="C499" t="inlineStr">
        <is>
          <t>google</t>
        </is>
      </c>
      <c r="D499" t="n">
        <v>6872</v>
      </c>
      <c r="E499" t="n">
        <v>1431</v>
      </c>
      <c r="F499" t="n">
        <v>66</v>
      </c>
      <c r="G499" t="n">
        <v>4</v>
      </c>
      <c r="H499" t="n">
        <v>0</v>
      </c>
      <c r="I499" t="n">
        <v>1</v>
      </c>
      <c r="J499" t="n">
        <v>0</v>
      </c>
    </row>
    <row r="500">
      <c r="A500" s="5" t="n">
        <v>45937</v>
      </c>
      <c r="B500" t="inlineStr">
        <is>
          <t>google_nonbrand_growth</t>
        </is>
      </c>
      <c r="C500" t="inlineStr">
        <is>
          <t>google</t>
        </is>
      </c>
      <c r="D500" t="n">
        <v>22811</v>
      </c>
      <c r="E500" t="n">
        <v>4752</v>
      </c>
      <c r="F500" t="n">
        <v>254</v>
      </c>
      <c r="G500" t="n">
        <v>2</v>
      </c>
      <c r="H500" t="n">
        <v>0</v>
      </c>
      <c r="I500" t="n">
        <v>0</v>
      </c>
      <c r="J500" t="n">
        <v>0</v>
      </c>
    </row>
    <row r="501">
      <c r="A501" s="5" t="n">
        <v>45937</v>
      </c>
      <c r="B501" t="inlineStr">
        <is>
          <t>linkedin_ceo_abm</t>
        </is>
      </c>
      <c r="C501" t="inlineStr">
        <is>
          <t>linkedin</t>
        </is>
      </c>
      <c r="D501" t="n">
        <v>26860</v>
      </c>
      <c r="E501" t="n">
        <v>5165</v>
      </c>
      <c r="F501" t="n">
        <v>31</v>
      </c>
      <c r="G501" t="n">
        <v>3</v>
      </c>
      <c r="H501" t="n">
        <v>0</v>
      </c>
      <c r="I501" t="n">
        <v>0</v>
      </c>
      <c r="J501" t="n">
        <v>0</v>
      </c>
    </row>
    <row r="502">
      <c r="A502" s="5" t="n">
        <v>45937</v>
      </c>
      <c r="B502" t="inlineStr">
        <is>
          <t>meta_prospecting_founder</t>
        </is>
      </c>
      <c r="C502" t="inlineStr">
        <is>
          <t>meta</t>
        </is>
      </c>
      <c r="D502" t="n">
        <v>32205</v>
      </c>
      <c r="E502" t="n">
        <v>23003</v>
      </c>
      <c r="F502" t="n">
        <v>247</v>
      </c>
      <c r="G502" t="n">
        <v>9</v>
      </c>
      <c r="H502" t="n">
        <v>2</v>
      </c>
      <c r="I502" t="n">
        <v>2</v>
      </c>
      <c r="J502" t="n">
        <v>0</v>
      </c>
    </row>
    <row r="503">
      <c r="A503" s="5" t="n">
        <v>45937</v>
      </c>
      <c r="B503" t="inlineStr">
        <is>
          <t>meta_retargeting_webinar</t>
        </is>
      </c>
      <c r="C503" t="inlineStr">
        <is>
          <t>meta</t>
        </is>
      </c>
      <c r="D503" t="n">
        <v>9663</v>
      </c>
      <c r="E503" t="n">
        <v>6902</v>
      </c>
      <c r="F503" t="n">
        <v>83</v>
      </c>
      <c r="G503" t="n">
        <v>4</v>
      </c>
      <c r="H503" t="n">
        <v>0</v>
      </c>
      <c r="I503" t="n">
        <v>0</v>
      </c>
      <c r="J503" t="n">
        <v>0</v>
      </c>
    </row>
    <row r="504">
      <c r="A504" s="5" t="n">
        <v>45938</v>
      </c>
      <c r="B504" t="inlineStr">
        <is>
          <t>FB-Broad</t>
        </is>
      </c>
      <c r="C504" t="inlineStr">
        <is>
          <t>meta</t>
        </is>
      </c>
      <c r="D504" t="n">
        <v>17488</v>
      </c>
      <c r="E504" t="n">
        <v>12491</v>
      </c>
      <c r="F504" t="n">
        <v>153</v>
      </c>
      <c r="G504" t="n">
        <v>6</v>
      </c>
      <c r="H504" t="n">
        <v>1</v>
      </c>
      <c r="I504" t="n">
        <v>2</v>
      </c>
      <c r="J504" t="n">
        <v>0</v>
      </c>
    </row>
    <row r="505">
      <c r="A505" s="5" t="n">
        <v>45938</v>
      </c>
      <c r="B505" t="inlineStr">
        <is>
          <t>google_brand_search</t>
        </is>
      </c>
      <c r="C505" t="inlineStr">
        <is>
          <t>google</t>
        </is>
      </c>
      <c r="D505" t="n">
        <v>6669</v>
      </c>
      <c r="E505" t="n">
        <v>1389</v>
      </c>
      <c r="F505" t="n">
        <v>82</v>
      </c>
      <c r="G505" t="n">
        <v>1</v>
      </c>
      <c r="H505" t="n">
        <v>1</v>
      </c>
      <c r="I505" t="n">
        <v>0</v>
      </c>
      <c r="J505" t="n">
        <v>0</v>
      </c>
    </row>
    <row r="506">
      <c r="A506" s="5" t="n">
        <v>45938</v>
      </c>
      <c r="B506" t="inlineStr">
        <is>
          <t>google_nonbrand_growth</t>
        </is>
      </c>
      <c r="C506" t="inlineStr">
        <is>
          <t>google</t>
        </is>
      </c>
      <c r="D506" t="n">
        <v>21002</v>
      </c>
      <c r="E506" t="n">
        <v>4375</v>
      </c>
      <c r="F506" t="n">
        <v>220</v>
      </c>
      <c r="G506" t="n">
        <v>7</v>
      </c>
      <c r="H506" t="n">
        <v>1</v>
      </c>
      <c r="I506" t="n">
        <v>0</v>
      </c>
      <c r="J506" t="n">
        <v>0</v>
      </c>
    </row>
    <row r="507">
      <c r="A507" s="5" t="n">
        <v>45938</v>
      </c>
      <c r="B507" t="inlineStr">
        <is>
          <t>linkedin_ceo_abm</t>
        </is>
      </c>
      <c r="C507" t="inlineStr">
        <is>
          <t>linkedin</t>
        </is>
      </c>
      <c r="D507" t="n">
        <v>22953</v>
      </c>
      <c r="E507" t="n">
        <v>4414</v>
      </c>
      <c r="F507" t="n">
        <v>28</v>
      </c>
      <c r="G507" t="n">
        <v>1</v>
      </c>
      <c r="H507" t="n">
        <v>0</v>
      </c>
      <c r="I507" t="n">
        <v>0</v>
      </c>
      <c r="J507" t="n">
        <v>0</v>
      </c>
    </row>
    <row r="508">
      <c r="A508" s="5" t="n">
        <v>45938</v>
      </c>
      <c r="B508" t="inlineStr">
        <is>
          <t>meta_prospecting_founder</t>
        </is>
      </c>
      <c r="C508" t="inlineStr">
        <is>
          <t>meta</t>
        </is>
      </c>
      <c r="D508" t="n">
        <v>33531</v>
      </c>
      <c r="E508" t="n">
        <v>23950</v>
      </c>
      <c r="F508" t="n">
        <v>257</v>
      </c>
      <c r="G508" t="n">
        <v>12</v>
      </c>
      <c r="H508" t="n">
        <v>2</v>
      </c>
      <c r="I508" t="n">
        <v>1</v>
      </c>
      <c r="J508" t="n">
        <v>1</v>
      </c>
    </row>
    <row r="509">
      <c r="A509" s="5" t="n">
        <v>45938</v>
      </c>
      <c r="B509" t="inlineStr">
        <is>
          <t>meta_retargeting_webinar</t>
        </is>
      </c>
      <c r="C509" t="inlineStr">
        <is>
          <t>meta</t>
        </is>
      </c>
      <c r="D509" t="n">
        <v>10152</v>
      </c>
      <c r="E509" t="n">
        <v>7251</v>
      </c>
      <c r="F509" t="n">
        <v>87</v>
      </c>
      <c r="G509" t="n">
        <v>3</v>
      </c>
      <c r="H509" t="n">
        <v>0</v>
      </c>
      <c r="I509" t="n">
        <v>3</v>
      </c>
      <c r="J509" t="n">
        <v>0</v>
      </c>
    </row>
    <row r="510">
      <c r="A510" s="5" t="n">
        <v>45939</v>
      </c>
      <c r="B510" t="inlineStr">
        <is>
          <t>FB-Broad</t>
        </is>
      </c>
      <c r="C510" t="inlineStr">
        <is>
          <t>meta</t>
        </is>
      </c>
      <c r="D510" t="n">
        <v>16326</v>
      </c>
      <c r="E510" t="n">
        <v>11661</v>
      </c>
      <c r="F510" t="n">
        <v>125</v>
      </c>
      <c r="G510" t="n">
        <v>9</v>
      </c>
      <c r="H510" t="n">
        <v>1</v>
      </c>
      <c r="I510" t="n">
        <v>1</v>
      </c>
      <c r="J510" t="n">
        <v>0</v>
      </c>
    </row>
    <row r="511">
      <c r="A511" s="5" t="n">
        <v>45939</v>
      </c>
      <c r="B511" t="inlineStr">
        <is>
          <t>google_brand_search</t>
        </is>
      </c>
      <c r="C511" t="inlineStr">
        <is>
          <t>google</t>
        </is>
      </c>
      <c r="D511" t="n">
        <v>7358</v>
      </c>
      <c r="E511" t="n">
        <v>1532</v>
      </c>
      <c r="F511" t="n">
        <v>80</v>
      </c>
      <c r="G511" t="n">
        <v>3</v>
      </c>
      <c r="H511" t="n">
        <v>1</v>
      </c>
      <c r="I511" t="n">
        <v>0</v>
      </c>
      <c r="J511" t="n">
        <v>0</v>
      </c>
    </row>
    <row r="512">
      <c r="A512" s="5" t="n">
        <v>45939</v>
      </c>
      <c r="B512" t="inlineStr">
        <is>
          <t>google_nonbrand_growth</t>
        </is>
      </c>
      <c r="C512" t="inlineStr">
        <is>
          <t>google</t>
        </is>
      </c>
      <c r="D512" t="n">
        <v>22894</v>
      </c>
      <c r="E512" t="n">
        <v>4769</v>
      </c>
      <c r="F512" t="n">
        <v>222</v>
      </c>
      <c r="G512" t="n">
        <v>2</v>
      </c>
      <c r="H512" t="n">
        <v>2</v>
      </c>
      <c r="I512" t="n">
        <v>1</v>
      </c>
      <c r="J512" t="n">
        <v>0</v>
      </c>
    </row>
    <row r="513">
      <c r="A513" s="5" t="n">
        <v>45939</v>
      </c>
      <c r="B513" t="inlineStr">
        <is>
          <t>linkedin_ceo_abm</t>
        </is>
      </c>
      <c r="C513" t="inlineStr">
        <is>
          <t>linkedin</t>
        </is>
      </c>
      <c r="D513" t="n">
        <v>26573</v>
      </c>
      <c r="E513" t="n">
        <v>5110</v>
      </c>
      <c r="F513" t="n">
        <v>29</v>
      </c>
      <c r="G513" t="n">
        <v>3</v>
      </c>
      <c r="H513" t="n">
        <v>2</v>
      </c>
      <c r="I513" t="n">
        <v>1</v>
      </c>
      <c r="J513" t="n">
        <v>0</v>
      </c>
    </row>
    <row r="514">
      <c r="A514" s="5" t="n">
        <v>45939</v>
      </c>
      <c r="B514" t="inlineStr">
        <is>
          <t>meta_prospecting_founder</t>
        </is>
      </c>
      <c r="C514" t="inlineStr">
        <is>
          <t>meta</t>
        </is>
      </c>
      <c r="D514" t="n">
        <v>33238</v>
      </c>
      <c r="E514" t="n">
        <v>23741</v>
      </c>
      <c r="F514" t="n">
        <v>228</v>
      </c>
      <c r="G514" t="n">
        <v>9</v>
      </c>
      <c r="H514" t="n">
        <v>3</v>
      </c>
      <c r="I514" t="n">
        <v>1</v>
      </c>
      <c r="J514" t="n">
        <v>0</v>
      </c>
    </row>
    <row r="515">
      <c r="A515" s="5" t="n">
        <v>45939</v>
      </c>
      <c r="B515" t="inlineStr">
        <is>
          <t>meta_retargeting_webinar</t>
        </is>
      </c>
      <c r="C515" t="inlineStr">
        <is>
          <t>meta</t>
        </is>
      </c>
      <c r="D515" t="n">
        <v>9862</v>
      </c>
      <c r="E515" t="n">
        <v>7044</v>
      </c>
      <c r="F515" t="n">
        <v>87</v>
      </c>
      <c r="G515" t="n">
        <v>2</v>
      </c>
      <c r="H515" t="n">
        <v>0</v>
      </c>
      <c r="I515" t="n">
        <v>0</v>
      </c>
      <c r="J515" t="n">
        <v>0</v>
      </c>
    </row>
    <row r="516">
      <c r="A516" s="5" t="n">
        <v>45940</v>
      </c>
      <c r="B516" t="inlineStr">
        <is>
          <t>FB-Broad</t>
        </is>
      </c>
      <c r="C516" t="inlineStr">
        <is>
          <t>meta</t>
        </is>
      </c>
      <c r="D516" t="n">
        <v>16287</v>
      </c>
      <c r="E516" t="n">
        <v>11633</v>
      </c>
      <c r="F516" t="n">
        <v>142</v>
      </c>
      <c r="G516" t="n">
        <v>6</v>
      </c>
      <c r="H516" t="n">
        <v>0</v>
      </c>
      <c r="I516" t="n">
        <v>0</v>
      </c>
      <c r="J516" t="n">
        <v>0</v>
      </c>
    </row>
    <row r="517">
      <c r="A517" s="5" t="n">
        <v>45940</v>
      </c>
      <c r="B517" t="inlineStr">
        <is>
          <t>google_brand_search</t>
        </is>
      </c>
      <c r="C517" t="inlineStr">
        <is>
          <t>google</t>
        </is>
      </c>
      <c r="D517" t="n">
        <v>6583</v>
      </c>
      <c r="E517" t="n">
        <v>1371</v>
      </c>
      <c r="F517" t="n">
        <v>69</v>
      </c>
      <c r="G517" t="n">
        <v>3</v>
      </c>
      <c r="H517" t="n">
        <v>0</v>
      </c>
      <c r="I517" t="n">
        <v>0</v>
      </c>
      <c r="J517" t="n">
        <v>0</v>
      </c>
    </row>
    <row r="518">
      <c r="A518" s="5" t="n">
        <v>45940</v>
      </c>
      <c r="B518" t="inlineStr">
        <is>
          <t>google_nonbrand_growth</t>
        </is>
      </c>
      <c r="C518" t="inlineStr">
        <is>
          <t>google</t>
        </is>
      </c>
      <c r="D518" t="n">
        <v>21769</v>
      </c>
      <c r="E518" t="n">
        <v>4535</v>
      </c>
      <c r="F518" t="n">
        <v>231</v>
      </c>
      <c r="G518" t="n">
        <v>5</v>
      </c>
      <c r="H518" t="n">
        <v>1</v>
      </c>
      <c r="I518" t="n">
        <v>0</v>
      </c>
      <c r="J518" t="n">
        <v>0</v>
      </c>
    </row>
    <row r="519">
      <c r="A519" s="5" t="n">
        <v>45940</v>
      </c>
      <c r="B519" t="inlineStr">
        <is>
          <t>linkedin_ceo_abm</t>
        </is>
      </c>
      <c r="C519" t="inlineStr">
        <is>
          <t>linkedin</t>
        </is>
      </c>
      <c r="D519" t="n">
        <v>26448</v>
      </c>
      <c r="E519" t="n">
        <v>5086</v>
      </c>
      <c r="F519" t="n">
        <v>29</v>
      </c>
      <c r="G519" t="n">
        <v>1</v>
      </c>
      <c r="H519" t="n">
        <v>2</v>
      </c>
      <c r="I519" t="n">
        <v>0</v>
      </c>
      <c r="J519" t="n">
        <v>0</v>
      </c>
    </row>
    <row r="520">
      <c r="A520" s="5" t="n">
        <v>45940</v>
      </c>
      <c r="B520" t="inlineStr">
        <is>
          <t>meta_prospecting_founder</t>
        </is>
      </c>
      <c r="C520" t="inlineStr">
        <is>
          <t>meta</t>
        </is>
      </c>
      <c r="D520" t="n">
        <v>31807</v>
      </c>
      <c r="E520" t="n">
        <v>22719</v>
      </c>
      <c r="F520" t="n">
        <v>283</v>
      </c>
      <c r="G520" t="n">
        <v>6</v>
      </c>
      <c r="H520" t="n">
        <v>3</v>
      </c>
      <c r="I520" t="n">
        <v>0</v>
      </c>
      <c r="J520" t="n">
        <v>0</v>
      </c>
    </row>
    <row r="521">
      <c r="A521" s="5" t="n">
        <v>45940</v>
      </c>
      <c r="B521" t="inlineStr">
        <is>
          <t>meta_retargeting_webinar</t>
        </is>
      </c>
      <c r="C521" t="inlineStr">
        <is>
          <t>meta</t>
        </is>
      </c>
      <c r="D521" t="n">
        <v>9003</v>
      </c>
      <c r="E521" t="n">
        <v>6430</v>
      </c>
      <c r="F521" t="n">
        <v>72</v>
      </c>
      <c r="G521" t="n">
        <v>1</v>
      </c>
      <c r="H521" t="n">
        <v>1</v>
      </c>
      <c r="I521" t="n">
        <v>0</v>
      </c>
      <c r="J521" t="n">
        <v>0</v>
      </c>
    </row>
    <row r="522">
      <c r="A522" s="5" t="n">
        <v>45941</v>
      </c>
      <c r="B522" t="inlineStr">
        <is>
          <t>FB-Broad</t>
        </is>
      </c>
      <c r="C522" t="inlineStr">
        <is>
          <t>meta</t>
        </is>
      </c>
      <c r="D522" t="n">
        <v>17938</v>
      </c>
      <c r="E522" t="n">
        <v>12812</v>
      </c>
      <c r="F522" t="n">
        <v>138</v>
      </c>
      <c r="G522" t="n">
        <v>4</v>
      </c>
      <c r="H522" t="n">
        <v>2</v>
      </c>
      <c r="I522" t="n">
        <v>0</v>
      </c>
      <c r="J522" t="n">
        <v>1</v>
      </c>
    </row>
    <row r="523">
      <c r="A523" s="5" t="n">
        <v>45941</v>
      </c>
      <c r="B523" t="inlineStr">
        <is>
          <t>google_brand_search</t>
        </is>
      </c>
      <c r="C523" t="inlineStr">
        <is>
          <t>google</t>
        </is>
      </c>
      <c r="D523" t="n">
        <v>7490</v>
      </c>
      <c r="E523" t="n">
        <v>1560</v>
      </c>
      <c r="F523" t="n">
        <v>75</v>
      </c>
      <c r="G523" t="n">
        <v>1</v>
      </c>
      <c r="H523" t="n">
        <v>1</v>
      </c>
      <c r="I523" t="n">
        <v>2</v>
      </c>
      <c r="J523" t="n">
        <v>0</v>
      </c>
    </row>
    <row r="524">
      <c r="A524" s="5" t="n">
        <v>45941</v>
      </c>
      <c r="B524" t="inlineStr">
        <is>
          <t>google_nonbrand_growth</t>
        </is>
      </c>
      <c r="C524" t="inlineStr">
        <is>
          <t>google</t>
        </is>
      </c>
      <c r="D524" t="n">
        <v>20334</v>
      </c>
      <c r="E524" t="n">
        <v>4236</v>
      </c>
      <c r="F524" t="n">
        <v>189</v>
      </c>
      <c r="G524" t="n">
        <v>1</v>
      </c>
      <c r="H524" t="n">
        <v>0</v>
      </c>
      <c r="I524" t="n">
        <v>2</v>
      </c>
      <c r="J524" t="n">
        <v>0</v>
      </c>
    </row>
    <row r="525">
      <c r="A525" s="5" t="n">
        <v>45941</v>
      </c>
      <c r="B525" t="inlineStr">
        <is>
          <t>linkedin_ceo_abm</t>
        </is>
      </c>
      <c r="C525" t="inlineStr">
        <is>
          <t>linkedin</t>
        </is>
      </c>
      <c r="D525" t="n">
        <v>25681</v>
      </c>
      <c r="E525" t="n">
        <v>4938</v>
      </c>
      <c r="F525" t="n">
        <v>36</v>
      </c>
      <c r="G525" t="n">
        <v>3</v>
      </c>
      <c r="H525" t="n">
        <v>0</v>
      </c>
      <c r="I525" t="n">
        <v>1</v>
      </c>
      <c r="J525" t="n">
        <v>0</v>
      </c>
    </row>
    <row r="526">
      <c r="A526" s="5" t="n">
        <v>45941</v>
      </c>
      <c r="B526" t="inlineStr">
        <is>
          <t>meta_prospecting_founder</t>
        </is>
      </c>
      <c r="C526" t="inlineStr">
        <is>
          <t>meta</t>
        </is>
      </c>
      <c r="D526" t="n">
        <v>33151</v>
      </c>
      <c r="E526" t="n">
        <v>23679</v>
      </c>
      <c r="F526" t="n">
        <v>256</v>
      </c>
      <c r="G526" t="n">
        <v>9</v>
      </c>
      <c r="H526" t="n">
        <v>3</v>
      </c>
      <c r="I526" t="n">
        <v>1</v>
      </c>
      <c r="J526" t="n">
        <v>0</v>
      </c>
    </row>
    <row r="527">
      <c r="A527" s="5" t="n">
        <v>45941</v>
      </c>
      <c r="B527" t="inlineStr">
        <is>
          <t>meta_retargeting_webinar</t>
        </is>
      </c>
      <c r="C527" t="inlineStr">
        <is>
          <t>meta</t>
        </is>
      </c>
      <c r="D527" t="n">
        <v>10243</v>
      </c>
      <c r="E527" t="n">
        <v>7316</v>
      </c>
      <c r="F527" t="n">
        <v>88</v>
      </c>
      <c r="G527" t="n">
        <v>2</v>
      </c>
      <c r="H527" t="n">
        <v>0</v>
      </c>
      <c r="I527" t="n">
        <v>0</v>
      </c>
      <c r="J527" t="n">
        <v>0</v>
      </c>
    </row>
    <row r="528">
      <c r="A528" s="5" t="n">
        <v>45942</v>
      </c>
      <c r="B528" t="inlineStr">
        <is>
          <t>FB-Broad</t>
        </is>
      </c>
      <c r="C528" t="inlineStr">
        <is>
          <t>meta</t>
        </is>
      </c>
      <c r="D528" t="n">
        <v>15275</v>
      </c>
      <c r="E528" t="n">
        <v>10910</v>
      </c>
      <c r="F528" t="n">
        <v>120</v>
      </c>
      <c r="G528" t="n">
        <v>5</v>
      </c>
      <c r="H528" t="n">
        <v>1</v>
      </c>
      <c r="I528" t="n">
        <v>0</v>
      </c>
      <c r="J528" t="n">
        <v>0</v>
      </c>
    </row>
    <row r="529">
      <c r="A529" s="5" t="n">
        <v>45942</v>
      </c>
      <c r="B529" t="inlineStr">
        <is>
          <t>google_brand_search</t>
        </is>
      </c>
      <c r="C529" t="inlineStr">
        <is>
          <t>google</t>
        </is>
      </c>
      <c r="D529" t="n">
        <v>6768</v>
      </c>
      <c r="E529" t="n">
        <v>1410</v>
      </c>
      <c r="F529" t="n">
        <v>62</v>
      </c>
      <c r="G529" t="n">
        <v>3</v>
      </c>
      <c r="H529" t="n">
        <v>1</v>
      </c>
      <c r="I529" t="n">
        <v>1</v>
      </c>
      <c r="J529" t="n">
        <v>0</v>
      </c>
    </row>
    <row r="530">
      <c r="A530" s="5" t="n">
        <v>45942</v>
      </c>
      <c r="B530" t="inlineStr">
        <is>
          <t>google_nonbrand_growth</t>
        </is>
      </c>
      <c r="C530" t="inlineStr">
        <is>
          <t>google</t>
        </is>
      </c>
      <c r="D530" t="n">
        <v>22903</v>
      </c>
      <c r="E530" t="n">
        <v>4771</v>
      </c>
      <c r="F530" t="n">
        <v>283</v>
      </c>
      <c r="G530" t="n">
        <v>3</v>
      </c>
      <c r="H530" t="n">
        <v>1</v>
      </c>
      <c r="I530" t="n">
        <v>0</v>
      </c>
      <c r="J530" t="n">
        <v>0</v>
      </c>
    </row>
    <row r="531">
      <c r="A531" s="5" t="n">
        <v>45942</v>
      </c>
      <c r="B531" t="inlineStr">
        <is>
          <t>linkedin_ceo_abm</t>
        </is>
      </c>
      <c r="C531" t="inlineStr">
        <is>
          <t>linkedin</t>
        </is>
      </c>
      <c r="D531" t="n">
        <v>24565</v>
      </c>
      <c r="E531" t="n">
        <v>4724</v>
      </c>
      <c r="F531" t="n">
        <v>32</v>
      </c>
      <c r="G531" t="n">
        <v>0</v>
      </c>
      <c r="H531" t="n">
        <v>0</v>
      </c>
      <c r="I531" t="n">
        <v>1</v>
      </c>
      <c r="J531" t="n">
        <v>0</v>
      </c>
    </row>
    <row r="532">
      <c r="A532" s="5" t="n">
        <v>45942</v>
      </c>
      <c r="B532" t="inlineStr">
        <is>
          <t>meta_prospecting_founder</t>
        </is>
      </c>
      <c r="C532" t="inlineStr">
        <is>
          <t>meta</t>
        </is>
      </c>
      <c r="D532" t="n">
        <v>31487</v>
      </c>
      <c r="E532" t="n">
        <v>22490</v>
      </c>
      <c r="F532" t="n">
        <v>235</v>
      </c>
      <c r="G532" t="n">
        <v>4</v>
      </c>
      <c r="H532" t="n">
        <v>2</v>
      </c>
      <c r="I532" t="n">
        <v>1</v>
      </c>
      <c r="J532" t="n">
        <v>0</v>
      </c>
    </row>
    <row r="533">
      <c r="A533" s="5" t="n">
        <v>45942</v>
      </c>
      <c r="B533" t="inlineStr">
        <is>
          <t>meta_retargeting_webinar</t>
        </is>
      </c>
      <c r="C533" t="inlineStr">
        <is>
          <t>meta</t>
        </is>
      </c>
      <c r="D533" t="n">
        <v>10129</v>
      </c>
      <c r="E533" t="n">
        <v>7235</v>
      </c>
      <c r="F533" t="n">
        <v>81</v>
      </c>
      <c r="G533" t="n">
        <v>1</v>
      </c>
      <c r="H533" t="n">
        <v>1</v>
      </c>
      <c r="I533" t="n">
        <v>0</v>
      </c>
      <c r="J533" t="n">
        <v>0</v>
      </c>
    </row>
    <row r="534">
      <c r="A534" s="5" t="n">
        <v>45943</v>
      </c>
      <c r="B534" t="inlineStr">
        <is>
          <t>FB-Broad</t>
        </is>
      </c>
      <c r="C534" t="inlineStr">
        <is>
          <t>meta</t>
        </is>
      </c>
      <c r="D534" t="n">
        <v>16640</v>
      </c>
      <c r="E534" t="n">
        <v>11885</v>
      </c>
      <c r="F534" t="n">
        <v>129</v>
      </c>
      <c r="G534" t="n">
        <v>4</v>
      </c>
      <c r="H534" t="n">
        <v>1</v>
      </c>
      <c r="I534" t="n">
        <v>0</v>
      </c>
      <c r="J534" t="n">
        <v>0</v>
      </c>
    </row>
    <row r="535">
      <c r="A535" s="5" t="n">
        <v>45943</v>
      </c>
      <c r="B535" t="inlineStr">
        <is>
          <t>google_brand_search</t>
        </is>
      </c>
      <c r="C535" t="inlineStr">
        <is>
          <t>google</t>
        </is>
      </c>
      <c r="D535" t="n">
        <v>7223</v>
      </c>
      <c r="E535" t="n">
        <v>1504</v>
      </c>
      <c r="F535" t="n">
        <v>75</v>
      </c>
      <c r="G535" t="n">
        <v>4</v>
      </c>
      <c r="H535" t="n">
        <v>0</v>
      </c>
      <c r="I535" t="n">
        <v>0</v>
      </c>
      <c r="J535" t="n">
        <v>0</v>
      </c>
    </row>
    <row r="536">
      <c r="A536" s="5" t="n">
        <v>45943</v>
      </c>
      <c r="B536" t="inlineStr">
        <is>
          <t>google_nonbrand_growth</t>
        </is>
      </c>
      <c r="C536" t="inlineStr">
        <is>
          <t>google</t>
        </is>
      </c>
      <c r="D536" t="n">
        <v>22961</v>
      </c>
      <c r="E536" t="n">
        <v>4783</v>
      </c>
      <c r="F536" t="n">
        <v>283</v>
      </c>
      <c r="G536" t="n">
        <v>6</v>
      </c>
      <c r="H536" t="n">
        <v>1</v>
      </c>
      <c r="I536" t="n">
        <v>0</v>
      </c>
      <c r="J536" t="n">
        <v>0</v>
      </c>
    </row>
    <row r="537">
      <c r="A537" s="5" t="n">
        <v>45943</v>
      </c>
      <c r="B537" t="inlineStr">
        <is>
          <t>linkedin_ceo_abm</t>
        </is>
      </c>
      <c r="C537" t="inlineStr">
        <is>
          <t>linkedin</t>
        </is>
      </c>
      <c r="D537" t="n">
        <v>26727</v>
      </c>
      <c r="E537" t="n">
        <v>5139</v>
      </c>
      <c r="F537" t="n">
        <v>31</v>
      </c>
      <c r="G537" t="n">
        <v>5</v>
      </c>
      <c r="H537" t="n">
        <v>2</v>
      </c>
      <c r="I537" t="n">
        <v>1</v>
      </c>
      <c r="J537" t="n">
        <v>0</v>
      </c>
    </row>
    <row r="538">
      <c r="A538" s="5" t="n">
        <v>45943</v>
      </c>
      <c r="B538" t="inlineStr">
        <is>
          <t>meta_prospecting_founder</t>
        </is>
      </c>
      <c r="C538" t="inlineStr">
        <is>
          <t>meta</t>
        </is>
      </c>
      <c r="D538" t="n">
        <v>30026</v>
      </c>
      <c r="E538" t="n">
        <v>21447</v>
      </c>
      <c r="F538" t="n">
        <v>209</v>
      </c>
      <c r="G538" t="n">
        <v>6</v>
      </c>
      <c r="H538" t="n">
        <v>1</v>
      </c>
      <c r="I538" t="n">
        <v>2</v>
      </c>
      <c r="J538" t="n">
        <v>0</v>
      </c>
    </row>
    <row r="539">
      <c r="A539" s="5" t="n">
        <v>45943</v>
      </c>
      <c r="B539" t="inlineStr">
        <is>
          <t>meta_retargeting_webinar</t>
        </is>
      </c>
      <c r="C539" t="inlineStr">
        <is>
          <t>meta</t>
        </is>
      </c>
      <c r="D539" t="n">
        <v>8832</v>
      </c>
      <c r="E539" t="n">
        <v>6308</v>
      </c>
      <c r="F539" t="n">
        <v>62</v>
      </c>
      <c r="G539" t="n">
        <v>2</v>
      </c>
      <c r="H539" t="n">
        <v>0</v>
      </c>
      <c r="I539" t="n">
        <v>1</v>
      </c>
      <c r="J539" t="n">
        <v>0</v>
      </c>
    </row>
    <row r="540">
      <c r="A540" s="5" t="n">
        <v>45944</v>
      </c>
      <c r="B540" t="inlineStr">
        <is>
          <t>FB-Broad</t>
        </is>
      </c>
      <c r="C540" t="inlineStr">
        <is>
          <t>meta</t>
        </is>
      </c>
      <c r="D540" t="n">
        <v>18035</v>
      </c>
      <c r="E540" t="n">
        <v>12882</v>
      </c>
      <c r="F540" t="n">
        <v>139</v>
      </c>
      <c r="G540" t="n">
        <v>6</v>
      </c>
      <c r="H540" t="n">
        <v>1</v>
      </c>
      <c r="I540" t="n">
        <v>1</v>
      </c>
      <c r="J540" t="n">
        <v>0</v>
      </c>
    </row>
    <row r="541">
      <c r="A541" s="5" t="n">
        <v>45944</v>
      </c>
      <c r="B541" t="inlineStr">
        <is>
          <t>google_brand_search</t>
        </is>
      </c>
      <c r="C541" t="inlineStr">
        <is>
          <t>google</t>
        </is>
      </c>
      <c r="D541" t="n">
        <v>6844</v>
      </c>
      <c r="E541" t="n">
        <v>1425</v>
      </c>
      <c r="F541" t="n">
        <v>80</v>
      </c>
      <c r="G541" t="n">
        <v>5</v>
      </c>
      <c r="H541" t="n">
        <v>2</v>
      </c>
      <c r="I541" t="n">
        <v>0</v>
      </c>
      <c r="J541" t="n">
        <v>0</v>
      </c>
    </row>
    <row r="542">
      <c r="A542" s="5" t="n">
        <v>45944</v>
      </c>
      <c r="B542" t="inlineStr">
        <is>
          <t>google_nonbrand_growth</t>
        </is>
      </c>
      <c r="C542" t="inlineStr">
        <is>
          <t>google</t>
        </is>
      </c>
      <c r="D542" t="n">
        <v>20602</v>
      </c>
      <c r="E542" t="n">
        <v>4292</v>
      </c>
      <c r="F542" t="n">
        <v>211</v>
      </c>
      <c r="G542" t="n">
        <v>0</v>
      </c>
      <c r="H542" t="n">
        <v>2</v>
      </c>
      <c r="I542" t="n">
        <v>1</v>
      </c>
      <c r="J542" t="n">
        <v>0</v>
      </c>
    </row>
    <row r="543">
      <c r="A543" s="5" t="n">
        <v>45944</v>
      </c>
      <c r="B543" t="inlineStr">
        <is>
          <t>linkedin_ceo_abm</t>
        </is>
      </c>
      <c r="C543" t="inlineStr">
        <is>
          <t>linkedin</t>
        </is>
      </c>
      <c r="D543" t="n">
        <v>23391</v>
      </c>
      <c r="E543" t="n">
        <v>4498</v>
      </c>
      <c r="F543" t="n">
        <v>31</v>
      </c>
      <c r="G543" t="n">
        <v>0</v>
      </c>
      <c r="H543" t="n">
        <v>2</v>
      </c>
      <c r="I543" t="n">
        <v>1</v>
      </c>
      <c r="J543" t="n">
        <v>0</v>
      </c>
    </row>
    <row r="544">
      <c r="A544" s="5" t="n">
        <v>45944</v>
      </c>
      <c r="B544" t="inlineStr">
        <is>
          <t>meta_prospecting_founder</t>
        </is>
      </c>
      <c r="C544" t="inlineStr">
        <is>
          <t>meta</t>
        </is>
      </c>
      <c r="D544" t="n">
        <v>32919</v>
      </c>
      <c r="E544" t="n">
        <v>23513</v>
      </c>
      <c r="F544" t="n">
        <v>256</v>
      </c>
      <c r="G544" t="n">
        <v>8</v>
      </c>
      <c r="H544" t="n">
        <v>1</v>
      </c>
      <c r="I544" t="n">
        <v>0</v>
      </c>
      <c r="J544" t="n">
        <v>0</v>
      </c>
    </row>
    <row r="545">
      <c r="A545" s="5" t="n">
        <v>45944</v>
      </c>
      <c r="B545" t="inlineStr">
        <is>
          <t>meta_retargeting_webinar</t>
        </is>
      </c>
      <c r="C545" t="inlineStr">
        <is>
          <t>meta</t>
        </is>
      </c>
      <c r="D545" t="n">
        <v>9462</v>
      </c>
      <c r="E545" t="n">
        <v>6758</v>
      </c>
      <c r="F545" t="n">
        <v>72</v>
      </c>
      <c r="G545" t="n">
        <v>3</v>
      </c>
      <c r="H545" t="n">
        <v>2</v>
      </c>
      <c r="I545" t="n">
        <v>0</v>
      </c>
      <c r="J545" t="n">
        <v>0</v>
      </c>
    </row>
    <row r="546">
      <c r="A546" s="5" t="n">
        <v>45945</v>
      </c>
      <c r="B546" t="inlineStr">
        <is>
          <t>FB-Broad</t>
        </is>
      </c>
      <c r="C546" t="inlineStr">
        <is>
          <t>meta</t>
        </is>
      </c>
      <c r="D546" t="n">
        <v>15830</v>
      </c>
      <c r="E546" t="n">
        <v>11307</v>
      </c>
      <c r="F546" t="n">
        <v>138</v>
      </c>
      <c r="G546" t="n">
        <v>8</v>
      </c>
      <c r="H546" t="n">
        <v>2</v>
      </c>
      <c r="I546" t="n">
        <v>0</v>
      </c>
      <c r="J546" t="n">
        <v>0</v>
      </c>
    </row>
    <row r="547">
      <c r="A547" s="5" t="n">
        <v>45945</v>
      </c>
      <c r="B547" t="inlineStr">
        <is>
          <t>google_brand_search</t>
        </is>
      </c>
      <c r="C547" t="inlineStr">
        <is>
          <t>google</t>
        </is>
      </c>
      <c r="D547" t="n">
        <v>6819</v>
      </c>
      <c r="E547" t="n">
        <v>1420</v>
      </c>
      <c r="F547" t="n">
        <v>81</v>
      </c>
      <c r="G547" t="n">
        <v>7</v>
      </c>
      <c r="H547" t="n">
        <v>1</v>
      </c>
      <c r="I547" t="n">
        <v>0</v>
      </c>
      <c r="J547" t="n">
        <v>0</v>
      </c>
    </row>
    <row r="548">
      <c r="A548" s="5" t="n">
        <v>45945</v>
      </c>
      <c r="B548" t="inlineStr">
        <is>
          <t>google_nonbrand_growth</t>
        </is>
      </c>
      <c r="C548" t="inlineStr">
        <is>
          <t>google</t>
        </is>
      </c>
      <c r="D548" t="n">
        <v>21594</v>
      </c>
      <c r="E548" t="n">
        <v>4498</v>
      </c>
      <c r="F548" t="n">
        <v>215</v>
      </c>
      <c r="G548" t="n">
        <v>0</v>
      </c>
      <c r="H548" t="n">
        <v>2</v>
      </c>
      <c r="I548" t="n">
        <v>0</v>
      </c>
      <c r="J548" t="n">
        <v>0</v>
      </c>
    </row>
    <row r="549">
      <c r="A549" s="5" t="n">
        <v>45945</v>
      </c>
      <c r="B549" t="inlineStr">
        <is>
          <t>linkedin_ceo_abm</t>
        </is>
      </c>
      <c r="C549" t="inlineStr">
        <is>
          <t>linkedin</t>
        </is>
      </c>
      <c r="D549" t="n">
        <v>23418</v>
      </c>
      <c r="E549" t="n">
        <v>4503</v>
      </c>
      <c r="F549" t="n">
        <v>32</v>
      </c>
      <c r="G549" t="n">
        <v>1</v>
      </c>
      <c r="H549" t="n">
        <v>0</v>
      </c>
      <c r="I549" t="n">
        <v>2</v>
      </c>
      <c r="J549" t="n">
        <v>0</v>
      </c>
    </row>
    <row r="550">
      <c r="A550" s="5" t="n">
        <v>45945</v>
      </c>
      <c r="B550" t="inlineStr">
        <is>
          <t>meta_prospecting_founder</t>
        </is>
      </c>
      <c r="C550" t="inlineStr">
        <is>
          <t>meta</t>
        </is>
      </c>
      <c r="D550" t="n">
        <v>35283</v>
      </c>
      <c r="E550" t="n">
        <v>25202</v>
      </c>
      <c r="F550" t="n">
        <v>296</v>
      </c>
      <c r="G550" t="n">
        <v>6</v>
      </c>
      <c r="H550" t="n">
        <v>2</v>
      </c>
      <c r="I550" t="n">
        <v>0</v>
      </c>
      <c r="J550" t="n">
        <v>0</v>
      </c>
    </row>
    <row r="551">
      <c r="A551" s="5" t="n">
        <v>45945</v>
      </c>
      <c r="B551" t="inlineStr">
        <is>
          <t>meta_retargeting_webinar</t>
        </is>
      </c>
      <c r="C551" t="inlineStr">
        <is>
          <t>meta</t>
        </is>
      </c>
      <c r="D551" t="n">
        <v>10081</v>
      </c>
      <c r="E551" t="n">
        <v>7200</v>
      </c>
      <c r="F551" t="n">
        <v>82</v>
      </c>
      <c r="G551" t="n">
        <v>5</v>
      </c>
      <c r="H551" t="n">
        <v>0</v>
      </c>
      <c r="I551" t="n">
        <v>0</v>
      </c>
      <c r="J551" t="n">
        <v>0</v>
      </c>
    </row>
    <row r="552">
      <c r="A552" s="5" t="n">
        <v>45946</v>
      </c>
      <c r="B552" t="inlineStr">
        <is>
          <t>FB-Broad</t>
        </is>
      </c>
      <c r="C552" t="inlineStr">
        <is>
          <t>meta</t>
        </is>
      </c>
      <c r="D552" t="n">
        <v>15858</v>
      </c>
      <c r="E552" t="n">
        <v>11327</v>
      </c>
      <c r="F552" t="n">
        <v>125</v>
      </c>
      <c r="G552" t="n">
        <v>0</v>
      </c>
      <c r="H552" t="n">
        <v>3</v>
      </c>
      <c r="I552" t="n">
        <v>1</v>
      </c>
      <c r="J552" t="n">
        <v>0</v>
      </c>
    </row>
    <row r="553">
      <c r="A553" s="5" t="n">
        <v>45946</v>
      </c>
      <c r="B553" t="inlineStr">
        <is>
          <t>google_brand_search</t>
        </is>
      </c>
      <c r="C553" t="inlineStr">
        <is>
          <t>google</t>
        </is>
      </c>
      <c r="D553" t="n">
        <v>6697</v>
      </c>
      <c r="E553" t="n">
        <v>1395</v>
      </c>
      <c r="F553" t="n">
        <v>80</v>
      </c>
      <c r="G553" t="n">
        <v>4</v>
      </c>
      <c r="H553" t="n">
        <v>5</v>
      </c>
      <c r="I553" t="n">
        <v>0</v>
      </c>
      <c r="J553" t="n">
        <v>0</v>
      </c>
    </row>
    <row r="554">
      <c r="A554" s="5" t="n">
        <v>45946</v>
      </c>
      <c r="B554" t="inlineStr">
        <is>
          <t>google_nonbrand_growth</t>
        </is>
      </c>
      <c r="C554" t="inlineStr">
        <is>
          <t>google</t>
        </is>
      </c>
      <c r="D554" t="n">
        <v>24406</v>
      </c>
      <c r="E554" t="n">
        <v>5084</v>
      </c>
      <c r="F554" t="n">
        <v>289</v>
      </c>
      <c r="G554" t="n">
        <v>2</v>
      </c>
      <c r="H554" t="n">
        <v>0</v>
      </c>
      <c r="I554" t="n">
        <v>0</v>
      </c>
      <c r="J554" t="n">
        <v>0</v>
      </c>
    </row>
    <row r="555">
      <c r="A555" s="5" t="n">
        <v>45946</v>
      </c>
      <c r="B555" t="inlineStr">
        <is>
          <t>linkedin_ceo_abm</t>
        </is>
      </c>
      <c r="C555" t="inlineStr">
        <is>
          <t>linkedin</t>
        </is>
      </c>
      <c r="D555" t="n">
        <v>23021</v>
      </c>
      <c r="E555" t="n">
        <v>4427</v>
      </c>
      <c r="F555" t="n">
        <v>30</v>
      </c>
      <c r="G555" t="n">
        <v>0</v>
      </c>
      <c r="H555" t="n">
        <v>0</v>
      </c>
      <c r="I555" t="n">
        <v>0</v>
      </c>
      <c r="J555" t="n">
        <v>0</v>
      </c>
    </row>
    <row r="556">
      <c r="A556" s="5" t="n">
        <v>45946</v>
      </c>
      <c r="B556" t="inlineStr">
        <is>
          <t>meta_prospecting_founder</t>
        </is>
      </c>
      <c r="C556" t="inlineStr">
        <is>
          <t>meta</t>
        </is>
      </c>
      <c r="D556" t="n">
        <v>34576</v>
      </c>
      <c r="E556" t="n">
        <v>24697</v>
      </c>
      <c r="F556" t="n">
        <v>311</v>
      </c>
      <c r="G556" t="n">
        <v>10</v>
      </c>
      <c r="H556" t="n">
        <v>4</v>
      </c>
      <c r="I556" t="n">
        <v>1</v>
      </c>
      <c r="J556" t="n">
        <v>0</v>
      </c>
    </row>
    <row r="557">
      <c r="A557" s="5" t="n">
        <v>45946</v>
      </c>
      <c r="B557" t="inlineStr">
        <is>
          <t>meta_retargeting_webinar</t>
        </is>
      </c>
      <c r="C557" t="inlineStr">
        <is>
          <t>meta</t>
        </is>
      </c>
      <c r="D557" t="n">
        <v>8911</v>
      </c>
      <c r="E557" t="n">
        <v>6365</v>
      </c>
      <c r="F557" t="n">
        <v>62</v>
      </c>
      <c r="G557" t="n">
        <v>0</v>
      </c>
      <c r="H557" t="n">
        <v>1</v>
      </c>
      <c r="I557" t="n">
        <v>1</v>
      </c>
      <c r="J557" t="n">
        <v>0</v>
      </c>
    </row>
    <row r="558">
      <c r="A558" s="5" t="n">
        <v>45947</v>
      </c>
      <c r="B558" t="inlineStr">
        <is>
          <t>FB-Broad</t>
        </is>
      </c>
      <c r="C558" t="inlineStr">
        <is>
          <t>meta</t>
        </is>
      </c>
      <c r="D558" t="n">
        <v>17934</v>
      </c>
      <c r="E558" t="n">
        <v>12810</v>
      </c>
      <c r="F558" t="n">
        <v>137</v>
      </c>
      <c r="G558" t="n">
        <v>8</v>
      </c>
      <c r="H558" t="n">
        <v>0</v>
      </c>
      <c r="I558" t="n">
        <v>1</v>
      </c>
      <c r="J558" t="n">
        <v>0</v>
      </c>
    </row>
    <row r="559">
      <c r="A559" s="5" t="n">
        <v>45947</v>
      </c>
      <c r="B559" t="inlineStr">
        <is>
          <t>google_brand_search</t>
        </is>
      </c>
      <c r="C559" t="inlineStr">
        <is>
          <t>google</t>
        </is>
      </c>
      <c r="D559" t="n">
        <v>6235</v>
      </c>
      <c r="E559" t="n">
        <v>1298</v>
      </c>
      <c r="F559" t="n">
        <v>68</v>
      </c>
      <c r="G559" t="n">
        <v>0</v>
      </c>
      <c r="H559" t="n">
        <v>1</v>
      </c>
      <c r="I559" t="n">
        <v>2</v>
      </c>
      <c r="J559" t="n">
        <v>0</v>
      </c>
    </row>
    <row r="560">
      <c r="A560" s="5" t="n">
        <v>45947</v>
      </c>
      <c r="B560" t="inlineStr">
        <is>
          <t>google_nonbrand_growth</t>
        </is>
      </c>
      <c r="C560" t="inlineStr">
        <is>
          <t>google</t>
        </is>
      </c>
      <c r="D560" t="n">
        <v>21269</v>
      </c>
      <c r="E560" t="n">
        <v>4431</v>
      </c>
      <c r="F560" t="n">
        <v>252</v>
      </c>
      <c r="G560" t="n">
        <v>6</v>
      </c>
      <c r="H560" t="n">
        <v>0</v>
      </c>
      <c r="I560" t="n">
        <v>1</v>
      </c>
      <c r="J560" t="n">
        <v>0</v>
      </c>
    </row>
    <row r="561">
      <c r="A561" s="5" t="n">
        <v>45947</v>
      </c>
      <c r="B561" t="inlineStr">
        <is>
          <t>linkedin_ceo_abm</t>
        </is>
      </c>
      <c r="C561" t="inlineStr">
        <is>
          <t>linkedin</t>
        </is>
      </c>
      <c r="D561" t="n">
        <v>25851</v>
      </c>
      <c r="E561" t="n">
        <v>4971</v>
      </c>
      <c r="F561" t="n">
        <v>34</v>
      </c>
      <c r="G561" t="n">
        <v>1</v>
      </c>
      <c r="H561" t="n">
        <v>0</v>
      </c>
      <c r="I561" t="n">
        <v>0</v>
      </c>
      <c r="J561" t="n">
        <v>0</v>
      </c>
    </row>
    <row r="562">
      <c r="A562" s="5" t="n">
        <v>45947</v>
      </c>
      <c r="B562" t="inlineStr">
        <is>
          <t>meta_prospecting_founder</t>
        </is>
      </c>
      <c r="C562" t="inlineStr">
        <is>
          <t>meta</t>
        </is>
      </c>
      <c r="D562" t="n">
        <v>34993</v>
      </c>
      <c r="E562" t="n">
        <v>24995</v>
      </c>
      <c r="F562" t="n">
        <v>276</v>
      </c>
      <c r="G562" t="n">
        <v>10</v>
      </c>
      <c r="H562" t="n">
        <v>2</v>
      </c>
      <c r="I562" t="n">
        <v>2</v>
      </c>
      <c r="J562" t="n">
        <v>0</v>
      </c>
    </row>
    <row r="563">
      <c r="A563" s="5" t="n">
        <v>45947</v>
      </c>
      <c r="B563" t="inlineStr">
        <is>
          <t>meta_retargeting_webinar</t>
        </is>
      </c>
      <c r="C563" t="inlineStr">
        <is>
          <t>meta</t>
        </is>
      </c>
      <c r="D563" t="n">
        <v>9415</v>
      </c>
      <c r="E563" t="n">
        <v>6725</v>
      </c>
      <c r="F563" t="n">
        <v>71</v>
      </c>
      <c r="G563" t="n">
        <v>3</v>
      </c>
      <c r="H563" t="n">
        <v>0</v>
      </c>
      <c r="I563" t="n">
        <v>0</v>
      </c>
      <c r="J563" t="n">
        <v>0</v>
      </c>
    </row>
    <row r="564">
      <c r="A564" s="5" t="n">
        <v>45948</v>
      </c>
      <c r="B564" t="inlineStr">
        <is>
          <t>FB-Broad</t>
        </is>
      </c>
      <c r="C564" t="inlineStr">
        <is>
          <t>meta</t>
        </is>
      </c>
      <c r="D564" t="n">
        <v>16903</v>
      </c>
      <c r="E564" t="n">
        <v>12073</v>
      </c>
      <c r="F564" t="n">
        <v>125</v>
      </c>
      <c r="G564" t="n">
        <v>1</v>
      </c>
      <c r="H564" t="n">
        <v>0</v>
      </c>
      <c r="I564" t="n">
        <v>0</v>
      </c>
      <c r="J564" t="n">
        <v>0</v>
      </c>
    </row>
    <row r="565">
      <c r="A565" s="5" t="n">
        <v>45948</v>
      </c>
      <c r="B565" t="inlineStr">
        <is>
          <t>google_brand_search</t>
        </is>
      </c>
      <c r="C565" t="inlineStr">
        <is>
          <t>google</t>
        </is>
      </c>
      <c r="D565" t="n">
        <v>6511</v>
      </c>
      <c r="E565" t="n">
        <v>1356</v>
      </c>
      <c r="F565" t="n">
        <v>62</v>
      </c>
      <c r="G565" t="n">
        <v>6</v>
      </c>
      <c r="H565" t="n">
        <v>2</v>
      </c>
      <c r="I565" t="n">
        <v>1</v>
      </c>
      <c r="J565" t="n">
        <v>0</v>
      </c>
    </row>
    <row r="566">
      <c r="A566" s="5" t="n">
        <v>45948</v>
      </c>
      <c r="B566" t="inlineStr">
        <is>
          <t>google_nonbrand_growth</t>
        </is>
      </c>
      <c r="C566" t="inlineStr">
        <is>
          <t>google</t>
        </is>
      </c>
      <c r="D566" t="n">
        <v>24545</v>
      </c>
      <c r="E566" t="n">
        <v>5113</v>
      </c>
      <c r="F566" t="n">
        <v>274</v>
      </c>
      <c r="G566" t="n">
        <v>4</v>
      </c>
      <c r="H566" t="n">
        <v>1</v>
      </c>
      <c r="I566" t="n">
        <v>0</v>
      </c>
      <c r="J566" t="n">
        <v>0</v>
      </c>
    </row>
    <row r="567">
      <c r="A567" s="5" t="n">
        <v>45948</v>
      </c>
      <c r="B567" t="inlineStr">
        <is>
          <t>linkedin_ceo_abm</t>
        </is>
      </c>
      <c r="C567" t="inlineStr">
        <is>
          <t>linkedin</t>
        </is>
      </c>
      <c r="D567" t="n">
        <v>23375</v>
      </c>
      <c r="E567" t="n">
        <v>4495</v>
      </c>
      <c r="F567" t="n">
        <v>31</v>
      </c>
      <c r="G567" t="n">
        <v>1</v>
      </c>
      <c r="H567" t="n">
        <v>0</v>
      </c>
      <c r="I567" t="n">
        <v>0</v>
      </c>
      <c r="J567" t="n">
        <v>0</v>
      </c>
    </row>
    <row r="568">
      <c r="A568" s="5" t="n">
        <v>45948</v>
      </c>
      <c r="B568" t="inlineStr">
        <is>
          <t>meta_prospecting_founder</t>
        </is>
      </c>
      <c r="C568" t="inlineStr">
        <is>
          <t>meta</t>
        </is>
      </c>
      <c r="D568" t="n">
        <v>33772</v>
      </c>
      <c r="E568" t="n">
        <v>24122</v>
      </c>
      <c r="F568" t="n">
        <v>303</v>
      </c>
      <c r="G568" t="n">
        <v>4</v>
      </c>
      <c r="H568" t="n">
        <v>2</v>
      </c>
      <c r="I568" t="n">
        <v>0</v>
      </c>
      <c r="J568" t="n">
        <v>0</v>
      </c>
    </row>
    <row r="569">
      <c r="A569" s="5" t="n">
        <v>45948</v>
      </c>
      <c r="B569" t="inlineStr">
        <is>
          <t>meta_retargeting_webinar</t>
        </is>
      </c>
      <c r="C569" t="inlineStr">
        <is>
          <t>meta</t>
        </is>
      </c>
      <c r="D569" t="n">
        <v>9985</v>
      </c>
      <c r="E569" t="n">
        <v>7132</v>
      </c>
      <c r="F569" t="n">
        <v>80</v>
      </c>
      <c r="G569" t="n">
        <v>3</v>
      </c>
      <c r="H569" t="n">
        <v>0</v>
      </c>
      <c r="I569" t="n">
        <v>0</v>
      </c>
      <c r="J569" t="n">
        <v>0</v>
      </c>
    </row>
    <row r="570">
      <c r="A570" s="5" t="n">
        <v>45949</v>
      </c>
      <c r="B570" t="inlineStr">
        <is>
          <t>FB-Broad</t>
        </is>
      </c>
      <c r="C570" t="inlineStr">
        <is>
          <t>meta</t>
        </is>
      </c>
      <c r="D570" t="n">
        <v>15982</v>
      </c>
      <c r="E570" t="n">
        <v>11415</v>
      </c>
      <c r="F570" t="n">
        <v>140</v>
      </c>
      <c r="G570" t="n">
        <v>5</v>
      </c>
      <c r="H570" t="n">
        <v>0</v>
      </c>
      <c r="I570" t="n">
        <v>1</v>
      </c>
      <c r="J570" t="n">
        <v>0</v>
      </c>
    </row>
    <row r="571">
      <c r="A571" s="5" t="n">
        <v>45949</v>
      </c>
      <c r="B571" t="inlineStr">
        <is>
          <t>google_brand_search</t>
        </is>
      </c>
      <c r="C571" t="inlineStr">
        <is>
          <t>google</t>
        </is>
      </c>
      <c r="D571" t="n">
        <v>7171</v>
      </c>
      <c r="E571" t="n">
        <v>1493</v>
      </c>
      <c r="F571" t="n">
        <v>86</v>
      </c>
      <c r="G571" t="n">
        <v>2</v>
      </c>
      <c r="H571" t="n">
        <v>1</v>
      </c>
      <c r="I571" t="n">
        <v>0</v>
      </c>
      <c r="J571" t="n">
        <v>0</v>
      </c>
    </row>
    <row r="572">
      <c r="A572" s="5" t="n">
        <v>45949</v>
      </c>
      <c r="B572" t="inlineStr">
        <is>
          <t>google_nonbrand_growth</t>
        </is>
      </c>
      <c r="C572" t="inlineStr">
        <is>
          <t>google</t>
        </is>
      </c>
      <c r="D572" t="n">
        <v>20769</v>
      </c>
      <c r="E572" t="n">
        <v>4326</v>
      </c>
      <c r="F572" t="n">
        <v>252</v>
      </c>
      <c r="G572" t="n">
        <v>3</v>
      </c>
      <c r="H572" t="n">
        <v>1</v>
      </c>
      <c r="I572" t="n">
        <v>0</v>
      </c>
      <c r="J572" t="n">
        <v>0</v>
      </c>
    </row>
    <row r="573">
      <c r="A573" s="5" t="n">
        <v>45949</v>
      </c>
      <c r="B573" t="inlineStr">
        <is>
          <t>linkedin_ceo_abm</t>
        </is>
      </c>
      <c r="C573" t="inlineStr">
        <is>
          <t>linkedin</t>
        </is>
      </c>
      <c r="D573" t="n">
        <v>26103</v>
      </c>
      <c r="E573" t="n">
        <v>5019</v>
      </c>
      <c r="F573" t="n">
        <v>30</v>
      </c>
      <c r="G573" t="n">
        <v>2</v>
      </c>
      <c r="H573" t="n">
        <v>0</v>
      </c>
      <c r="I573" t="n">
        <v>0</v>
      </c>
      <c r="J573" t="n">
        <v>0</v>
      </c>
    </row>
    <row r="574">
      <c r="A574" s="5" t="n">
        <v>45949</v>
      </c>
      <c r="B574" t="inlineStr">
        <is>
          <t>meta_prospecting_founder</t>
        </is>
      </c>
      <c r="C574" t="inlineStr">
        <is>
          <t>meta</t>
        </is>
      </c>
      <c r="D574" t="n">
        <v>35003</v>
      </c>
      <c r="E574" t="n">
        <v>25002</v>
      </c>
      <c r="F574" t="n">
        <v>262</v>
      </c>
      <c r="G574" t="n">
        <v>5</v>
      </c>
      <c r="H574" t="n">
        <v>4</v>
      </c>
      <c r="I574" t="n">
        <v>3</v>
      </c>
      <c r="J574" t="n">
        <v>0</v>
      </c>
    </row>
    <row r="575">
      <c r="A575" s="5" t="n">
        <v>45949</v>
      </c>
      <c r="B575" t="inlineStr">
        <is>
          <t>meta_retargeting_webinar</t>
        </is>
      </c>
      <c r="C575" t="inlineStr">
        <is>
          <t>meta</t>
        </is>
      </c>
      <c r="D575" t="n">
        <v>8434</v>
      </c>
      <c r="E575" t="n">
        <v>6024</v>
      </c>
      <c r="F575" t="n">
        <v>66</v>
      </c>
      <c r="G575" t="n">
        <v>2</v>
      </c>
      <c r="H575" t="n">
        <v>0</v>
      </c>
      <c r="I575" t="n">
        <v>0</v>
      </c>
      <c r="J575" t="n">
        <v>0</v>
      </c>
    </row>
    <row r="576">
      <c r="A576" s="5" t="n">
        <v>45950</v>
      </c>
      <c r="B576" t="inlineStr">
        <is>
          <t>FB-Broad</t>
        </is>
      </c>
      <c r="C576" t="inlineStr">
        <is>
          <t>meta</t>
        </is>
      </c>
      <c r="D576" t="n">
        <v>16390</v>
      </c>
      <c r="E576" t="n">
        <v>11707</v>
      </c>
      <c r="F576" t="n">
        <v>145</v>
      </c>
      <c r="G576" t="n">
        <v>1</v>
      </c>
      <c r="H576" t="n">
        <v>0</v>
      </c>
      <c r="I576" t="n">
        <v>0</v>
      </c>
      <c r="J576" t="n">
        <v>0</v>
      </c>
    </row>
    <row r="577">
      <c r="A577" s="5" t="n">
        <v>45950</v>
      </c>
      <c r="B577" t="inlineStr">
        <is>
          <t>google_brand_search</t>
        </is>
      </c>
      <c r="C577" t="inlineStr">
        <is>
          <t>google</t>
        </is>
      </c>
      <c r="D577" t="n">
        <v>7036</v>
      </c>
      <c r="E577" t="n">
        <v>1465</v>
      </c>
      <c r="F577" t="n">
        <v>70</v>
      </c>
      <c r="G577" t="n">
        <v>5</v>
      </c>
      <c r="H577" t="n">
        <v>2</v>
      </c>
      <c r="I577" t="n">
        <v>1</v>
      </c>
      <c r="J577" t="n">
        <v>0</v>
      </c>
    </row>
    <row r="578">
      <c r="A578" s="5" t="n">
        <v>45950</v>
      </c>
      <c r="B578" t="inlineStr">
        <is>
          <t>google_nonbrand_growth</t>
        </is>
      </c>
      <c r="C578" t="inlineStr">
        <is>
          <t>google</t>
        </is>
      </c>
      <c r="D578" t="n">
        <v>22598</v>
      </c>
      <c r="E578" t="n">
        <v>4707</v>
      </c>
      <c r="F578" t="n">
        <v>257</v>
      </c>
      <c r="G578" t="n">
        <v>3</v>
      </c>
      <c r="H578" t="n">
        <v>3</v>
      </c>
      <c r="I578" t="n">
        <v>0</v>
      </c>
      <c r="J578" t="n">
        <v>0</v>
      </c>
    </row>
    <row r="579">
      <c r="A579" s="5" t="n">
        <v>45950</v>
      </c>
      <c r="B579" t="inlineStr">
        <is>
          <t>linkedin_ceo_abm</t>
        </is>
      </c>
      <c r="C579" t="inlineStr">
        <is>
          <t>linkedin</t>
        </is>
      </c>
      <c r="D579" t="n">
        <v>26937</v>
      </c>
      <c r="E579" t="n">
        <v>5180</v>
      </c>
      <c r="F579" t="n">
        <v>29</v>
      </c>
      <c r="G579" t="n">
        <v>3</v>
      </c>
      <c r="H579" t="n">
        <v>0</v>
      </c>
      <c r="I579" t="n">
        <v>0</v>
      </c>
      <c r="J579" t="n">
        <v>1</v>
      </c>
    </row>
    <row r="580">
      <c r="A580" s="5" t="n">
        <v>45950</v>
      </c>
      <c r="B580" t="inlineStr">
        <is>
          <t>meta_prospecting_founder</t>
        </is>
      </c>
      <c r="C580" t="inlineStr">
        <is>
          <t>meta</t>
        </is>
      </c>
      <c r="D580" t="n">
        <v>30855</v>
      </c>
      <c r="E580" t="n">
        <v>22039</v>
      </c>
      <c r="F580" t="n">
        <v>256</v>
      </c>
      <c r="G580" t="n">
        <v>3</v>
      </c>
      <c r="H580" t="n">
        <v>2</v>
      </c>
      <c r="I580" t="n">
        <v>0</v>
      </c>
      <c r="J580" t="n">
        <v>0</v>
      </c>
    </row>
    <row r="581">
      <c r="A581" s="5" t="n">
        <v>45950</v>
      </c>
      <c r="B581" t="inlineStr">
        <is>
          <t>meta_retargeting_webinar</t>
        </is>
      </c>
      <c r="C581" t="inlineStr">
        <is>
          <t>meta</t>
        </is>
      </c>
      <c r="D581" t="n">
        <v>9517</v>
      </c>
      <c r="E581" t="n">
        <v>6797</v>
      </c>
      <c r="F581" t="n">
        <v>75</v>
      </c>
      <c r="G581" t="n">
        <v>4</v>
      </c>
      <c r="H581" t="n">
        <v>0</v>
      </c>
      <c r="I581" t="n">
        <v>0</v>
      </c>
      <c r="J581" t="n">
        <v>0</v>
      </c>
    </row>
    <row r="582">
      <c r="A582" s="5" t="n">
        <v>45951</v>
      </c>
      <c r="B582" t="inlineStr">
        <is>
          <t>FB-Broad</t>
        </is>
      </c>
      <c r="C582" t="inlineStr">
        <is>
          <t>meta</t>
        </is>
      </c>
      <c r="D582" t="n">
        <v>17563</v>
      </c>
      <c r="E582" t="n">
        <v>12545</v>
      </c>
      <c r="F582" t="n">
        <v>148</v>
      </c>
      <c r="G582" t="n">
        <v>11</v>
      </c>
      <c r="H582" t="n">
        <v>0</v>
      </c>
      <c r="I582" t="n">
        <v>0</v>
      </c>
      <c r="J582" t="n">
        <v>0</v>
      </c>
    </row>
    <row r="583">
      <c r="A583" s="5" t="n">
        <v>45951</v>
      </c>
      <c r="B583" t="inlineStr">
        <is>
          <t>google_brand_search</t>
        </is>
      </c>
      <c r="C583" t="inlineStr">
        <is>
          <t>google</t>
        </is>
      </c>
      <c r="D583" t="n">
        <v>6888</v>
      </c>
      <c r="E583" t="n">
        <v>1434</v>
      </c>
      <c r="F583" t="n">
        <v>83</v>
      </c>
      <c r="G583" t="n">
        <v>0</v>
      </c>
      <c r="H583" t="n">
        <v>0</v>
      </c>
      <c r="I583" t="n">
        <v>0</v>
      </c>
      <c r="J583" t="n">
        <v>0</v>
      </c>
    </row>
    <row r="584">
      <c r="A584" s="5" t="n">
        <v>45951</v>
      </c>
      <c r="B584" t="inlineStr">
        <is>
          <t>google_nonbrand_growth</t>
        </is>
      </c>
      <c r="C584" t="inlineStr">
        <is>
          <t>google</t>
        </is>
      </c>
      <c r="D584" t="n">
        <v>20585</v>
      </c>
      <c r="E584" t="n">
        <v>4288</v>
      </c>
      <c r="F584" t="n">
        <v>200</v>
      </c>
      <c r="G584" t="n">
        <v>1</v>
      </c>
      <c r="H584" t="n">
        <v>0</v>
      </c>
      <c r="I584" t="n">
        <v>0</v>
      </c>
      <c r="J584" t="n">
        <v>0</v>
      </c>
    </row>
    <row r="585">
      <c r="A585" s="5" t="n">
        <v>45951</v>
      </c>
      <c r="B585" t="inlineStr">
        <is>
          <t>linkedin_ceo_abm</t>
        </is>
      </c>
      <c r="C585" t="inlineStr">
        <is>
          <t>linkedin</t>
        </is>
      </c>
      <c r="D585" t="n">
        <v>25174</v>
      </c>
      <c r="E585" t="n">
        <v>4841</v>
      </c>
      <c r="F585" t="n">
        <v>31</v>
      </c>
      <c r="G585" t="n">
        <v>2</v>
      </c>
      <c r="H585" t="n">
        <v>2</v>
      </c>
      <c r="I585" t="n">
        <v>0</v>
      </c>
      <c r="J585" t="n">
        <v>0</v>
      </c>
    </row>
    <row r="586">
      <c r="A586" s="5" t="n">
        <v>45951</v>
      </c>
      <c r="B586" t="inlineStr">
        <is>
          <t>meta_prospecting_founder</t>
        </is>
      </c>
      <c r="C586" t="inlineStr">
        <is>
          <t>meta</t>
        </is>
      </c>
      <c r="D586" t="n">
        <v>31850</v>
      </c>
      <c r="E586" t="n">
        <v>22750</v>
      </c>
      <c r="F586" t="n">
        <v>249</v>
      </c>
      <c r="G586" t="n">
        <v>8</v>
      </c>
      <c r="H586" t="n">
        <v>2</v>
      </c>
      <c r="I586" t="n">
        <v>1</v>
      </c>
      <c r="J586" t="n">
        <v>0</v>
      </c>
    </row>
    <row r="587">
      <c r="A587" s="5" t="n">
        <v>45951</v>
      </c>
      <c r="B587" t="inlineStr">
        <is>
          <t>meta_retargeting_webinar</t>
        </is>
      </c>
      <c r="C587" t="inlineStr">
        <is>
          <t>meta</t>
        </is>
      </c>
      <c r="D587" t="n">
        <v>9470</v>
      </c>
      <c r="E587" t="n">
        <v>6764</v>
      </c>
      <c r="F587" t="n">
        <v>82</v>
      </c>
      <c r="G587" t="n">
        <v>3</v>
      </c>
      <c r="H587" t="n">
        <v>1</v>
      </c>
      <c r="I587" t="n">
        <v>1</v>
      </c>
      <c r="J587" t="n">
        <v>0</v>
      </c>
    </row>
    <row r="588">
      <c r="A588" s="5" t="n">
        <v>45952</v>
      </c>
      <c r="B588" t="inlineStr">
        <is>
          <t>FB-Broad</t>
        </is>
      </c>
      <c r="C588" t="inlineStr">
        <is>
          <t>meta</t>
        </is>
      </c>
      <c r="D588" t="n">
        <v>18286</v>
      </c>
      <c r="E588" t="n">
        <v>13061</v>
      </c>
      <c r="F588" t="n">
        <v>139</v>
      </c>
      <c r="G588" t="n">
        <v>6</v>
      </c>
      <c r="H588" t="n">
        <v>1</v>
      </c>
      <c r="I588" t="n">
        <v>0</v>
      </c>
      <c r="J588" t="n">
        <v>0</v>
      </c>
    </row>
    <row r="589">
      <c r="A589" s="5" t="n">
        <v>45952</v>
      </c>
      <c r="B589" t="inlineStr">
        <is>
          <t>google_brand_search</t>
        </is>
      </c>
      <c r="C589" t="inlineStr">
        <is>
          <t>google</t>
        </is>
      </c>
      <c r="D589" t="n">
        <v>7435</v>
      </c>
      <c r="E589" t="n">
        <v>1548</v>
      </c>
      <c r="F589" t="n">
        <v>74</v>
      </c>
      <c r="G589" t="n">
        <v>2</v>
      </c>
      <c r="H589" t="n">
        <v>0</v>
      </c>
      <c r="I589" t="n">
        <v>2</v>
      </c>
      <c r="J589" t="n">
        <v>0</v>
      </c>
    </row>
    <row r="590">
      <c r="A590" s="5" t="n">
        <v>45952</v>
      </c>
      <c r="B590" t="inlineStr">
        <is>
          <t>google_nonbrand_growth</t>
        </is>
      </c>
      <c r="C590" t="inlineStr">
        <is>
          <t>google</t>
        </is>
      </c>
      <c r="D590" t="n">
        <v>22595</v>
      </c>
      <c r="E590" t="n">
        <v>4707</v>
      </c>
      <c r="F590" t="n">
        <v>223</v>
      </c>
      <c r="G590" t="n">
        <v>5</v>
      </c>
      <c r="H590" t="n">
        <v>1</v>
      </c>
      <c r="I590" t="n">
        <v>0</v>
      </c>
      <c r="J590" t="n">
        <v>0</v>
      </c>
    </row>
    <row r="591">
      <c r="A591" s="5" t="n">
        <v>45952</v>
      </c>
      <c r="B591" t="inlineStr">
        <is>
          <t>linkedin_ceo_abm</t>
        </is>
      </c>
      <c r="C591" t="inlineStr">
        <is>
          <t>linkedin</t>
        </is>
      </c>
      <c r="D591" t="n">
        <v>23665</v>
      </c>
      <c r="E591" t="n">
        <v>4550</v>
      </c>
      <c r="F591" t="n">
        <v>26</v>
      </c>
      <c r="G591" t="n">
        <v>3</v>
      </c>
      <c r="H591" t="n">
        <v>0</v>
      </c>
      <c r="I591" t="n">
        <v>0</v>
      </c>
      <c r="J591" t="n">
        <v>0</v>
      </c>
    </row>
    <row r="592">
      <c r="A592" s="5" t="n">
        <v>45952</v>
      </c>
      <c r="B592" t="inlineStr">
        <is>
          <t>meta_prospecting_founder</t>
        </is>
      </c>
      <c r="C592" t="inlineStr">
        <is>
          <t>meta</t>
        </is>
      </c>
      <c r="D592" t="n">
        <v>31107</v>
      </c>
      <c r="E592" t="n">
        <v>22219</v>
      </c>
      <c r="F592" t="n">
        <v>259</v>
      </c>
      <c r="G592" t="n">
        <v>6</v>
      </c>
      <c r="H592" t="n">
        <v>1</v>
      </c>
      <c r="I592" t="n">
        <v>3</v>
      </c>
      <c r="J592" t="n">
        <v>1</v>
      </c>
    </row>
    <row r="593">
      <c r="A593" s="5" t="n">
        <v>45952</v>
      </c>
      <c r="B593" t="inlineStr">
        <is>
          <t>meta_retargeting_webinar</t>
        </is>
      </c>
      <c r="C593" t="inlineStr">
        <is>
          <t>meta</t>
        </is>
      </c>
      <c r="D593" t="n">
        <v>10193</v>
      </c>
      <c r="E593" t="n">
        <v>7280</v>
      </c>
      <c r="F593" t="n">
        <v>74</v>
      </c>
      <c r="G593" t="n">
        <v>4</v>
      </c>
      <c r="H593" t="n">
        <v>0</v>
      </c>
      <c r="I593" t="n">
        <v>0</v>
      </c>
      <c r="J593" t="n">
        <v>0</v>
      </c>
    </row>
    <row r="594">
      <c r="A594" s="5" t="n">
        <v>45953</v>
      </c>
      <c r="B594" t="inlineStr">
        <is>
          <t>FB-Broad</t>
        </is>
      </c>
      <c r="C594" t="inlineStr">
        <is>
          <t>meta</t>
        </is>
      </c>
      <c r="D594" t="n">
        <v>17507</v>
      </c>
      <c r="E594" t="n">
        <v>12504</v>
      </c>
      <c r="F594" t="n">
        <v>123</v>
      </c>
      <c r="G594" t="n">
        <v>6</v>
      </c>
      <c r="H594" t="n">
        <v>2</v>
      </c>
      <c r="I594" t="n">
        <v>0</v>
      </c>
      <c r="J594" t="n">
        <v>0</v>
      </c>
    </row>
    <row r="595">
      <c r="A595" s="5" t="n">
        <v>45953</v>
      </c>
      <c r="B595" t="inlineStr">
        <is>
          <t>google_brand_search</t>
        </is>
      </c>
      <c r="C595" t="inlineStr">
        <is>
          <t>google</t>
        </is>
      </c>
      <c r="D595" t="n">
        <v>7015</v>
      </c>
      <c r="E595" t="n">
        <v>1461</v>
      </c>
      <c r="F595" t="n">
        <v>79</v>
      </c>
      <c r="G595" t="n">
        <v>1</v>
      </c>
      <c r="H595" t="n">
        <v>1</v>
      </c>
      <c r="I595" t="n">
        <v>1</v>
      </c>
      <c r="J595" t="n">
        <v>0</v>
      </c>
    </row>
    <row r="596">
      <c r="A596" s="5" t="n">
        <v>45953</v>
      </c>
      <c r="B596" t="inlineStr">
        <is>
          <t>google_nonbrand_growth</t>
        </is>
      </c>
      <c r="C596" t="inlineStr">
        <is>
          <t>google</t>
        </is>
      </c>
      <c r="D596" t="n">
        <v>22718</v>
      </c>
      <c r="E596" t="n">
        <v>4732</v>
      </c>
      <c r="F596" t="n">
        <v>266</v>
      </c>
      <c r="G596" t="n">
        <v>2</v>
      </c>
      <c r="H596" t="n">
        <v>0</v>
      </c>
      <c r="I596" t="n">
        <v>0</v>
      </c>
      <c r="J596" t="n">
        <v>0</v>
      </c>
    </row>
    <row r="597">
      <c r="A597" s="5" t="n">
        <v>45953</v>
      </c>
      <c r="B597" t="inlineStr">
        <is>
          <t>linkedin_ceo_abm</t>
        </is>
      </c>
      <c r="C597" t="inlineStr">
        <is>
          <t>linkedin</t>
        </is>
      </c>
      <c r="D597" t="n">
        <v>27385</v>
      </c>
      <c r="E597" t="n">
        <v>5266</v>
      </c>
      <c r="F597" t="n">
        <v>31</v>
      </c>
      <c r="G597" t="n">
        <v>3</v>
      </c>
      <c r="H597" t="n">
        <v>1</v>
      </c>
      <c r="I597" t="n">
        <v>0</v>
      </c>
      <c r="J597" t="n">
        <v>0</v>
      </c>
    </row>
    <row r="598">
      <c r="A598" s="5" t="n">
        <v>45953</v>
      </c>
      <c r="B598" t="inlineStr">
        <is>
          <t>meta_prospecting_founder</t>
        </is>
      </c>
      <c r="C598" t="inlineStr">
        <is>
          <t>meta</t>
        </is>
      </c>
      <c r="D598" t="n">
        <v>31802</v>
      </c>
      <c r="E598" t="n">
        <v>22715</v>
      </c>
      <c r="F598" t="n">
        <v>222</v>
      </c>
      <c r="G598" t="n">
        <v>8</v>
      </c>
      <c r="H598" t="n">
        <v>3</v>
      </c>
      <c r="I598" t="n">
        <v>0</v>
      </c>
      <c r="J598" t="n">
        <v>1</v>
      </c>
    </row>
    <row r="599">
      <c r="A599" s="5" t="n">
        <v>45953</v>
      </c>
      <c r="B599" t="inlineStr">
        <is>
          <t>meta_retargeting_webinar</t>
        </is>
      </c>
      <c r="C599" t="inlineStr">
        <is>
          <t>meta</t>
        </is>
      </c>
      <c r="D599" t="n">
        <v>9021</v>
      </c>
      <c r="E599" t="n">
        <v>6443</v>
      </c>
      <c r="F599" t="n">
        <v>72</v>
      </c>
      <c r="G599" t="n">
        <v>0</v>
      </c>
      <c r="H599" t="n">
        <v>4</v>
      </c>
      <c r="I599" t="n">
        <v>0</v>
      </c>
      <c r="J599" t="n">
        <v>0</v>
      </c>
    </row>
    <row r="600">
      <c r="A600" s="5" t="n">
        <v>45954</v>
      </c>
      <c r="B600" t="inlineStr">
        <is>
          <t>FB-Broad</t>
        </is>
      </c>
      <c r="C600" t="inlineStr">
        <is>
          <t>meta</t>
        </is>
      </c>
      <c r="D600" t="n">
        <v>15800</v>
      </c>
      <c r="E600" t="n">
        <v>11285</v>
      </c>
      <c r="F600" t="n">
        <v>115</v>
      </c>
      <c r="G600" t="n">
        <v>1</v>
      </c>
      <c r="H600" t="n">
        <v>2</v>
      </c>
      <c r="I600" t="n">
        <v>0</v>
      </c>
      <c r="J600" t="n">
        <v>0</v>
      </c>
    </row>
    <row r="601">
      <c r="A601" s="5" t="n">
        <v>45954</v>
      </c>
      <c r="B601" t="inlineStr">
        <is>
          <t>google_brand_search</t>
        </is>
      </c>
      <c r="C601" t="inlineStr">
        <is>
          <t>google</t>
        </is>
      </c>
      <c r="D601" t="n">
        <v>7089</v>
      </c>
      <c r="E601" t="n">
        <v>1476</v>
      </c>
      <c r="F601" t="n">
        <v>77</v>
      </c>
      <c r="G601" t="n">
        <v>3</v>
      </c>
      <c r="H601" t="n">
        <v>2</v>
      </c>
      <c r="I601" t="n">
        <v>1</v>
      </c>
      <c r="J601" t="n">
        <v>0</v>
      </c>
    </row>
    <row r="602">
      <c r="A602" s="5" t="n">
        <v>45954</v>
      </c>
      <c r="B602" t="inlineStr">
        <is>
          <t>google_nonbrand_growth</t>
        </is>
      </c>
      <c r="C602" t="inlineStr">
        <is>
          <t>google</t>
        </is>
      </c>
      <c r="D602" t="n">
        <v>24342</v>
      </c>
      <c r="E602" t="n">
        <v>5071</v>
      </c>
      <c r="F602" t="n">
        <v>262</v>
      </c>
      <c r="G602" t="n">
        <v>1</v>
      </c>
      <c r="H602" t="n">
        <v>0</v>
      </c>
      <c r="I602" t="n">
        <v>1</v>
      </c>
      <c r="J602" t="n">
        <v>0</v>
      </c>
    </row>
    <row r="603">
      <c r="A603" s="5" t="n">
        <v>45954</v>
      </c>
      <c r="B603" t="inlineStr">
        <is>
          <t>linkedin_ceo_abm</t>
        </is>
      </c>
      <c r="C603" t="inlineStr">
        <is>
          <t>linkedin</t>
        </is>
      </c>
      <c r="D603" t="n">
        <v>26191</v>
      </c>
      <c r="E603" t="n">
        <v>5036</v>
      </c>
      <c r="F603" t="n">
        <v>35</v>
      </c>
      <c r="G603" t="n">
        <v>4</v>
      </c>
      <c r="H603" t="n">
        <v>1</v>
      </c>
      <c r="I603" t="n">
        <v>1</v>
      </c>
      <c r="J603" t="n">
        <v>2</v>
      </c>
    </row>
    <row r="604">
      <c r="A604" s="5" t="n">
        <v>45954</v>
      </c>
      <c r="B604" t="inlineStr">
        <is>
          <t>meta_prospecting_founder</t>
        </is>
      </c>
      <c r="C604" t="inlineStr">
        <is>
          <t>meta</t>
        </is>
      </c>
      <c r="D604" t="n">
        <v>33624</v>
      </c>
      <c r="E604" t="n">
        <v>24017</v>
      </c>
      <c r="F604" t="n">
        <v>252</v>
      </c>
      <c r="G604" t="n">
        <v>8</v>
      </c>
      <c r="H604" t="n">
        <v>2</v>
      </c>
      <c r="I604" t="n">
        <v>1</v>
      </c>
      <c r="J604" t="n">
        <v>0</v>
      </c>
    </row>
    <row r="605">
      <c r="A605" s="5" t="n">
        <v>45954</v>
      </c>
      <c r="B605" t="inlineStr">
        <is>
          <t>meta_retargeting_webinar</t>
        </is>
      </c>
      <c r="C605" t="inlineStr">
        <is>
          <t>meta</t>
        </is>
      </c>
      <c r="D605" t="n">
        <v>9956</v>
      </c>
      <c r="E605" t="n">
        <v>7111</v>
      </c>
      <c r="F605" t="n">
        <v>78</v>
      </c>
      <c r="G605" t="n">
        <v>3</v>
      </c>
      <c r="H605" t="n">
        <v>2</v>
      </c>
      <c r="I605" t="n">
        <v>0</v>
      </c>
      <c r="J605" t="n">
        <v>0</v>
      </c>
    </row>
    <row r="606">
      <c r="A606" s="5" t="n">
        <v>45955</v>
      </c>
      <c r="B606" t="inlineStr">
        <is>
          <t>FB-Broad</t>
        </is>
      </c>
      <c r="C606" t="inlineStr">
        <is>
          <t>meta</t>
        </is>
      </c>
      <c r="D606" t="n">
        <v>17985</v>
      </c>
      <c r="E606" t="n">
        <v>12846</v>
      </c>
      <c r="F606" t="n">
        <v>137</v>
      </c>
      <c r="G606" t="n">
        <v>5</v>
      </c>
      <c r="H606" t="n">
        <v>2</v>
      </c>
      <c r="I606" t="n">
        <v>1</v>
      </c>
      <c r="J606" t="n">
        <v>0</v>
      </c>
    </row>
    <row r="607">
      <c r="A607" s="5" t="n">
        <v>45955</v>
      </c>
      <c r="B607" t="inlineStr">
        <is>
          <t>google_brand_search</t>
        </is>
      </c>
      <c r="C607" t="inlineStr">
        <is>
          <t>google</t>
        </is>
      </c>
      <c r="D607" t="n">
        <v>6310</v>
      </c>
      <c r="E607" t="n">
        <v>1314</v>
      </c>
      <c r="F607" t="n">
        <v>71</v>
      </c>
      <c r="G607" t="n">
        <v>3</v>
      </c>
      <c r="H607" t="n">
        <v>1</v>
      </c>
      <c r="I607" t="n">
        <v>0</v>
      </c>
      <c r="J607" t="n">
        <v>1</v>
      </c>
    </row>
    <row r="608">
      <c r="A608" s="5" t="n">
        <v>45955</v>
      </c>
      <c r="B608" t="inlineStr">
        <is>
          <t>google_nonbrand_growth</t>
        </is>
      </c>
      <c r="C608" t="inlineStr">
        <is>
          <t>google</t>
        </is>
      </c>
      <c r="D608" t="n">
        <v>21609</v>
      </c>
      <c r="E608" t="n">
        <v>4501</v>
      </c>
      <c r="F608" t="n">
        <v>229</v>
      </c>
      <c r="G608" t="n">
        <v>0</v>
      </c>
      <c r="H608" t="n">
        <v>0</v>
      </c>
      <c r="I608" t="n">
        <v>1</v>
      </c>
      <c r="J608" t="n">
        <v>0</v>
      </c>
    </row>
    <row r="609">
      <c r="A609" s="5" t="n">
        <v>45955</v>
      </c>
      <c r="B609" t="inlineStr">
        <is>
          <t>linkedin_ceo_abm</t>
        </is>
      </c>
      <c r="C609" t="inlineStr">
        <is>
          <t>linkedin</t>
        </is>
      </c>
      <c r="D609" t="n">
        <v>27136</v>
      </c>
      <c r="E609" t="n">
        <v>5218</v>
      </c>
      <c r="F609" t="n">
        <v>38</v>
      </c>
      <c r="G609" t="n">
        <v>0</v>
      </c>
      <c r="H609" t="n">
        <v>0</v>
      </c>
      <c r="I609" t="n">
        <v>0</v>
      </c>
      <c r="J609" t="n">
        <v>0</v>
      </c>
    </row>
    <row r="610">
      <c r="A610" s="5" t="n">
        <v>45955</v>
      </c>
      <c r="B610" t="inlineStr">
        <is>
          <t>meta_prospecting_founder</t>
        </is>
      </c>
      <c r="C610" t="inlineStr">
        <is>
          <t>meta</t>
        </is>
      </c>
      <c r="D610" t="n">
        <v>35586</v>
      </c>
      <c r="E610" t="n">
        <v>25418</v>
      </c>
      <c r="F610" t="n">
        <v>280</v>
      </c>
      <c r="G610" t="n">
        <v>11</v>
      </c>
      <c r="H610" t="n">
        <v>0</v>
      </c>
      <c r="I610" t="n">
        <v>1</v>
      </c>
      <c r="J610" t="n">
        <v>1</v>
      </c>
    </row>
    <row r="611">
      <c r="A611" s="5" t="n">
        <v>45955</v>
      </c>
      <c r="B611" t="inlineStr">
        <is>
          <t>meta_retargeting_webinar</t>
        </is>
      </c>
      <c r="C611" t="inlineStr">
        <is>
          <t>meta</t>
        </is>
      </c>
      <c r="D611" t="n">
        <v>9052</v>
      </c>
      <c r="E611" t="n">
        <v>6465</v>
      </c>
      <c r="F611" t="n">
        <v>75</v>
      </c>
      <c r="G611" t="n">
        <v>1</v>
      </c>
      <c r="H611" t="n">
        <v>0</v>
      </c>
      <c r="I611" t="n">
        <v>0</v>
      </c>
      <c r="J611" t="n">
        <v>0</v>
      </c>
    </row>
    <row r="612">
      <c r="A612" s="5" t="n">
        <v>45956</v>
      </c>
      <c r="B612" t="inlineStr">
        <is>
          <t>FB-Broad</t>
        </is>
      </c>
      <c r="C612" t="inlineStr">
        <is>
          <t>meta</t>
        </is>
      </c>
      <c r="D612" t="n">
        <v>15967</v>
      </c>
      <c r="E612" t="n">
        <v>11405</v>
      </c>
      <c r="F612" t="n">
        <v>143</v>
      </c>
      <c r="G612" t="n">
        <v>3</v>
      </c>
      <c r="H612" t="n">
        <v>2</v>
      </c>
      <c r="I612" t="n">
        <v>0</v>
      </c>
      <c r="J612" t="n">
        <v>0</v>
      </c>
    </row>
    <row r="613">
      <c r="A613" s="5" t="n">
        <v>45956</v>
      </c>
      <c r="B613" t="inlineStr">
        <is>
          <t>google_brand_search</t>
        </is>
      </c>
      <c r="C613" t="inlineStr">
        <is>
          <t>google</t>
        </is>
      </c>
      <c r="D613" t="n">
        <v>6268</v>
      </c>
      <c r="E613" t="n">
        <v>1305</v>
      </c>
      <c r="F613" t="n">
        <v>61</v>
      </c>
      <c r="G613" t="n">
        <v>1</v>
      </c>
      <c r="H613" t="n">
        <v>4</v>
      </c>
      <c r="I613" t="n">
        <v>1</v>
      </c>
      <c r="J613" t="n">
        <v>0</v>
      </c>
    </row>
    <row r="614">
      <c r="A614" s="5" t="n">
        <v>45956</v>
      </c>
      <c r="B614" t="inlineStr">
        <is>
          <t>google_nonbrand_growth</t>
        </is>
      </c>
      <c r="C614" t="inlineStr">
        <is>
          <t>google</t>
        </is>
      </c>
      <c r="D614" t="n">
        <v>23795</v>
      </c>
      <c r="E614" t="n">
        <v>4957</v>
      </c>
      <c r="F614" t="n">
        <v>282</v>
      </c>
      <c r="G614" t="n">
        <v>2</v>
      </c>
      <c r="H614" t="n">
        <v>0</v>
      </c>
      <c r="I614" t="n">
        <v>0</v>
      </c>
      <c r="J614" t="n">
        <v>0</v>
      </c>
    </row>
    <row r="615">
      <c r="A615" s="5" t="n">
        <v>45956</v>
      </c>
      <c r="B615" t="inlineStr">
        <is>
          <t>linkedin_ceo_abm</t>
        </is>
      </c>
      <c r="C615" t="inlineStr">
        <is>
          <t>linkedin</t>
        </is>
      </c>
      <c r="D615" t="n">
        <v>25022</v>
      </c>
      <c r="E615" t="n">
        <v>4811</v>
      </c>
      <c r="F615" t="n">
        <v>27</v>
      </c>
      <c r="G615" t="n">
        <v>0</v>
      </c>
      <c r="H615" t="n">
        <v>2</v>
      </c>
      <c r="I615" t="n">
        <v>1</v>
      </c>
      <c r="J615" t="n">
        <v>0</v>
      </c>
    </row>
    <row r="616">
      <c r="A616" s="5" t="n">
        <v>45956</v>
      </c>
      <c r="B616" t="inlineStr">
        <is>
          <t>meta_prospecting_founder</t>
        </is>
      </c>
      <c r="C616" t="inlineStr">
        <is>
          <t>meta</t>
        </is>
      </c>
      <c r="D616" t="n">
        <v>35172</v>
      </c>
      <c r="E616" t="n">
        <v>25122</v>
      </c>
      <c r="F616" t="n">
        <v>288</v>
      </c>
      <c r="G616" t="n">
        <v>4</v>
      </c>
      <c r="H616" t="n">
        <v>0</v>
      </c>
      <c r="I616" t="n">
        <v>3</v>
      </c>
      <c r="J616" t="n">
        <v>0</v>
      </c>
    </row>
    <row r="617">
      <c r="A617" s="5" t="n">
        <v>45956</v>
      </c>
      <c r="B617" t="inlineStr">
        <is>
          <t>meta_retargeting_webinar</t>
        </is>
      </c>
      <c r="C617" t="inlineStr">
        <is>
          <t>meta</t>
        </is>
      </c>
      <c r="D617" t="n">
        <v>9873</v>
      </c>
      <c r="E617" t="n">
        <v>7052</v>
      </c>
      <c r="F617" t="n">
        <v>68</v>
      </c>
      <c r="G617" t="n">
        <v>3</v>
      </c>
      <c r="H617" t="n">
        <v>0</v>
      </c>
      <c r="I617" t="n">
        <v>1</v>
      </c>
      <c r="J617" t="n">
        <v>0</v>
      </c>
    </row>
    <row r="618">
      <c r="A618" s="5" t="n">
        <v>45957</v>
      </c>
      <c r="B618" t="inlineStr">
        <is>
          <t>FB-Broad</t>
        </is>
      </c>
      <c r="C618" t="inlineStr">
        <is>
          <t>meta</t>
        </is>
      </c>
      <c r="D618" t="n">
        <v>15840</v>
      </c>
      <c r="E618" t="n">
        <v>11314</v>
      </c>
      <c r="F618" t="n">
        <v>121</v>
      </c>
      <c r="G618" t="n">
        <v>6</v>
      </c>
      <c r="H618" t="n">
        <v>0</v>
      </c>
      <c r="I618" t="n">
        <v>0</v>
      </c>
      <c r="J618" t="n">
        <v>0</v>
      </c>
    </row>
    <row r="619">
      <c r="A619" s="5" t="n">
        <v>45957</v>
      </c>
      <c r="B619" t="inlineStr">
        <is>
          <t>google_brand_search</t>
        </is>
      </c>
      <c r="C619" t="inlineStr">
        <is>
          <t>google</t>
        </is>
      </c>
      <c r="D619" t="n">
        <v>7460</v>
      </c>
      <c r="E619" t="n">
        <v>1554</v>
      </c>
      <c r="F619" t="n">
        <v>79</v>
      </c>
      <c r="G619" t="n">
        <v>2</v>
      </c>
      <c r="H619" t="n">
        <v>2</v>
      </c>
      <c r="I619" t="n">
        <v>1</v>
      </c>
      <c r="J619" t="n">
        <v>0</v>
      </c>
    </row>
    <row r="620">
      <c r="A620" s="5" t="n">
        <v>45957</v>
      </c>
      <c r="B620" t="inlineStr">
        <is>
          <t>google_nonbrand_growth</t>
        </is>
      </c>
      <c r="C620" t="inlineStr">
        <is>
          <t>google</t>
        </is>
      </c>
      <c r="D620" t="n">
        <v>20814</v>
      </c>
      <c r="E620" t="n">
        <v>4336</v>
      </c>
      <c r="F620" t="n">
        <v>205</v>
      </c>
      <c r="G620" t="n">
        <v>1</v>
      </c>
      <c r="H620" t="n">
        <v>1</v>
      </c>
      <c r="I620" t="n">
        <v>0</v>
      </c>
      <c r="J620" t="n">
        <v>0</v>
      </c>
    </row>
    <row r="621">
      <c r="A621" s="5" t="n">
        <v>45957</v>
      </c>
      <c r="B621" t="inlineStr">
        <is>
          <t>linkedin_ceo_abm</t>
        </is>
      </c>
      <c r="C621" t="inlineStr">
        <is>
          <t>linkedin</t>
        </is>
      </c>
      <c r="D621" t="n">
        <v>27464</v>
      </c>
      <c r="E621" t="n">
        <v>5281</v>
      </c>
      <c r="F621" t="n">
        <v>29</v>
      </c>
      <c r="G621" t="n">
        <v>2</v>
      </c>
      <c r="H621" t="n">
        <v>0</v>
      </c>
      <c r="I621" t="n">
        <v>0</v>
      </c>
      <c r="J621" t="n">
        <v>0</v>
      </c>
    </row>
    <row r="622">
      <c r="A622" s="5" t="n">
        <v>45957</v>
      </c>
      <c r="B622" t="inlineStr">
        <is>
          <t>meta_prospecting_founder</t>
        </is>
      </c>
      <c r="C622" t="inlineStr">
        <is>
          <t>meta</t>
        </is>
      </c>
      <c r="D622" t="n">
        <v>33063</v>
      </c>
      <c r="E622" t="n">
        <v>23616</v>
      </c>
      <c r="F622" t="n">
        <v>274</v>
      </c>
      <c r="G622" t="n">
        <v>10</v>
      </c>
      <c r="H622" t="n">
        <v>0</v>
      </c>
      <c r="I622" t="n">
        <v>1</v>
      </c>
      <c r="J622" t="n">
        <v>0</v>
      </c>
    </row>
    <row r="623">
      <c r="A623" s="5" t="n">
        <v>45957</v>
      </c>
      <c r="B623" t="inlineStr">
        <is>
          <t>meta_retargeting_webinar</t>
        </is>
      </c>
      <c r="C623" t="inlineStr">
        <is>
          <t>meta</t>
        </is>
      </c>
      <c r="D623" t="n">
        <v>9428</v>
      </c>
      <c r="E623" t="n">
        <v>6734</v>
      </c>
      <c r="F623" t="n">
        <v>79</v>
      </c>
      <c r="G623" t="n">
        <v>3</v>
      </c>
      <c r="H623" t="n">
        <v>1</v>
      </c>
      <c r="I623" t="n">
        <v>1</v>
      </c>
      <c r="J623" t="n">
        <v>0</v>
      </c>
    </row>
    <row r="624">
      <c r="A624" s="5" t="n">
        <v>45958</v>
      </c>
      <c r="B624" t="inlineStr">
        <is>
          <t>FB-Broad</t>
        </is>
      </c>
      <c r="C624" t="inlineStr">
        <is>
          <t>meta</t>
        </is>
      </c>
      <c r="D624" t="n">
        <v>17633</v>
      </c>
      <c r="E624" t="n">
        <v>12595</v>
      </c>
      <c r="F624" t="n">
        <v>119</v>
      </c>
      <c r="G624" t="n">
        <v>2</v>
      </c>
      <c r="H624" t="n">
        <v>2</v>
      </c>
      <c r="I624" t="n">
        <v>1</v>
      </c>
      <c r="J624" t="n">
        <v>0</v>
      </c>
    </row>
    <row r="625">
      <c r="A625" s="5" t="n">
        <v>45958</v>
      </c>
      <c r="B625" t="inlineStr">
        <is>
          <t>google_brand_search</t>
        </is>
      </c>
      <c r="C625" t="inlineStr">
        <is>
          <t>google</t>
        </is>
      </c>
      <c r="D625" t="n">
        <v>7161</v>
      </c>
      <c r="E625" t="n">
        <v>1491</v>
      </c>
      <c r="F625" t="n">
        <v>84</v>
      </c>
      <c r="G625" t="n">
        <v>5</v>
      </c>
      <c r="H625" t="n">
        <v>1</v>
      </c>
      <c r="I625" t="n">
        <v>0</v>
      </c>
      <c r="J625" t="n">
        <v>0</v>
      </c>
    </row>
    <row r="626">
      <c r="A626" s="5" t="n">
        <v>45958</v>
      </c>
      <c r="B626" t="inlineStr">
        <is>
          <t>google_nonbrand_growth</t>
        </is>
      </c>
      <c r="C626" t="inlineStr">
        <is>
          <t>google</t>
        </is>
      </c>
      <c r="D626" t="n">
        <v>24580</v>
      </c>
      <c r="E626" t="n">
        <v>5120</v>
      </c>
      <c r="F626" t="n">
        <v>256</v>
      </c>
      <c r="G626" t="n">
        <v>5</v>
      </c>
      <c r="H626" t="n">
        <v>0</v>
      </c>
      <c r="I626" t="n">
        <v>0</v>
      </c>
      <c r="J626" t="n">
        <v>0</v>
      </c>
    </row>
    <row r="627">
      <c r="A627" s="5" t="n">
        <v>45958</v>
      </c>
      <c r="B627" t="inlineStr">
        <is>
          <t>linkedin_ceo_abm</t>
        </is>
      </c>
      <c r="C627" t="inlineStr">
        <is>
          <t>linkedin</t>
        </is>
      </c>
      <c r="D627" t="n">
        <v>23781</v>
      </c>
      <c r="E627" t="n">
        <v>4573</v>
      </c>
      <c r="F627" t="n">
        <v>33</v>
      </c>
      <c r="G627" t="n">
        <v>2</v>
      </c>
      <c r="H627" t="n">
        <v>2</v>
      </c>
      <c r="I627" t="n">
        <v>1</v>
      </c>
      <c r="J627" t="n">
        <v>0</v>
      </c>
    </row>
    <row r="628">
      <c r="A628" s="5" t="n">
        <v>45958</v>
      </c>
      <c r="B628" t="inlineStr">
        <is>
          <t>meta_prospecting_founder</t>
        </is>
      </c>
      <c r="C628" t="inlineStr">
        <is>
          <t>meta</t>
        </is>
      </c>
      <c r="D628" t="n">
        <v>34097</v>
      </c>
      <c r="E628" t="n">
        <v>24355</v>
      </c>
      <c r="F628" t="n">
        <v>237</v>
      </c>
      <c r="G628" t="n">
        <v>10</v>
      </c>
      <c r="H628" t="n">
        <v>5</v>
      </c>
      <c r="I628" t="n">
        <v>1</v>
      </c>
      <c r="J628" t="n">
        <v>0</v>
      </c>
    </row>
    <row r="629">
      <c r="A629" s="5" t="n">
        <v>45958</v>
      </c>
      <c r="B629" t="inlineStr">
        <is>
          <t>meta_retargeting_webinar</t>
        </is>
      </c>
      <c r="C629" t="inlineStr">
        <is>
          <t>meta</t>
        </is>
      </c>
      <c r="D629" t="n">
        <v>8911</v>
      </c>
      <c r="E629" t="n">
        <v>6365</v>
      </c>
      <c r="F629" t="n">
        <v>76</v>
      </c>
      <c r="G629" t="n">
        <v>3</v>
      </c>
      <c r="H629" t="n">
        <v>0</v>
      </c>
      <c r="I629" t="n">
        <v>1</v>
      </c>
      <c r="J629" t="n">
        <v>0</v>
      </c>
    </row>
    <row r="630">
      <c r="A630" s="5" t="n">
        <v>45959</v>
      </c>
      <c r="B630" t="inlineStr">
        <is>
          <t>FB-Broad</t>
        </is>
      </c>
      <c r="C630" t="inlineStr">
        <is>
          <t>meta</t>
        </is>
      </c>
      <c r="D630" t="n">
        <v>15585</v>
      </c>
      <c r="E630" t="n">
        <v>11132</v>
      </c>
      <c r="F630" t="n">
        <v>120</v>
      </c>
      <c r="G630" t="n">
        <v>4</v>
      </c>
      <c r="H630" t="n">
        <v>2</v>
      </c>
      <c r="I630" t="n">
        <v>1</v>
      </c>
      <c r="J630" t="n">
        <v>1</v>
      </c>
    </row>
    <row r="631">
      <c r="A631" s="5" t="n">
        <v>45959</v>
      </c>
      <c r="B631" t="inlineStr">
        <is>
          <t>google_brand_search</t>
        </is>
      </c>
      <c r="C631" t="inlineStr">
        <is>
          <t>google</t>
        </is>
      </c>
      <c r="D631" t="n">
        <v>7112</v>
      </c>
      <c r="E631" t="n">
        <v>1481</v>
      </c>
      <c r="F631" t="n">
        <v>76</v>
      </c>
      <c r="G631" t="n">
        <v>2</v>
      </c>
      <c r="H631" t="n">
        <v>1</v>
      </c>
      <c r="I631" t="n">
        <v>1</v>
      </c>
      <c r="J631" t="n">
        <v>1</v>
      </c>
    </row>
    <row r="632">
      <c r="A632" s="5" t="n">
        <v>45959</v>
      </c>
      <c r="B632" t="inlineStr">
        <is>
          <t>google_nonbrand_growth</t>
        </is>
      </c>
      <c r="C632" t="inlineStr">
        <is>
          <t>google</t>
        </is>
      </c>
      <c r="D632" t="n">
        <v>22227</v>
      </c>
      <c r="E632" t="n">
        <v>4630</v>
      </c>
      <c r="F632" t="n">
        <v>225</v>
      </c>
      <c r="G632" t="n">
        <v>4</v>
      </c>
      <c r="H632" t="n">
        <v>0</v>
      </c>
      <c r="I632" t="n">
        <v>0</v>
      </c>
      <c r="J632" t="n">
        <v>0</v>
      </c>
    </row>
    <row r="633">
      <c r="A633" s="5" t="n">
        <v>45959</v>
      </c>
      <c r="B633" t="inlineStr">
        <is>
          <t>linkedin_ceo_abm</t>
        </is>
      </c>
      <c r="C633" t="inlineStr">
        <is>
          <t>linkedin</t>
        </is>
      </c>
      <c r="D633" t="n">
        <v>25194</v>
      </c>
      <c r="E633" t="n">
        <v>4845</v>
      </c>
      <c r="F633" t="n">
        <v>27</v>
      </c>
      <c r="G633" t="n">
        <v>4</v>
      </c>
      <c r="H633" t="n">
        <v>1</v>
      </c>
      <c r="I633" t="n">
        <v>0</v>
      </c>
      <c r="J633" t="n">
        <v>0</v>
      </c>
    </row>
    <row r="634">
      <c r="A634" s="5" t="n">
        <v>45959</v>
      </c>
      <c r="B634" t="inlineStr">
        <is>
          <t>meta_prospecting_founder</t>
        </is>
      </c>
      <c r="C634" t="inlineStr">
        <is>
          <t>meta</t>
        </is>
      </c>
      <c r="D634" t="n">
        <v>30381</v>
      </c>
      <c r="E634" t="n">
        <v>21700</v>
      </c>
      <c r="F634" t="n">
        <v>232</v>
      </c>
      <c r="G634" t="n">
        <v>8</v>
      </c>
      <c r="H634" t="n">
        <v>3</v>
      </c>
      <c r="I634" t="n">
        <v>1</v>
      </c>
      <c r="J634" t="n">
        <v>0</v>
      </c>
    </row>
    <row r="635">
      <c r="A635" s="5" t="n">
        <v>45959</v>
      </c>
      <c r="B635" t="inlineStr">
        <is>
          <t>meta_retargeting_webinar</t>
        </is>
      </c>
      <c r="C635" t="inlineStr">
        <is>
          <t>meta</t>
        </is>
      </c>
      <c r="D635" t="n">
        <v>8434</v>
      </c>
      <c r="E635" t="n">
        <v>6024</v>
      </c>
      <c r="F635" t="n">
        <v>57</v>
      </c>
      <c r="G635" t="n">
        <v>2</v>
      </c>
      <c r="H635" t="n">
        <v>0</v>
      </c>
      <c r="I635" t="n">
        <v>1</v>
      </c>
      <c r="J635" t="n">
        <v>0</v>
      </c>
    </row>
    <row r="636">
      <c r="A636" s="5" t="n">
        <v>45960</v>
      </c>
      <c r="B636" t="inlineStr">
        <is>
          <t>FB-Broad</t>
        </is>
      </c>
      <c r="C636" t="inlineStr">
        <is>
          <t>meta</t>
        </is>
      </c>
      <c r="D636" t="n">
        <v>16892</v>
      </c>
      <c r="E636" t="n">
        <v>12065</v>
      </c>
      <c r="F636" t="n">
        <v>128</v>
      </c>
      <c r="G636" t="n">
        <v>2</v>
      </c>
      <c r="H636" t="n">
        <v>1</v>
      </c>
      <c r="I636" t="n">
        <v>0</v>
      </c>
      <c r="J636" t="n">
        <v>0</v>
      </c>
    </row>
    <row r="637">
      <c r="A637" s="5" t="n">
        <v>45960</v>
      </c>
      <c r="B637" t="inlineStr">
        <is>
          <t>google_brand_search</t>
        </is>
      </c>
      <c r="C637" t="inlineStr">
        <is>
          <t>google</t>
        </is>
      </c>
      <c r="D637" t="n">
        <v>6281</v>
      </c>
      <c r="E637" t="n">
        <v>1308</v>
      </c>
      <c r="F637" t="n">
        <v>61</v>
      </c>
      <c r="G637" t="n">
        <v>1</v>
      </c>
      <c r="H637" t="n">
        <v>3</v>
      </c>
      <c r="I637" t="n">
        <v>1</v>
      </c>
      <c r="J637" t="n">
        <v>0</v>
      </c>
    </row>
    <row r="638">
      <c r="A638" s="5" t="n">
        <v>45960</v>
      </c>
      <c r="B638" t="inlineStr">
        <is>
          <t>google_nonbrand_growth</t>
        </is>
      </c>
      <c r="C638" t="inlineStr">
        <is>
          <t>google</t>
        </is>
      </c>
      <c r="D638" t="n">
        <v>23972</v>
      </c>
      <c r="E638" t="n">
        <v>4994</v>
      </c>
      <c r="F638" t="n">
        <v>265</v>
      </c>
      <c r="G638" t="n">
        <v>5</v>
      </c>
      <c r="H638" t="n">
        <v>0</v>
      </c>
      <c r="I638" t="n">
        <v>0</v>
      </c>
      <c r="J638" t="n">
        <v>0</v>
      </c>
    </row>
    <row r="639">
      <c r="A639" s="5" t="n">
        <v>45960</v>
      </c>
      <c r="B639" t="inlineStr">
        <is>
          <t>linkedin_ceo_abm</t>
        </is>
      </c>
      <c r="C639" t="inlineStr">
        <is>
          <t>linkedin</t>
        </is>
      </c>
      <c r="D639" t="n">
        <v>23985</v>
      </c>
      <c r="E639" t="n">
        <v>4612</v>
      </c>
      <c r="F639" t="n">
        <v>29</v>
      </c>
      <c r="G639" t="n">
        <v>1</v>
      </c>
      <c r="H639" t="n">
        <v>2</v>
      </c>
      <c r="I639" t="n">
        <v>1</v>
      </c>
      <c r="J639" t="n">
        <v>0</v>
      </c>
    </row>
    <row r="640">
      <c r="A640" s="5" t="n">
        <v>45960</v>
      </c>
      <c r="B640" t="inlineStr">
        <is>
          <t>meta_prospecting_founder</t>
        </is>
      </c>
      <c r="C640" t="inlineStr">
        <is>
          <t>meta</t>
        </is>
      </c>
      <c r="D640" t="n">
        <v>31969</v>
      </c>
      <c r="E640" t="n">
        <v>22835</v>
      </c>
      <c r="F640" t="n">
        <v>272</v>
      </c>
      <c r="G640" t="n">
        <v>8</v>
      </c>
      <c r="H640" t="n">
        <v>1</v>
      </c>
      <c r="I640" t="n">
        <v>0</v>
      </c>
      <c r="J640" t="n">
        <v>0</v>
      </c>
    </row>
    <row r="641">
      <c r="A641" s="5" t="n">
        <v>45960</v>
      </c>
      <c r="B641" t="inlineStr">
        <is>
          <t>meta_retargeting_webinar</t>
        </is>
      </c>
      <c r="C641" t="inlineStr">
        <is>
          <t>meta</t>
        </is>
      </c>
      <c r="D641" t="n">
        <v>9194</v>
      </c>
      <c r="E641" t="n">
        <v>6567</v>
      </c>
      <c r="F641" t="n">
        <v>80</v>
      </c>
      <c r="G641" t="n">
        <v>5</v>
      </c>
      <c r="H641" t="n">
        <v>0</v>
      </c>
      <c r="I641" t="n">
        <v>0</v>
      </c>
      <c r="J641" t="n">
        <v>0</v>
      </c>
    </row>
    <row r="642">
      <c r="A642" s="5" t="n">
        <v>45961</v>
      </c>
      <c r="B642" t="inlineStr">
        <is>
          <t>FB-Broad</t>
        </is>
      </c>
      <c r="C642" t="inlineStr">
        <is>
          <t>meta</t>
        </is>
      </c>
      <c r="D642" t="n">
        <v>15561</v>
      </c>
      <c r="E642" t="n">
        <v>11115</v>
      </c>
      <c r="F642" t="n">
        <v>106</v>
      </c>
      <c r="G642" t="n">
        <v>5</v>
      </c>
      <c r="H642" t="n">
        <v>1</v>
      </c>
      <c r="I642" t="n">
        <v>1</v>
      </c>
      <c r="J642" t="n">
        <v>1</v>
      </c>
    </row>
    <row r="643">
      <c r="A643" s="5" t="n">
        <v>45961</v>
      </c>
      <c r="B643" t="inlineStr">
        <is>
          <t>google_brand_search</t>
        </is>
      </c>
      <c r="C643" t="inlineStr">
        <is>
          <t>google</t>
        </is>
      </c>
      <c r="D643" t="n">
        <v>6605</v>
      </c>
      <c r="E643" t="n">
        <v>1376</v>
      </c>
      <c r="F643" t="n">
        <v>71</v>
      </c>
      <c r="G643" t="n">
        <v>1</v>
      </c>
      <c r="H643" t="n">
        <v>1</v>
      </c>
      <c r="I643" t="n">
        <v>1</v>
      </c>
      <c r="J643" t="n">
        <v>0</v>
      </c>
    </row>
    <row r="644">
      <c r="A644" s="5" t="n">
        <v>45961</v>
      </c>
      <c r="B644" t="inlineStr">
        <is>
          <t>google_nonbrand_growth</t>
        </is>
      </c>
      <c r="C644" t="inlineStr">
        <is>
          <t>google</t>
        </is>
      </c>
      <c r="D644" t="n">
        <v>22909</v>
      </c>
      <c r="E644" t="n">
        <v>4772</v>
      </c>
      <c r="F644" t="n">
        <v>256</v>
      </c>
      <c r="G644" t="n">
        <v>1</v>
      </c>
      <c r="H644" t="n">
        <v>0</v>
      </c>
      <c r="I644" t="n">
        <v>0</v>
      </c>
      <c r="J644" t="n">
        <v>0</v>
      </c>
    </row>
    <row r="645">
      <c r="A645" s="5" t="n">
        <v>45961</v>
      </c>
      <c r="B645" t="inlineStr">
        <is>
          <t>linkedin_ceo_abm</t>
        </is>
      </c>
      <c r="C645" t="inlineStr">
        <is>
          <t>linkedin</t>
        </is>
      </c>
      <c r="D645" t="n">
        <v>24090</v>
      </c>
      <c r="E645" t="n">
        <v>4632</v>
      </c>
      <c r="F645" t="n">
        <v>28</v>
      </c>
      <c r="G645" t="n">
        <v>3</v>
      </c>
      <c r="H645" t="n">
        <v>0</v>
      </c>
      <c r="I645" t="n">
        <v>0</v>
      </c>
      <c r="J645" t="n">
        <v>0</v>
      </c>
    </row>
    <row r="646">
      <c r="A646" s="5" t="n">
        <v>45961</v>
      </c>
      <c r="B646" t="inlineStr">
        <is>
          <t>meta_prospecting_founder</t>
        </is>
      </c>
      <c r="C646" t="inlineStr">
        <is>
          <t>meta</t>
        </is>
      </c>
      <c r="D646" t="n">
        <v>29231</v>
      </c>
      <c r="E646" t="n">
        <v>20879</v>
      </c>
      <c r="F646" t="n">
        <v>225</v>
      </c>
      <c r="G646" t="n">
        <v>4</v>
      </c>
      <c r="H646" t="n">
        <v>3</v>
      </c>
      <c r="I646" t="n">
        <v>2</v>
      </c>
      <c r="J646" t="n">
        <v>0</v>
      </c>
    </row>
    <row r="647">
      <c r="A647" s="5" t="n">
        <v>45961</v>
      </c>
      <c r="B647" t="inlineStr">
        <is>
          <t>meta_retargeting_webinar</t>
        </is>
      </c>
      <c r="C647" t="inlineStr">
        <is>
          <t>meta</t>
        </is>
      </c>
      <c r="D647" t="n">
        <v>9709</v>
      </c>
      <c r="E647" t="n">
        <v>6935</v>
      </c>
      <c r="F647" t="n">
        <v>87</v>
      </c>
      <c r="G647" t="n">
        <v>4</v>
      </c>
      <c r="H647" t="n">
        <v>1</v>
      </c>
      <c r="I647" t="n">
        <v>0</v>
      </c>
      <c r="J647" t="n">
        <v>0</v>
      </c>
    </row>
    <row r="648">
      <c r="A648" s="5" t="n">
        <v>45962</v>
      </c>
      <c r="B648" t="inlineStr">
        <is>
          <t>FB-Broad</t>
        </is>
      </c>
      <c r="C648" t="inlineStr">
        <is>
          <t>meta</t>
        </is>
      </c>
      <c r="D648" t="n">
        <v>17491</v>
      </c>
      <c r="E648" t="n">
        <v>12493</v>
      </c>
      <c r="F648" t="n">
        <v>127</v>
      </c>
      <c r="G648" t="n">
        <v>4</v>
      </c>
      <c r="H648" t="n">
        <v>1</v>
      </c>
      <c r="I648" t="n">
        <v>1</v>
      </c>
      <c r="J648" t="n">
        <v>0</v>
      </c>
    </row>
    <row r="649">
      <c r="A649" s="5" t="n">
        <v>45962</v>
      </c>
      <c r="B649" t="inlineStr">
        <is>
          <t>google_brand_search</t>
        </is>
      </c>
      <c r="C649" t="inlineStr">
        <is>
          <t>google</t>
        </is>
      </c>
      <c r="D649" t="n">
        <v>7358</v>
      </c>
      <c r="E649" t="n">
        <v>1532</v>
      </c>
      <c r="F649" t="n">
        <v>75</v>
      </c>
      <c r="G649" t="n">
        <v>0</v>
      </c>
      <c r="H649" t="n">
        <v>1</v>
      </c>
      <c r="I649" t="n">
        <v>0</v>
      </c>
      <c r="J649" t="n">
        <v>0</v>
      </c>
    </row>
    <row r="650">
      <c r="A650" s="5" t="n">
        <v>45962</v>
      </c>
      <c r="B650" t="inlineStr">
        <is>
          <t>google_nonbrand_growth</t>
        </is>
      </c>
      <c r="C650" t="inlineStr">
        <is>
          <t>google</t>
        </is>
      </c>
      <c r="D650" t="n">
        <v>21197</v>
      </c>
      <c r="E650" t="n">
        <v>4416</v>
      </c>
      <c r="F650" t="n">
        <v>220</v>
      </c>
      <c r="G650" t="n">
        <v>2</v>
      </c>
      <c r="H650" t="n">
        <v>0</v>
      </c>
      <c r="I650" t="n">
        <v>0</v>
      </c>
      <c r="J650" t="n">
        <v>0</v>
      </c>
    </row>
    <row r="651">
      <c r="A651" s="5" t="n">
        <v>45962</v>
      </c>
      <c r="B651" t="inlineStr">
        <is>
          <t>linkedin_ceo_abm</t>
        </is>
      </c>
      <c r="C651" t="inlineStr">
        <is>
          <t>linkedin</t>
        </is>
      </c>
      <c r="D651" t="n">
        <v>27687</v>
      </c>
      <c r="E651" t="n">
        <v>5324</v>
      </c>
      <c r="F651" t="n">
        <v>39</v>
      </c>
      <c r="G651" t="n">
        <v>2</v>
      </c>
      <c r="H651" t="n">
        <v>1</v>
      </c>
      <c r="I651" t="n">
        <v>1</v>
      </c>
      <c r="J651" t="n">
        <v>0</v>
      </c>
    </row>
    <row r="652">
      <c r="A652" s="5" t="n">
        <v>45962</v>
      </c>
      <c r="B652" t="inlineStr">
        <is>
          <t>meta_prospecting_founder</t>
        </is>
      </c>
      <c r="C652" t="inlineStr">
        <is>
          <t>meta</t>
        </is>
      </c>
      <c r="D652" t="n">
        <v>29086</v>
      </c>
      <c r="E652" t="n">
        <v>20775</v>
      </c>
      <c r="F652" t="n">
        <v>226</v>
      </c>
      <c r="G652" t="n">
        <v>4</v>
      </c>
      <c r="H652" t="n">
        <v>1</v>
      </c>
      <c r="I652" t="n">
        <v>0</v>
      </c>
      <c r="J652" t="n">
        <v>0</v>
      </c>
    </row>
    <row r="653">
      <c r="A653" s="5" t="n">
        <v>45962</v>
      </c>
      <c r="B653" t="inlineStr">
        <is>
          <t>meta_retargeting_webinar</t>
        </is>
      </c>
      <c r="C653" t="inlineStr">
        <is>
          <t>meta</t>
        </is>
      </c>
      <c r="D653" t="n">
        <v>8673</v>
      </c>
      <c r="E653" t="n">
        <v>6195</v>
      </c>
      <c r="F653" t="n">
        <v>78</v>
      </c>
      <c r="G653" t="n">
        <v>1</v>
      </c>
      <c r="H653" t="n">
        <v>1</v>
      </c>
      <c r="I653" t="n">
        <v>0</v>
      </c>
      <c r="J653" t="n">
        <v>0</v>
      </c>
    </row>
    <row r="654">
      <c r="A654" s="5" t="n">
        <v>45963</v>
      </c>
      <c r="B654" t="inlineStr">
        <is>
          <t>FB-Broad</t>
        </is>
      </c>
      <c r="C654" t="inlineStr">
        <is>
          <t>meta</t>
        </is>
      </c>
      <c r="D654" t="n">
        <v>16555</v>
      </c>
      <c r="E654" t="n">
        <v>11825</v>
      </c>
      <c r="F654" t="n">
        <v>119</v>
      </c>
      <c r="G654" t="n">
        <v>5</v>
      </c>
      <c r="H654" t="n">
        <v>2</v>
      </c>
      <c r="I654" t="n">
        <v>1</v>
      </c>
      <c r="J654" t="n">
        <v>0</v>
      </c>
    </row>
    <row r="655">
      <c r="A655" s="5" t="n">
        <v>45963</v>
      </c>
      <c r="B655" t="inlineStr">
        <is>
          <t>google_brand_search</t>
        </is>
      </c>
      <c r="C655" t="inlineStr">
        <is>
          <t>google</t>
        </is>
      </c>
      <c r="D655" t="n">
        <v>6310</v>
      </c>
      <c r="E655" t="n">
        <v>1314</v>
      </c>
      <c r="F655" t="n">
        <v>68</v>
      </c>
      <c r="G655" t="n">
        <v>0</v>
      </c>
      <c r="H655" t="n">
        <v>0</v>
      </c>
      <c r="I655" t="n">
        <v>1</v>
      </c>
      <c r="J655" t="n">
        <v>0</v>
      </c>
    </row>
    <row r="656">
      <c r="A656" s="5" t="n">
        <v>45963</v>
      </c>
      <c r="B656" t="inlineStr">
        <is>
          <t>google_nonbrand_growth</t>
        </is>
      </c>
      <c r="C656" t="inlineStr">
        <is>
          <t>google</t>
        </is>
      </c>
      <c r="D656" t="n">
        <v>20712</v>
      </c>
      <c r="E656" t="n">
        <v>4315</v>
      </c>
      <c r="F656" t="n">
        <v>210</v>
      </c>
      <c r="G656" t="n">
        <v>2</v>
      </c>
      <c r="H656" t="n">
        <v>0</v>
      </c>
      <c r="I656" t="n">
        <v>0</v>
      </c>
      <c r="J656" t="n">
        <v>1</v>
      </c>
    </row>
    <row r="657">
      <c r="A657" s="5" t="n">
        <v>45963</v>
      </c>
      <c r="B657" t="inlineStr">
        <is>
          <t>linkedin_ceo_abm</t>
        </is>
      </c>
      <c r="C657" t="inlineStr">
        <is>
          <t>linkedin</t>
        </is>
      </c>
      <c r="D657" t="n">
        <v>22984</v>
      </c>
      <c r="E657" t="n">
        <v>4420</v>
      </c>
      <c r="F657" t="n">
        <v>26</v>
      </c>
      <c r="G657" t="n">
        <v>1</v>
      </c>
      <c r="H657" t="n">
        <v>2</v>
      </c>
      <c r="I657" t="n">
        <v>1</v>
      </c>
      <c r="J657" t="n">
        <v>0</v>
      </c>
    </row>
    <row r="658">
      <c r="A658" s="5" t="n">
        <v>45963</v>
      </c>
      <c r="B658" t="inlineStr">
        <is>
          <t>meta_prospecting_founder</t>
        </is>
      </c>
      <c r="C658" t="inlineStr">
        <is>
          <t>meta</t>
        </is>
      </c>
      <c r="D658" t="n">
        <v>33526</v>
      </c>
      <c r="E658" t="n">
        <v>23947</v>
      </c>
      <c r="F658" t="n">
        <v>291</v>
      </c>
      <c r="G658" t="n">
        <v>4</v>
      </c>
      <c r="H658" t="n">
        <v>0</v>
      </c>
      <c r="I658" t="n">
        <v>2</v>
      </c>
      <c r="J658" t="n">
        <v>0</v>
      </c>
    </row>
    <row r="659">
      <c r="A659" s="5" t="n">
        <v>45963</v>
      </c>
      <c r="B659" t="inlineStr">
        <is>
          <t>meta_retargeting_webinar</t>
        </is>
      </c>
      <c r="C659" t="inlineStr">
        <is>
          <t>meta</t>
        </is>
      </c>
      <c r="D659" t="n">
        <v>9689</v>
      </c>
      <c r="E659" t="n">
        <v>6920</v>
      </c>
      <c r="F659" t="n">
        <v>69</v>
      </c>
      <c r="G659" t="n">
        <v>4</v>
      </c>
      <c r="H659" t="n">
        <v>1</v>
      </c>
      <c r="I659" t="n">
        <v>0</v>
      </c>
      <c r="J659" t="n">
        <v>1</v>
      </c>
    </row>
    <row r="660">
      <c r="A660" s="5" t="n">
        <v>45964</v>
      </c>
      <c r="B660" t="inlineStr">
        <is>
          <t>FB-Broad</t>
        </is>
      </c>
      <c r="C660" t="inlineStr">
        <is>
          <t>meta</t>
        </is>
      </c>
      <c r="D660" t="n">
        <v>17053</v>
      </c>
      <c r="E660" t="n">
        <v>12180</v>
      </c>
      <c r="F660" t="n">
        <v>152</v>
      </c>
      <c r="G660" t="n">
        <v>5</v>
      </c>
      <c r="H660" t="n">
        <v>1</v>
      </c>
      <c r="I660" t="n">
        <v>0</v>
      </c>
      <c r="J660" t="n">
        <v>0</v>
      </c>
    </row>
    <row r="661">
      <c r="A661" s="5" t="n">
        <v>45964</v>
      </c>
      <c r="B661" t="inlineStr">
        <is>
          <t>google_brand_search</t>
        </is>
      </c>
      <c r="C661" t="inlineStr">
        <is>
          <t>google</t>
        </is>
      </c>
      <c r="D661" t="n">
        <v>6679</v>
      </c>
      <c r="E661" t="n">
        <v>1391</v>
      </c>
      <c r="F661" t="n">
        <v>80</v>
      </c>
      <c r="G661" t="n">
        <v>4</v>
      </c>
      <c r="H661" t="n">
        <v>0</v>
      </c>
      <c r="I661" t="n">
        <v>0</v>
      </c>
      <c r="J661" t="n">
        <v>0</v>
      </c>
    </row>
    <row r="662">
      <c r="A662" s="5" t="n">
        <v>45964</v>
      </c>
      <c r="B662" t="inlineStr">
        <is>
          <t>google_nonbrand_growth</t>
        </is>
      </c>
      <c r="C662" t="inlineStr">
        <is>
          <t>google</t>
        </is>
      </c>
      <c r="D662" t="n">
        <v>22705</v>
      </c>
      <c r="E662" t="n">
        <v>4730</v>
      </c>
      <c r="F662" t="n">
        <v>209</v>
      </c>
      <c r="G662" t="n">
        <v>4</v>
      </c>
      <c r="H662" t="n">
        <v>1</v>
      </c>
      <c r="I662" t="n">
        <v>0</v>
      </c>
      <c r="J662" t="n">
        <v>0</v>
      </c>
    </row>
    <row r="663">
      <c r="A663" s="5" t="n">
        <v>45964</v>
      </c>
      <c r="B663" t="inlineStr">
        <is>
          <t>linkedin_ceo_abm</t>
        </is>
      </c>
      <c r="C663" t="inlineStr">
        <is>
          <t>linkedin</t>
        </is>
      </c>
      <c r="D663" t="n">
        <v>26970</v>
      </c>
      <c r="E663" t="n">
        <v>5186</v>
      </c>
      <c r="F663" t="n">
        <v>31</v>
      </c>
      <c r="G663" t="n">
        <v>2</v>
      </c>
      <c r="H663" t="n">
        <v>0</v>
      </c>
      <c r="I663" t="n">
        <v>0</v>
      </c>
      <c r="J663" t="n">
        <v>0</v>
      </c>
    </row>
    <row r="664">
      <c r="A664" s="5" t="n">
        <v>45964</v>
      </c>
      <c r="B664" t="inlineStr">
        <is>
          <t>meta_prospecting_founder</t>
        </is>
      </c>
      <c r="C664" t="inlineStr">
        <is>
          <t>meta</t>
        </is>
      </c>
      <c r="D664" t="n">
        <v>34715</v>
      </c>
      <c r="E664" t="n">
        <v>24796</v>
      </c>
      <c r="F664" t="n">
        <v>298</v>
      </c>
      <c r="G664" t="n">
        <v>5</v>
      </c>
      <c r="H664" t="n">
        <v>2</v>
      </c>
      <c r="I664" t="n">
        <v>2</v>
      </c>
      <c r="J664" t="n">
        <v>1</v>
      </c>
    </row>
    <row r="665">
      <c r="A665" s="5" t="n">
        <v>45964</v>
      </c>
      <c r="B665" t="inlineStr">
        <is>
          <t>meta_retargeting_webinar</t>
        </is>
      </c>
      <c r="C665" t="inlineStr">
        <is>
          <t>meta</t>
        </is>
      </c>
      <c r="D665" t="n">
        <v>8533</v>
      </c>
      <c r="E665" t="n">
        <v>6095</v>
      </c>
      <c r="F665" t="n">
        <v>69</v>
      </c>
      <c r="G665" t="n">
        <v>6</v>
      </c>
      <c r="H665" t="n">
        <v>2</v>
      </c>
      <c r="I665" t="n">
        <v>0</v>
      </c>
      <c r="J665" t="n">
        <v>0</v>
      </c>
    </row>
    <row r="666">
      <c r="A666" s="5" t="n">
        <v>45965</v>
      </c>
      <c r="B666" t="inlineStr">
        <is>
          <t>FB-Broad</t>
        </is>
      </c>
      <c r="C666" t="inlineStr">
        <is>
          <t>meta</t>
        </is>
      </c>
      <c r="D666" t="n">
        <v>16660</v>
      </c>
      <c r="E666" t="n">
        <v>11900</v>
      </c>
      <c r="F666" t="n">
        <v>124</v>
      </c>
      <c r="G666" t="n">
        <v>4</v>
      </c>
      <c r="H666" t="n">
        <v>0</v>
      </c>
      <c r="I666" t="n">
        <v>1</v>
      </c>
      <c r="J666" t="n">
        <v>0</v>
      </c>
    </row>
    <row r="667">
      <c r="A667" s="5" t="n">
        <v>45965</v>
      </c>
      <c r="B667" t="inlineStr">
        <is>
          <t>google_brand_search</t>
        </is>
      </c>
      <c r="C667" t="inlineStr">
        <is>
          <t>google</t>
        </is>
      </c>
      <c r="D667" t="n">
        <v>6632</v>
      </c>
      <c r="E667" t="n">
        <v>1381</v>
      </c>
      <c r="F667" t="n">
        <v>63</v>
      </c>
      <c r="G667" t="n">
        <v>0</v>
      </c>
      <c r="H667" t="n">
        <v>1</v>
      </c>
      <c r="I667" t="n">
        <v>2</v>
      </c>
      <c r="J667" t="n">
        <v>0</v>
      </c>
    </row>
    <row r="668">
      <c r="A668" s="5" t="n">
        <v>45965</v>
      </c>
      <c r="B668" t="inlineStr">
        <is>
          <t>google_nonbrand_growth</t>
        </is>
      </c>
      <c r="C668" t="inlineStr">
        <is>
          <t>google</t>
        </is>
      </c>
      <c r="D668" t="n">
        <v>24738</v>
      </c>
      <c r="E668" t="n">
        <v>5153</v>
      </c>
      <c r="F668" t="n">
        <v>237</v>
      </c>
      <c r="G668" t="n">
        <v>6</v>
      </c>
      <c r="H668" t="n">
        <v>2</v>
      </c>
      <c r="I668" t="n">
        <v>0</v>
      </c>
      <c r="J668" t="n">
        <v>0</v>
      </c>
    </row>
    <row r="669">
      <c r="A669" s="5" t="n">
        <v>45965</v>
      </c>
      <c r="B669" t="inlineStr">
        <is>
          <t>linkedin_ceo_abm</t>
        </is>
      </c>
      <c r="C669" t="inlineStr">
        <is>
          <t>linkedin</t>
        </is>
      </c>
      <c r="D669" t="n">
        <v>25214</v>
      </c>
      <c r="E669" t="n">
        <v>4848</v>
      </c>
      <c r="F669" t="n">
        <v>30</v>
      </c>
      <c r="G669" t="n">
        <v>2</v>
      </c>
      <c r="H669" t="n">
        <v>2</v>
      </c>
      <c r="I669" t="n">
        <v>0</v>
      </c>
      <c r="J669" t="n">
        <v>0</v>
      </c>
    </row>
    <row r="670">
      <c r="A670" s="5" t="n">
        <v>45965</v>
      </c>
      <c r="B670" t="inlineStr">
        <is>
          <t>meta_prospecting_founder</t>
        </is>
      </c>
      <c r="C670" t="inlineStr">
        <is>
          <t>meta</t>
        </is>
      </c>
      <c r="D670" t="n">
        <v>31203</v>
      </c>
      <c r="E670" t="n">
        <v>22287</v>
      </c>
      <c r="F670" t="n">
        <v>209</v>
      </c>
      <c r="G670" t="n">
        <v>4</v>
      </c>
      <c r="H670" t="n">
        <v>1</v>
      </c>
      <c r="I670" t="n">
        <v>0</v>
      </c>
      <c r="J670" t="n">
        <v>0</v>
      </c>
    </row>
    <row r="671">
      <c r="A671" s="5" t="n">
        <v>45965</v>
      </c>
      <c r="B671" t="inlineStr">
        <is>
          <t>meta_retargeting_webinar</t>
        </is>
      </c>
      <c r="C671" t="inlineStr">
        <is>
          <t>meta</t>
        </is>
      </c>
      <c r="D671" t="n">
        <v>8996</v>
      </c>
      <c r="E671" t="n">
        <v>6425</v>
      </c>
      <c r="F671" t="n">
        <v>71</v>
      </c>
      <c r="G671" t="n">
        <v>5</v>
      </c>
      <c r="H671" t="n">
        <v>1</v>
      </c>
      <c r="I671" t="n">
        <v>3</v>
      </c>
      <c r="J671" t="n">
        <v>0</v>
      </c>
    </row>
    <row r="672">
      <c r="A672" s="5" t="n">
        <v>45966</v>
      </c>
      <c r="B672" t="inlineStr">
        <is>
          <t>FB-Broad</t>
        </is>
      </c>
      <c r="C672" t="inlineStr">
        <is>
          <t>meta</t>
        </is>
      </c>
      <c r="D672" t="n">
        <v>17824</v>
      </c>
      <c r="E672" t="n">
        <v>12731</v>
      </c>
      <c r="F672" t="n">
        <v>159</v>
      </c>
      <c r="G672" t="n">
        <v>2</v>
      </c>
      <c r="H672" t="n">
        <v>0</v>
      </c>
      <c r="I672" t="n">
        <v>0</v>
      </c>
      <c r="J672" t="n">
        <v>0</v>
      </c>
    </row>
    <row r="673">
      <c r="A673" s="5" t="n">
        <v>45966</v>
      </c>
      <c r="B673" t="inlineStr">
        <is>
          <t>google_brand_search</t>
        </is>
      </c>
      <c r="C673" t="inlineStr">
        <is>
          <t>google</t>
        </is>
      </c>
      <c r="D673" t="n">
        <v>6791</v>
      </c>
      <c r="E673" t="n">
        <v>1414</v>
      </c>
      <c r="F673" t="n">
        <v>66</v>
      </c>
      <c r="G673" t="n">
        <v>1</v>
      </c>
      <c r="H673" t="n">
        <v>0</v>
      </c>
      <c r="I673" t="n">
        <v>0</v>
      </c>
      <c r="J673" t="n">
        <v>0</v>
      </c>
    </row>
    <row r="674">
      <c r="A674" s="5" t="n">
        <v>45966</v>
      </c>
      <c r="B674" t="inlineStr">
        <is>
          <t>google_nonbrand_growth</t>
        </is>
      </c>
      <c r="C674" t="inlineStr">
        <is>
          <t>google</t>
        </is>
      </c>
      <c r="D674" t="n">
        <v>21389</v>
      </c>
      <c r="E674" t="n">
        <v>4456</v>
      </c>
      <c r="F674" t="n">
        <v>240</v>
      </c>
      <c r="G674" t="n">
        <v>4</v>
      </c>
      <c r="H674" t="n">
        <v>1</v>
      </c>
      <c r="I674" t="n">
        <v>0</v>
      </c>
      <c r="J674" t="n">
        <v>0</v>
      </c>
    </row>
    <row r="675">
      <c r="A675" s="5" t="n">
        <v>45966</v>
      </c>
      <c r="B675" t="inlineStr">
        <is>
          <t>linkedin_ceo_abm</t>
        </is>
      </c>
      <c r="C675" t="inlineStr">
        <is>
          <t>linkedin</t>
        </is>
      </c>
      <c r="D675" t="n">
        <v>23813</v>
      </c>
      <c r="E675" t="n">
        <v>4579</v>
      </c>
      <c r="F675" t="n">
        <v>29</v>
      </c>
      <c r="G675" t="n">
        <v>2</v>
      </c>
      <c r="H675" t="n">
        <v>1</v>
      </c>
      <c r="I675" t="n">
        <v>0</v>
      </c>
      <c r="J675" t="n">
        <v>0</v>
      </c>
    </row>
    <row r="676">
      <c r="A676" s="5" t="n">
        <v>45966</v>
      </c>
      <c r="B676" t="inlineStr">
        <is>
          <t>meta_prospecting_founder</t>
        </is>
      </c>
      <c r="C676" t="inlineStr">
        <is>
          <t>meta</t>
        </is>
      </c>
      <c r="D676" t="n">
        <v>33073</v>
      </c>
      <c r="E676" t="n">
        <v>23623</v>
      </c>
      <c r="F676" t="n">
        <v>238</v>
      </c>
      <c r="G676" t="n">
        <v>9</v>
      </c>
      <c r="H676" t="n">
        <v>1</v>
      </c>
      <c r="I676" t="n">
        <v>1</v>
      </c>
      <c r="J676" t="n">
        <v>0</v>
      </c>
    </row>
    <row r="677">
      <c r="A677" s="5" t="n">
        <v>45966</v>
      </c>
      <c r="B677" t="inlineStr">
        <is>
          <t>meta_retargeting_webinar</t>
        </is>
      </c>
      <c r="C677" t="inlineStr">
        <is>
          <t>meta</t>
        </is>
      </c>
      <c r="D677" t="n">
        <v>9095</v>
      </c>
      <c r="E677" t="n">
        <v>6496</v>
      </c>
      <c r="F677" t="n">
        <v>79</v>
      </c>
      <c r="G677" t="n">
        <v>8</v>
      </c>
      <c r="H677" t="n">
        <v>2</v>
      </c>
      <c r="I677" t="n">
        <v>1</v>
      </c>
      <c r="J677" t="n">
        <v>0</v>
      </c>
    </row>
    <row r="678">
      <c r="A678" s="5" t="n">
        <v>45967</v>
      </c>
      <c r="B678" t="inlineStr">
        <is>
          <t>FB-Broad</t>
        </is>
      </c>
      <c r="C678" t="inlineStr">
        <is>
          <t>meta</t>
        </is>
      </c>
      <c r="D678" t="n">
        <v>17994</v>
      </c>
      <c r="E678" t="n">
        <v>12852</v>
      </c>
      <c r="F678" t="n">
        <v>137</v>
      </c>
      <c r="G678" t="n">
        <v>4</v>
      </c>
      <c r="H678" t="n">
        <v>1</v>
      </c>
      <c r="I678" t="n">
        <v>0</v>
      </c>
      <c r="J678" t="n">
        <v>0</v>
      </c>
    </row>
    <row r="679">
      <c r="A679" s="5" t="n">
        <v>45967</v>
      </c>
      <c r="B679" t="inlineStr">
        <is>
          <t>google_brand_search</t>
        </is>
      </c>
      <c r="C679" t="inlineStr">
        <is>
          <t>google</t>
        </is>
      </c>
      <c r="D679" t="n">
        <v>6774</v>
      </c>
      <c r="E679" t="n">
        <v>1411</v>
      </c>
      <c r="F679" t="n">
        <v>72</v>
      </c>
      <c r="G679" t="n">
        <v>3</v>
      </c>
      <c r="H679" t="n">
        <v>1</v>
      </c>
      <c r="I679" t="n">
        <v>1</v>
      </c>
      <c r="J679" t="n">
        <v>0</v>
      </c>
    </row>
    <row r="680">
      <c r="A680" s="5" t="n">
        <v>45967</v>
      </c>
      <c r="B680" t="inlineStr">
        <is>
          <t>google_nonbrand_growth</t>
        </is>
      </c>
      <c r="C680" t="inlineStr">
        <is>
          <t>google</t>
        </is>
      </c>
      <c r="D680" t="n">
        <v>23328</v>
      </c>
      <c r="E680" t="n">
        <v>4860</v>
      </c>
      <c r="F680" t="n">
        <v>260</v>
      </c>
      <c r="G680" t="n">
        <v>4</v>
      </c>
      <c r="H680" t="n">
        <v>1</v>
      </c>
      <c r="I680" t="n">
        <v>0</v>
      </c>
      <c r="J680" t="n">
        <v>0</v>
      </c>
    </row>
    <row r="681">
      <c r="A681" s="5" t="n">
        <v>45967</v>
      </c>
      <c r="B681" t="inlineStr">
        <is>
          <t>linkedin_ceo_abm</t>
        </is>
      </c>
      <c r="C681" t="inlineStr">
        <is>
          <t>linkedin</t>
        </is>
      </c>
      <c r="D681" t="n">
        <v>24313</v>
      </c>
      <c r="E681" t="n">
        <v>4675</v>
      </c>
      <c r="F681" t="n">
        <v>31</v>
      </c>
      <c r="G681" t="n">
        <v>0</v>
      </c>
      <c r="H681" t="n">
        <v>0</v>
      </c>
      <c r="I681" t="n">
        <v>1</v>
      </c>
      <c r="J681" t="n">
        <v>0</v>
      </c>
    </row>
    <row r="682">
      <c r="A682" s="5" t="n">
        <v>45967</v>
      </c>
      <c r="B682" t="inlineStr">
        <is>
          <t>meta_prospecting_founder</t>
        </is>
      </c>
      <c r="C682" t="inlineStr">
        <is>
          <t>meta</t>
        </is>
      </c>
      <c r="D682" t="n">
        <v>33004</v>
      </c>
      <c r="E682" t="n">
        <v>23574</v>
      </c>
      <c r="F682" t="n">
        <v>297</v>
      </c>
      <c r="G682" t="n">
        <v>12</v>
      </c>
      <c r="H682" t="n">
        <v>1</v>
      </c>
      <c r="I682" t="n">
        <v>1</v>
      </c>
      <c r="J682" t="n">
        <v>0</v>
      </c>
    </row>
    <row r="683">
      <c r="A683" s="5" t="n">
        <v>45967</v>
      </c>
      <c r="B683" t="inlineStr">
        <is>
          <t>meta_retargeting_webinar</t>
        </is>
      </c>
      <c r="C683" t="inlineStr">
        <is>
          <t>meta</t>
        </is>
      </c>
      <c r="D683" t="n">
        <v>9740</v>
      </c>
      <c r="E683" t="n">
        <v>6957</v>
      </c>
      <c r="F683" t="n">
        <v>87</v>
      </c>
      <c r="G683" t="n">
        <v>4</v>
      </c>
      <c r="H683" t="n">
        <v>2</v>
      </c>
      <c r="I683" t="n">
        <v>0</v>
      </c>
      <c r="J683" t="n">
        <v>0</v>
      </c>
    </row>
    <row r="684">
      <c r="A684" s="5" t="n">
        <v>45968</v>
      </c>
      <c r="B684" t="inlineStr">
        <is>
          <t>FB-Broad</t>
        </is>
      </c>
      <c r="C684" t="inlineStr">
        <is>
          <t>meta</t>
        </is>
      </c>
      <c r="D684" t="n">
        <v>15745</v>
      </c>
      <c r="E684" t="n">
        <v>11246</v>
      </c>
      <c r="F684" t="n">
        <v>139</v>
      </c>
      <c r="G684" t="n">
        <v>6</v>
      </c>
      <c r="H684" t="n">
        <v>0</v>
      </c>
      <c r="I684" t="n">
        <v>1</v>
      </c>
      <c r="J684" t="n">
        <v>0</v>
      </c>
    </row>
    <row r="685">
      <c r="A685" s="5" t="n">
        <v>45968</v>
      </c>
      <c r="B685" t="inlineStr">
        <is>
          <t>google_brand_search</t>
        </is>
      </c>
      <c r="C685" t="inlineStr">
        <is>
          <t>google</t>
        </is>
      </c>
      <c r="D685" t="n">
        <v>7130</v>
      </c>
      <c r="E685" t="n">
        <v>1485</v>
      </c>
      <c r="F685" t="n">
        <v>76</v>
      </c>
      <c r="G685" t="n">
        <v>1</v>
      </c>
      <c r="H685" t="n">
        <v>0</v>
      </c>
      <c r="I685" t="n">
        <v>0</v>
      </c>
      <c r="J685" t="n">
        <v>0</v>
      </c>
    </row>
    <row r="686">
      <c r="A686" s="5" t="n">
        <v>45968</v>
      </c>
      <c r="B686" t="inlineStr">
        <is>
          <t>google_nonbrand_growth</t>
        </is>
      </c>
      <c r="C686" t="inlineStr">
        <is>
          <t>google</t>
        </is>
      </c>
      <c r="D686" t="n">
        <v>23447</v>
      </c>
      <c r="E686" t="n">
        <v>4884</v>
      </c>
      <c r="F686" t="n">
        <v>220</v>
      </c>
      <c r="G686" t="n">
        <v>3</v>
      </c>
      <c r="H686" t="n">
        <v>1</v>
      </c>
      <c r="I686" t="n">
        <v>0</v>
      </c>
      <c r="J686" t="n">
        <v>0</v>
      </c>
    </row>
    <row r="687">
      <c r="A687" s="5" t="n">
        <v>45968</v>
      </c>
      <c r="B687" t="inlineStr">
        <is>
          <t>linkedin_ceo_abm</t>
        </is>
      </c>
      <c r="C687" t="inlineStr">
        <is>
          <t>linkedin</t>
        </is>
      </c>
      <c r="D687" t="n">
        <v>27879</v>
      </c>
      <c r="E687" t="n">
        <v>5361</v>
      </c>
      <c r="F687" t="n">
        <v>35</v>
      </c>
      <c r="G687" t="n">
        <v>3</v>
      </c>
      <c r="H687" t="n">
        <v>2</v>
      </c>
      <c r="I687" t="n">
        <v>1</v>
      </c>
      <c r="J687" t="n">
        <v>0</v>
      </c>
    </row>
    <row r="688">
      <c r="A688" s="5" t="n">
        <v>45968</v>
      </c>
      <c r="B688" t="inlineStr">
        <is>
          <t>meta_prospecting_founder</t>
        </is>
      </c>
      <c r="C688" t="inlineStr">
        <is>
          <t>meta</t>
        </is>
      </c>
      <c r="D688" t="n">
        <v>31580</v>
      </c>
      <c r="E688" t="n">
        <v>22557</v>
      </c>
      <c r="F688" t="n">
        <v>255</v>
      </c>
      <c r="G688" t="n">
        <v>4</v>
      </c>
      <c r="H688" t="n">
        <v>4</v>
      </c>
      <c r="I688" t="n">
        <v>0</v>
      </c>
      <c r="J688" t="n">
        <v>0</v>
      </c>
    </row>
    <row r="689">
      <c r="A689" s="5" t="n">
        <v>45968</v>
      </c>
      <c r="B689" t="inlineStr">
        <is>
          <t>meta_retargeting_webinar</t>
        </is>
      </c>
      <c r="C689" t="inlineStr">
        <is>
          <t>meta</t>
        </is>
      </c>
      <c r="D689" t="n">
        <v>9285</v>
      </c>
      <c r="E689" t="n">
        <v>6632</v>
      </c>
      <c r="F689" t="n">
        <v>64</v>
      </c>
      <c r="G689" t="n">
        <v>3</v>
      </c>
      <c r="H689" t="n">
        <v>1</v>
      </c>
      <c r="I689" t="n">
        <v>1</v>
      </c>
      <c r="J689" t="n">
        <v>0</v>
      </c>
    </row>
    <row r="690">
      <c r="A690" s="5" t="n">
        <v>45969</v>
      </c>
      <c r="B690" t="inlineStr">
        <is>
          <t>FB-Broad</t>
        </is>
      </c>
      <c r="C690" t="inlineStr">
        <is>
          <t>meta</t>
        </is>
      </c>
      <c r="D690" t="n">
        <v>15704</v>
      </c>
      <c r="E690" t="n">
        <v>11217</v>
      </c>
      <c r="F690" t="n">
        <v>106</v>
      </c>
      <c r="G690" t="n">
        <v>3</v>
      </c>
      <c r="H690" t="n">
        <v>3</v>
      </c>
      <c r="I690" t="n">
        <v>0</v>
      </c>
      <c r="J690" t="n">
        <v>0</v>
      </c>
    </row>
    <row r="691">
      <c r="A691" s="5" t="n">
        <v>45969</v>
      </c>
      <c r="B691" t="inlineStr">
        <is>
          <t>google_brand_search</t>
        </is>
      </c>
      <c r="C691" t="inlineStr">
        <is>
          <t>google</t>
        </is>
      </c>
      <c r="D691" t="n">
        <v>7149</v>
      </c>
      <c r="E691" t="n">
        <v>1489</v>
      </c>
      <c r="F691" t="n">
        <v>71</v>
      </c>
      <c r="G691" t="n">
        <v>2</v>
      </c>
      <c r="H691" t="n">
        <v>2</v>
      </c>
      <c r="I691" t="n">
        <v>0</v>
      </c>
      <c r="J691" t="n">
        <v>0</v>
      </c>
    </row>
    <row r="692">
      <c r="A692" s="5" t="n">
        <v>45969</v>
      </c>
      <c r="B692" t="inlineStr">
        <is>
          <t>google_nonbrand_growth</t>
        </is>
      </c>
      <c r="C692" t="inlineStr">
        <is>
          <t>google</t>
        </is>
      </c>
      <c r="D692" t="n">
        <v>24800</v>
      </c>
      <c r="E692" t="n">
        <v>5166</v>
      </c>
      <c r="F692" t="n">
        <v>267</v>
      </c>
      <c r="G692" t="n">
        <v>1</v>
      </c>
      <c r="H692" t="n">
        <v>0</v>
      </c>
      <c r="I692" t="n">
        <v>0</v>
      </c>
      <c r="J692" t="n">
        <v>0</v>
      </c>
    </row>
    <row r="693">
      <c r="A693" s="5" t="n">
        <v>45969</v>
      </c>
      <c r="B693" t="inlineStr">
        <is>
          <t>linkedin_ceo_abm</t>
        </is>
      </c>
      <c r="C693" t="inlineStr">
        <is>
          <t>linkedin</t>
        </is>
      </c>
      <c r="D693" t="n">
        <v>27545</v>
      </c>
      <c r="E693" t="n">
        <v>5297</v>
      </c>
      <c r="F693" t="n">
        <v>36</v>
      </c>
      <c r="G693" t="n">
        <v>1</v>
      </c>
      <c r="H693" t="n">
        <v>1</v>
      </c>
      <c r="I693" t="n">
        <v>1</v>
      </c>
      <c r="J693" t="n">
        <v>0</v>
      </c>
    </row>
    <row r="694">
      <c r="A694" s="5" t="n">
        <v>45969</v>
      </c>
      <c r="B694" t="inlineStr">
        <is>
          <t>meta_prospecting_founder</t>
        </is>
      </c>
      <c r="C694" t="inlineStr">
        <is>
          <t>meta</t>
        </is>
      </c>
      <c r="D694" t="n">
        <v>32931</v>
      </c>
      <c r="E694" t="n">
        <v>23522</v>
      </c>
      <c r="F694" t="n">
        <v>245</v>
      </c>
      <c r="G694" t="n">
        <v>8</v>
      </c>
      <c r="H694" t="n">
        <v>3</v>
      </c>
      <c r="I694" t="n">
        <v>1</v>
      </c>
      <c r="J694" t="n">
        <v>0</v>
      </c>
    </row>
    <row r="695">
      <c r="A695" s="5" t="n">
        <v>45969</v>
      </c>
      <c r="B695" t="inlineStr">
        <is>
          <t>meta_retargeting_webinar</t>
        </is>
      </c>
      <c r="C695" t="inlineStr">
        <is>
          <t>meta</t>
        </is>
      </c>
      <c r="D695" t="n">
        <v>9829</v>
      </c>
      <c r="E695" t="n">
        <v>7020</v>
      </c>
      <c r="F695" t="n">
        <v>69</v>
      </c>
      <c r="G695" t="n">
        <v>1</v>
      </c>
      <c r="H695" t="n">
        <v>3</v>
      </c>
      <c r="I695" t="n">
        <v>0</v>
      </c>
      <c r="J695" t="n">
        <v>0</v>
      </c>
    </row>
    <row r="696">
      <c r="A696" s="5" t="n">
        <v>45970</v>
      </c>
      <c r="B696" t="inlineStr">
        <is>
          <t>FB-Broad</t>
        </is>
      </c>
      <c r="C696" t="inlineStr">
        <is>
          <t>meta</t>
        </is>
      </c>
      <c r="D696" t="n">
        <v>17104</v>
      </c>
      <c r="E696" t="n">
        <v>12217</v>
      </c>
      <c r="F696" t="n">
        <v>152</v>
      </c>
      <c r="G696" t="n">
        <v>3</v>
      </c>
      <c r="H696" t="n">
        <v>2</v>
      </c>
      <c r="I696" t="n">
        <v>1</v>
      </c>
      <c r="J696" t="n">
        <v>0</v>
      </c>
    </row>
    <row r="697">
      <c r="A697" s="5" t="n">
        <v>45970</v>
      </c>
      <c r="B697" t="inlineStr">
        <is>
          <t>google_brand_search</t>
        </is>
      </c>
      <c r="C697" t="inlineStr">
        <is>
          <t>google</t>
        </is>
      </c>
      <c r="D697" t="n">
        <v>6250</v>
      </c>
      <c r="E697" t="n">
        <v>1302</v>
      </c>
      <c r="F697" t="n">
        <v>74</v>
      </c>
      <c r="G697" t="n">
        <v>2</v>
      </c>
      <c r="H697" t="n">
        <v>0</v>
      </c>
      <c r="I697" t="n">
        <v>0</v>
      </c>
      <c r="J697" t="n">
        <v>1</v>
      </c>
    </row>
    <row r="698">
      <c r="A698" s="5" t="n">
        <v>45970</v>
      </c>
      <c r="B698" t="inlineStr">
        <is>
          <t>google_nonbrand_growth</t>
        </is>
      </c>
      <c r="C698" t="inlineStr">
        <is>
          <t>google</t>
        </is>
      </c>
      <c r="D698" t="n">
        <v>21016</v>
      </c>
      <c r="E698" t="n">
        <v>4378</v>
      </c>
      <c r="F698" t="n">
        <v>239</v>
      </c>
      <c r="G698" t="n">
        <v>1</v>
      </c>
      <c r="H698" t="n">
        <v>0</v>
      </c>
      <c r="I698" t="n">
        <v>0</v>
      </c>
      <c r="J698" t="n">
        <v>0</v>
      </c>
    </row>
    <row r="699">
      <c r="A699" s="5" t="n">
        <v>45970</v>
      </c>
      <c r="B699" t="inlineStr">
        <is>
          <t>linkedin_ceo_abm</t>
        </is>
      </c>
      <c r="C699" t="inlineStr">
        <is>
          <t>linkedin</t>
        </is>
      </c>
      <c r="D699" t="n">
        <v>25075</v>
      </c>
      <c r="E699" t="n">
        <v>4822</v>
      </c>
      <c r="F699" t="n">
        <v>28</v>
      </c>
      <c r="G699" t="n">
        <v>1</v>
      </c>
      <c r="H699" t="n">
        <v>0</v>
      </c>
      <c r="I699" t="n">
        <v>2</v>
      </c>
      <c r="J699" t="n">
        <v>1</v>
      </c>
    </row>
    <row r="700">
      <c r="A700" s="5" t="n">
        <v>45970</v>
      </c>
      <c r="B700" t="inlineStr">
        <is>
          <t>meta_prospecting_founder</t>
        </is>
      </c>
      <c r="C700" t="inlineStr">
        <is>
          <t>meta</t>
        </is>
      </c>
      <c r="D700" t="n">
        <v>31970</v>
      </c>
      <c r="E700" t="n">
        <v>22835</v>
      </c>
      <c r="F700" t="n">
        <v>255</v>
      </c>
      <c r="G700" t="n">
        <v>7</v>
      </c>
      <c r="H700" t="n">
        <v>2</v>
      </c>
      <c r="I700" t="n">
        <v>0</v>
      </c>
      <c r="J700" t="n">
        <v>1</v>
      </c>
    </row>
    <row r="701">
      <c r="A701" s="5" t="n">
        <v>45970</v>
      </c>
      <c r="B701" t="inlineStr">
        <is>
          <t>meta_retargeting_webinar</t>
        </is>
      </c>
      <c r="C701" t="inlineStr">
        <is>
          <t>meta</t>
        </is>
      </c>
      <c r="D701" t="n">
        <v>9429</v>
      </c>
      <c r="E701" t="n">
        <v>6735</v>
      </c>
      <c r="F701" t="n">
        <v>74</v>
      </c>
      <c r="G701" t="n">
        <v>3</v>
      </c>
      <c r="H701" t="n">
        <v>0</v>
      </c>
      <c r="I701" t="n">
        <v>0</v>
      </c>
      <c r="J701" t="n">
        <v>1</v>
      </c>
    </row>
    <row r="702">
      <c r="A702" s="5" t="n">
        <v>45971</v>
      </c>
      <c r="B702" t="inlineStr">
        <is>
          <t>FB-Broad</t>
        </is>
      </c>
      <c r="C702" t="inlineStr">
        <is>
          <t>meta</t>
        </is>
      </c>
      <c r="D702" t="n">
        <v>16651</v>
      </c>
      <c r="E702" t="n">
        <v>11893</v>
      </c>
      <c r="F702" t="n">
        <v>130</v>
      </c>
      <c r="G702" t="n">
        <v>3</v>
      </c>
      <c r="H702" t="n">
        <v>0</v>
      </c>
      <c r="I702" t="n">
        <v>1</v>
      </c>
      <c r="J702" t="n">
        <v>0</v>
      </c>
    </row>
    <row r="703">
      <c r="A703" s="5" t="n">
        <v>45971</v>
      </c>
      <c r="B703" t="inlineStr">
        <is>
          <t>google_brand_search</t>
        </is>
      </c>
      <c r="C703" t="inlineStr">
        <is>
          <t>google</t>
        </is>
      </c>
      <c r="D703" t="n">
        <v>7351</v>
      </c>
      <c r="E703" t="n">
        <v>1531</v>
      </c>
      <c r="F703" t="n">
        <v>78</v>
      </c>
      <c r="G703" t="n">
        <v>0</v>
      </c>
      <c r="H703" t="n">
        <v>1</v>
      </c>
      <c r="I703" t="n">
        <v>0</v>
      </c>
      <c r="J703" t="n">
        <v>0</v>
      </c>
    </row>
    <row r="704">
      <c r="A704" s="5" t="n">
        <v>45971</v>
      </c>
      <c r="B704" t="inlineStr">
        <is>
          <t>google_nonbrand_growth</t>
        </is>
      </c>
      <c r="C704" t="inlineStr">
        <is>
          <t>google</t>
        </is>
      </c>
      <c r="D704" t="n">
        <v>22451</v>
      </c>
      <c r="E704" t="n">
        <v>4677</v>
      </c>
      <c r="F704" t="n">
        <v>231</v>
      </c>
      <c r="G704" t="n">
        <v>3</v>
      </c>
      <c r="H704" t="n">
        <v>1</v>
      </c>
      <c r="I704" t="n">
        <v>1</v>
      </c>
      <c r="J704" t="n">
        <v>0</v>
      </c>
    </row>
    <row r="705">
      <c r="A705" s="5" t="n">
        <v>45971</v>
      </c>
      <c r="B705" t="inlineStr">
        <is>
          <t>linkedin_ceo_abm</t>
        </is>
      </c>
      <c r="C705" t="inlineStr">
        <is>
          <t>linkedin</t>
        </is>
      </c>
      <c r="D705" t="n">
        <v>24666</v>
      </c>
      <c r="E705" t="n">
        <v>4743</v>
      </c>
      <c r="F705" t="n">
        <v>28</v>
      </c>
      <c r="G705" t="n">
        <v>3</v>
      </c>
      <c r="H705" t="n">
        <v>1</v>
      </c>
      <c r="I705" t="n">
        <v>0</v>
      </c>
      <c r="J705" t="n">
        <v>0</v>
      </c>
    </row>
    <row r="706">
      <c r="A706" s="5" t="n">
        <v>45971</v>
      </c>
      <c r="B706" t="inlineStr">
        <is>
          <t>meta_prospecting_founder</t>
        </is>
      </c>
      <c r="C706" t="inlineStr">
        <is>
          <t>meta</t>
        </is>
      </c>
      <c r="D706" t="n">
        <v>32642</v>
      </c>
      <c r="E706" t="n">
        <v>23315</v>
      </c>
      <c r="F706" t="n">
        <v>285</v>
      </c>
      <c r="G706" t="n">
        <v>6</v>
      </c>
      <c r="H706" t="n">
        <v>4</v>
      </c>
      <c r="I706" t="n">
        <v>3</v>
      </c>
      <c r="J706" t="n">
        <v>2</v>
      </c>
    </row>
    <row r="707">
      <c r="A707" s="5" t="n">
        <v>45971</v>
      </c>
      <c r="B707" t="inlineStr">
        <is>
          <t>meta_retargeting_webinar</t>
        </is>
      </c>
      <c r="C707" t="inlineStr">
        <is>
          <t>meta</t>
        </is>
      </c>
      <c r="D707" t="n">
        <v>9564</v>
      </c>
      <c r="E707" t="n">
        <v>6831</v>
      </c>
      <c r="F707" t="n">
        <v>77</v>
      </c>
      <c r="G707" t="n">
        <v>4</v>
      </c>
      <c r="H707" t="n">
        <v>1</v>
      </c>
      <c r="I707" t="n">
        <v>0</v>
      </c>
      <c r="J707" t="n">
        <v>0</v>
      </c>
    </row>
    <row r="708">
      <c r="A708" s="5" t="n">
        <v>45972</v>
      </c>
      <c r="B708" t="inlineStr">
        <is>
          <t>FB-Broad</t>
        </is>
      </c>
      <c r="C708" t="inlineStr">
        <is>
          <t>meta</t>
        </is>
      </c>
      <c r="D708" t="n">
        <v>15689</v>
      </c>
      <c r="E708" t="n">
        <v>11206</v>
      </c>
      <c r="F708" t="n">
        <v>111</v>
      </c>
      <c r="G708" t="n">
        <v>6</v>
      </c>
      <c r="H708" t="n">
        <v>1</v>
      </c>
      <c r="I708" t="n">
        <v>1</v>
      </c>
      <c r="J708" t="n">
        <v>0</v>
      </c>
    </row>
    <row r="709">
      <c r="A709" s="5" t="n">
        <v>45972</v>
      </c>
      <c r="B709" t="inlineStr">
        <is>
          <t>google_brand_search</t>
        </is>
      </c>
      <c r="C709" t="inlineStr">
        <is>
          <t>google</t>
        </is>
      </c>
      <c r="D709" t="n">
        <v>7320</v>
      </c>
      <c r="E709" t="n">
        <v>1525</v>
      </c>
      <c r="F709" t="n">
        <v>83</v>
      </c>
      <c r="G709" t="n">
        <v>0</v>
      </c>
      <c r="H709" t="n">
        <v>0</v>
      </c>
      <c r="I709" t="n">
        <v>0</v>
      </c>
      <c r="J709" t="n">
        <v>0</v>
      </c>
    </row>
    <row r="710">
      <c r="A710" s="5" t="n">
        <v>45972</v>
      </c>
      <c r="B710" t="inlineStr">
        <is>
          <t>google_nonbrand_growth</t>
        </is>
      </c>
      <c r="C710" t="inlineStr">
        <is>
          <t>google</t>
        </is>
      </c>
      <c r="D710" t="n">
        <v>24291</v>
      </c>
      <c r="E710" t="n">
        <v>5060</v>
      </c>
      <c r="F710" t="n">
        <v>291</v>
      </c>
      <c r="G710" t="n">
        <v>2</v>
      </c>
      <c r="H710" t="n">
        <v>1</v>
      </c>
      <c r="I710" t="n">
        <v>0</v>
      </c>
      <c r="J710" t="n">
        <v>0</v>
      </c>
    </row>
    <row r="711">
      <c r="A711" s="5" t="n">
        <v>45972</v>
      </c>
      <c r="B711" t="inlineStr">
        <is>
          <t>linkedin_ceo_abm</t>
        </is>
      </c>
      <c r="C711" t="inlineStr">
        <is>
          <t>linkedin</t>
        </is>
      </c>
      <c r="D711" t="n">
        <v>22930</v>
      </c>
      <c r="E711" t="n">
        <v>4409</v>
      </c>
      <c r="F711" t="n">
        <v>28</v>
      </c>
      <c r="G711" t="n">
        <v>3</v>
      </c>
      <c r="H711" t="n">
        <v>1</v>
      </c>
      <c r="I711" t="n">
        <v>0</v>
      </c>
      <c r="J711" t="n">
        <v>0</v>
      </c>
    </row>
    <row r="712">
      <c r="A712" s="5" t="n">
        <v>45972</v>
      </c>
      <c r="B712" t="inlineStr">
        <is>
          <t>meta_prospecting_founder</t>
        </is>
      </c>
      <c r="C712" t="inlineStr">
        <is>
          <t>meta</t>
        </is>
      </c>
      <c r="D712" t="n">
        <v>32758</v>
      </c>
      <c r="E712" t="n">
        <v>23398</v>
      </c>
      <c r="F712" t="n">
        <v>225</v>
      </c>
      <c r="G712" t="n">
        <v>13</v>
      </c>
      <c r="H712" t="n">
        <v>1</v>
      </c>
      <c r="I712" t="n">
        <v>0</v>
      </c>
      <c r="J712" t="n">
        <v>1</v>
      </c>
    </row>
    <row r="713">
      <c r="A713" s="5" t="n">
        <v>45972</v>
      </c>
      <c r="B713" t="inlineStr">
        <is>
          <t>meta_retargeting_webinar</t>
        </is>
      </c>
      <c r="C713" t="inlineStr">
        <is>
          <t>meta</t>
        </is>
      </c>
      <c r="D713" t="n">
        <v>9791</v>
      </c>
      <c r="E713" t="n">
        <v>6993</v>
      </c>
      <c r="F713" t="n">
        <v>67</v>
      </c>
      <c r="G713" t="n">
        <v>3</v>
      </c>
      <c r="H713" t="n">
        <v>2</v>
      </c>
      <c r="I713" t="n">
        <v>1</v>
      </c>
      <c r="J713" t="n">
        <v>0</v>
      </c>
    </row>
    <row r="714">
      <c r="A714" s="5" t="n">
        <v>45973</v>
      </c>
      <c r="B714" t="inlineStr">
        <is>
          <t>FB-Broad</t>
        </is>
      </c>
      <c r="C714" t="inlineStr">
        <is>
          <t>meta</t>
        </is>
      </c>
      <c r="D714" t="n">
        <v>14993</v>
      </c>
      <c r="E714" t="n">
        <v>10709</v>
      </c>
      <c r="F714" t="n">
        <v>108</v>
      </c>
      <c r="G714" t="n">
        <v>7</v>
      </c>
      <c r="H714" t="n">
        <v>1</v>
      </c>
      <c r="I714" t="n">
        <v>0</v>
      </c>
      <c r="J714" t="n">
        <v>0</v>
      </c>
    </row>
    <row r="715">
      <c r="A715" s="5" t="n">
        <v>45973</v>
      </c>
      <c r="B715" t="inlineStr">
        <is>
          <t>google_brand_search</t>
        </is>
      </c>
      <c r="C715" t="inlineStr">
        <is>
          <t>google</t>
        </is>
      </c>
      <c r="D715" t="n">
        <v>7454</v>
      </c>
      <c r="E715" t="n">
        <v>1552</v>
      </c>
      <c r="F715" t="n">
        <v>85</v>
      </c>
      <c r="G715" t="n">
        <v>8</v>
      </c>
      <c r="H715" t="n">
        <v>1</v>
      </c>
      <c r="I715" t="n">
        <v>0</v>
      </c>
      <c r="J715" t="n">
        <v>0</v>
      </c>
    </row>
    <row r="716">
      <c r="A716" s="5" t="n">
        <v>45973</v>
      </c>
      <c r="B716" t="inlineStr">
        <is>
          <t>google_nonbrand_growth</t>
        </is>
      </c>
      <c r="C716" t="inlineStr">
        <is>
          <t>google</t>
        </is>
      </c>
      <c r="D716" t="n">
        <v>22493</v>
      </c>
      <c r="E716" t="n">
        <v>4686</v>
      </c>
      <c r="F716" t="n">
        <v>251</v>
      </c>
      <c r="G716" t="n">
        <v>3</v>
      </c>
      <c r="H716" t="n">
        <v>1</v>
      </c>
      <c r="I716" t="n">
        <v>0</v>
      </c>
      <c r="J716" t="n">
        <v>0</v>
      </c>
    </row>
    <row r="717">
      <c r="A717" s="5" t="n">
        <v>45973</v>
      </c>
      <c r="B717" t="inlineStr">
        <is>
          <t>linkedin_ceo_abm</t>
        </is>
      </c>
      <c r="C717" t="inlineStr">
        <is>
          <t>linkedin</t>
        </is>
      </c>
      <c r="D717" t="n">
        <v>24946</v>
      </c>
      <c r="E717" t="n">
        <v>4797</v>
      </c>
      <c r="F717" t="n">
        <v>31</v>
      </c>
      <c r="G717" t="n">
        <v>1</v>
      </c>
      <c r="H717" t="n">
        <v>0</v>
      </c>
      <c r="I717" t="n">
        <v>0</v>
      </c>
      <c r="J717" t="n">
        <v>1</v>
      </c>
    </row>
    <row r="718">
      <c r="A718" s="5" t="n">
        <v>45973</v>
      </c>
      <c r="B718" t="inlineStr">
        <is>
          <t>meta_prospecting_founder</t>
        </is>
      </c>
      <c r="C718" t="inlineStr">
        <is>
          <t>meta</t>
        </is>
      </c>
      <c r="D718" t="n">
        <v>31369</v>
      </c>
      <c r="E718" t="n">
        <v>22406</v>
      </c>
      <c r="F718" t="n">
        <v>265</v>
      </c>
      <c r="G718" t="n">
        <v>8</v>
      </c>
      <c r="H718" t="n">
        <v>2</v>
      </c>
      <c r="I718" t="n">
        <v>1</v>
      </c>
      <c r="J718" t="n">
        <v>0</v>
      </c>
    </row>
    <row r="719">
      <c r="A719" s="5" t="n">
        <v>45973</v>
      </c>
      <c r="B719" t="inlineStr">
        <is>
          <t>meta_retargeting_webinar</t>
        </is>
      </c>
      <c r="C719" t="inlineStr">
        <is>
          <t>meta</t>
        </is>
      </c>
      <c r="D719" t="n">
        <v>8777</v>
      </c>
      <c r="E719" t="n">
        <v>6269</v>
      </c>
      <c r="F719" t="n">
        <v>65</v>
      </c>
      <c r="G719" t="n">
        <v>7</v>
      </c>
      <c r="H719" t="n">
        <v>1</v>
      </c>
      <c r="I719" t="n">
        <v>1</v>
      </c>
      <c r="J719" t="n">
        <v>0</v>
      </c>
    </row>
    <row r="720">
      <c r="A720" s="5" t="n">
        <v>45974</v>
      </c>
      <c r="B720" t="inlineStr">
        <is>
          <t>FB-Broad</t>
        </is>
      </c>
      <c r="C720" t="inlineStr">
        <is>
          <t>meta</t>
        </is>
      </c>
      <c r="D720" t="n">
        <v>16020</v>
      </c>
      <c r="E720" t="n">
        <v>11442</v>
      </c>
      <c r="F720" t="n">
        <v>126</v>
      </c>
      <c r="G720" t="n">
        <v>6</v>
      </c>
      <c r="H720" t="n">
        <v>0</v>
      </c>
      <c r="I720" t="n">
        <v>0</v>
      </c>
      <c r="J720" t="n">
        <v>0</v>
      </c>
    </row>
    <row r="721">
      <c r="A721" s="5" t="n">
        <v>45974</v>
      </c>
      <c r="B721" t="inlineStr">
        <is>
          <t>google_brand_search</t>
        </is>
      </c>
      <c r="C721" t="inlineStr">
        <is>
          <t>google</t>
        </is>
      </c>
      <c r="D721" t="n">
        <v>7488</v>
      </c>
      <c r="E721" t="n">
        <v>1559</v>
      </c>
      <c r="F721" t="n">
        <v>81</v>
      </c>
      <c r="G721" t="n">
        <v>4</v>
      </c>
      <c r="H721" t="n">
        <v>1</v>
      </c>
      <c r="I721" t="n">
        <v>0</v>
      </c>
      <c r="J721" t="n">
        <v>1</v>
      </c>
    </row>
    <row r="722">
      <c r="A722" s="5" t="n">
        <v>45974</v>
      </c>
      <c r="B722" t="inlineStr">
        <is>
          <t>google_nonbrand_growth</t>
        </is>
      </c>
      <c r="C722" t="inlineStr">
        <is>
          <t>google</t>
        </is>
      </c>
      <c r="D722" t="n">
        <v>22406</v>
      </c>
      <c r="E722" t="n">
        <v>4667</v>
      </c>
      <c r="F722" t="n">
        <v>238</v>
      </c>
      <c r="G722" t="n">
        <v>5</v>
      </c>
      <c r="H722" t="n">
        <v>0</v>
      </c>
      <c r="I722" t="n">
        <v>0</v>
      </c>
      <c r="J722" t="n">
        <v>0</v>
      </c>
    </row>
    <row r="723">
      <c r="A723" s="5" t="n">
        <v>45974</v>
      </c>
      <c r="B723" t="inlineStr">
        <is>
          <t>linkedin_ceo_abm</t>
        </is>
      </c>
      <c r="C723" t="inlineStr">
        <is>
          <t>linkedin</t>
        </is>
      </c>
      <c r="D723" t="n">
        <v>23809</v>
      </c>
      <c r="E723" t="n">
        <v>4578</v>
      </c>
      <c r="F723" t="n">
        <v>26</v>
      </c>
      <c r="G723" t="n">
        <v>4</v>
      </c>
      <c r="H723" t="n">
        <v>1</v>
      </c>
      <c r="I723" t="n">
        <v>1</v>
      </c>
      <c r="J723" t="n">
        <v>0</v>
      </c>
    </row>
    <row r="724">
      <c r="A724" s="5" t="n">
        <v>45974</v>
      </c>
      <c r="B724" t="inlineStr">
        <is>
          <t>meta_prospecting_founder</t>
        </is>
      </c>
      <c r="C724" t="inlineStr">
        <is>
          <t>meta</t>
        </is>
      </c>
      <c r="D724" t="n">
        <v>34764</v>
      </c>
      <c r="E724" t="n">
        <v>24831</v>
      </c>
      <c r="F724" t="n">
        <v>313</v>
      </c>
      <c r="G724" t="n">
        <v>6</v>
      </c>
      <c r="H724" t="n">
        <v>3</v>
      </c>
      <c r="I724" t="n">
        <v>2</v>
      </c>
      <c r="J724" t="n">
        <v>0</v>
      </c>
    </row>
    <row r="725">
      <c r="A725" s="5" t="n">
        <v>45974</v>
      </c>
      <c r="B725" t="inlineStr">
        <is>
          <t>meta_retargeting_webinar</t>
        </is>
      </c>
      <c r="C725" t="inlineStr">
        <is>
          <t>meta</t>
        </is>
      </c>
      <c r="D725" t="n">
        <v>9279</v>
      </c>
      <c r="E725" t="n">
        <v>6627</v>
      </c>
      <c r="F725" t="n">
        <v>72</v>
      </c>
      <c r="G725" t="n">
        <v>1</v>
      </c>
      <c r="H725" t="n">
        <v>2</v>
      </c>
      <c r="I725" t="n">
        <v>0</v>
      </c>
      <c r="J725" t="n">
        <v>0</v>
      </c>
    </row>
    <row r="726">
      <c r="A726" s="5" t="n">
        <v>45975</v>
      </c>
      <c r="B726" t="inlineStr">
        <is>
          <t>FB-Broad</t>
        </is>
      </c>
      <c r="C726" t="inlineStr">
        <is>
          <t>meta</t>
        </is>
      </c>
      <c r="D726" t="n">
        <v>16534</v>
      </c>
      <c r="E726" t="n">
        <v>11810</v>
      </c>
      <c r="F726" t="n">
        <v>119</v>
      </c>
      <c r="G726" t="n">
        <v>2</v>
      </c>
      <c r="H726" t="n">
        <v>0</v>
      </c>
      <c r="I726" t="n">
        <v>0</v>
      </c>
      <c r="J726" t="n">
        <v>0</v>
      </c>
    </row>
    <row r="727">
      <c r="A727" s="5" t="n">
        <v>45975</v>
      </c>
      <c r="B727" t="inlineStr">
        <is>
          <t>google_brand_search</t>
        </is>
      </c>
      <c r="C727" t="inlineStr">
        <is>
          <t>google</t>
        </is>
      </c>
      <c r="D727" t="n">
        <v>6352</v>
      </c>
      <c r="E727" t="n">
        <v>1323</v>
      </c>
      <c r="F727" t="n">
        <v>70</v>
      </c>
      <c r="G727" t="n">
        <v>4</v>
      </c>
      <c r="H727" t="n">
        <v>2</v>
      </c>
      <c r="I727" t="n">
        <v>0</v>
      </c>
      <c r="J727" t="n">
        <v>0</v>
      </c>
    </row>
    <row r="728">
      <c r="A728" s="5" t="n">
        <v>45975</v>
      </c>
      <c r="B728" t="inlineStr">
        <is>
          <t>google_nonbrand_growth</t>
        </is>
      </c>
      <c r="C728" t="inlineStr">
        <is>
          <t>google</t>
        </is>
      </c>
      <c r="D728" t="n">
        <v>24024</v>
      </c>
      <c r="E728" t="n">
        <v>5005</v>
      </c>
      <c r="F728" t="n">
        <v>225</v>
      </c>
      <c r="G728" t="n">
        <v>2</v>
      </c>
      <c r="H728" t="n">
        <v>2</v>
      </c>
      <c r="I728" t="n">
        <v>1</v>
      </c>
      <c r="J728" t="n">
        <v>0</v>
      </c>
    </row>
    <row r="729">
      <c r="A729" s="5" t="n">
        <v>45975</v>
      </c>
      <c r="B729" t="inlineStr">
        <is>
          <t>linkedin_ceo_abm</t>
        </is>
      </c>
      <c r="C729" t="inlineStr">
        <is>
          <t>linkedin</t>
        </is>
      </c>
      <c r="D729" t="n">
        <v>25092</v>
      </c>
      <c r="E729" t="n">
        <v>4825</v>
      </c>
      <c r="F729" t="n">
        <v>29</v>
      </c>
      <c r="G729" t="n">
        <v>1</v>
      </c>
      <c r="H729" t="n">
        <v>2</v>
      </c>
      <c r="I729" t="n">
        <v>0</v>
      </c>
      <c r="J729" t="n">
        <v>0</v>
      </c>
    </row>
    <row r="730">
      <c r="A730" s="5" t="n">
        <v>45975</v>
      </c>
      <c r="B730" t="inlineStr">
        <is>
          <t>meta_prospecting_founder</t>
        </is>
      </c>
      <c r="C730" t="inlineStr">
        <is>
          <t>meta</t>
        </is>
      </c>
      <c r="D730" t="n">
        <v>34829</v>
      </c>
      <c r="E730" t="n">
        <v>24877</v>
      </c>
      <c r="F730" t="n">
        <v>303</v>
      </c>
      <c r="G730" t="n">
        <v>10</v>
      </c>
      <c r="H730" t="n">
        <v>4</v>
      </c>
      <c r="I730" t="n">
        <v>0</v>
      </c>
      <c r="J730" t="n">
        <v>0</v>
      </c>
    </row>
    <row r="731">
      <c r="A731" s="5" t="n">
        <v>45975</v>
      </c>
      <c r="B731" t="inlineStr">
        <is>
          <t>meta_retargeting_webinar</t>
        </is>
      </c>
      <c r="C731" t="inlineStr">
        <is>
          <t>meta</t>
        </is>
      </c>
      <c r="D731" t="n">
        <v>9203</v>
      </c>
      <c r="E731" t="n">
        <v>6573</v>
      </c>
      <c r="F731" t="n">
        <v>61</v>
      </c>
      <c r="G731" t="n">
        <v>1</v>
      </c>
      <c r="H731" t="n">
        <v>0</v>
      </c>
      <c r="I731" t="n">
        <v>0</v>
      </c>
      <c r="J731" t="n">
        <v>0</v>
      </c>
    </row>
    <row r="732">
      <c r="A732" s="5" t="n">
        <v>45976</v>
      </c>
      <c r="B732" t="inlineStr">
        <is>
          <t>FB-Broad</t>
        </is>
      </c>
      <c r="C732" t="inlineStr">
        <is>
          <t>meta</t>
        </is>
      </c>
      <c r="D732" t="n">
        <v>15971</v>
      </c>
      <c r="E732" t="n">
        <v>11407</v>
      </c>
      <c r="F732" t="n">
        <v>136</v>
      </c>
      <c r="G732" t="n">
        <v>2</v>
      </c>
      <c r="H732" t="n">
        <v>1</v>
      </c>
      <c r="I732" t="n">
        <v>0</v>
      </c>
      <c r="J732" t="n">
        <v>0</v>
      </c>
    </row>
    <row r="733">
      <c r="A733" s="5" t="n">
        <v>45976</v>
      </c>
      <c r="B733" t="inlineStr">
        <is>
          <t>google_brand_search</t>
        </is>
      </c>
      <c r="C733" t="inlineStr">
        <is>
          <t>google</t>
        </is>
      </c>
      <c r="D733" t="n">
        <v>6385</v>
      </c>
      <c r="E733" t="n">
        <v>1330</v>
      </c>
      <c r="F733" t="n">
        <v>59</v>
      </c>
      <c r="G733" t="n">
        <v>1</v>
      </c>
      <c r="H733" t="n">
        <v>2</v>
      </c>
      <c r="I733" t="n">
        <v>1</v>
      </c>
      <c r="J733" t="n">
        <v>0</v>
      </c>
    </row>
    <row r="734">
      <c r="A734" s="5" t="n">
        <v>45976</v>
      </c>
      <c r="B734" t="inlineStr">
        <is>
          <t>google_nonbrand_growth</t>
        </is>
      </c>
      <c r="C734" t="inlineStr">
        <is>
          <t>google</t>
        </is>
      </c>
      <c r="D734" t="n">
        <v>22594</v>
      </c>
      <c r="E734" t="n">
        <v>4707</v>
      </c>
      <c r="F734" t="n">
        <v>232</v>
      </c>
      <c r="G734" t="n">
        <v>1</v>
      </c>
      <c r="H734" t="n">
        <v>3</v>
      </c>
      <c r="I734" t="n">
        <v>2</v>
      </c>
      <c r="J734" t="n">
        <v>0</v>
      </c>
    </row>
    <row r="735">
      <c r="A735" s="5" t="n">
        <v>45976</v>
      </c>
      <c r="B735" t="inlineStr">
        <is>
          <t>linkedin_ceo_abm</t>
        </is>
      </c>
      <c r="C735" t="inlineStr">
        <is>
          <t>linkedin</t>
        </is>
      </c>
      <c r="D735" t="n">
        <v>28066</v>
      </c>
      <c r="E735" t="n">
        <v>5397</v>
      </c>
      <c r="F735" t="n">
        <v>33</v>
      </c>
      <c r="G735" t="n">
        <v>0</v>
      </c>
      <c r="H735" t="n">
        <v>0</v>
      </c>
      <c r="I735" t="n">
        <v>0</v>
      </c>
      <c r="J735" t="n">
        <v>0</v>
      </c>
    </row>
    <row r="736">
      <c r="A736" s="5" t="n">
        <v>45976</v>
      </c>
      <c r="B736" t="inlineStr">
        <is>
          <t>meta_prospecting_founder</t>
        </is>
      </c>
      <c r="C736" t="inlineStr">
        <is>
          <t>meta</t>
        </is>
      </c>
      <c r="D736" t="n">
        <v>34682</v>
      </c>
      <c r="E736" t="n">
        <v>24772</v>
      </c>
      <c r="F736" t="n">
        <v>287</v>
      </c>
      <c r="G736" t="n">
        <v>3</v>
      </c>
      <c r="H736" t="n">
        <v>2</v>
      </c>
      <c r="I736" t="n">
        <v>0</v>
      </c>
      <c r="J736" t="n">
        <v>0</v>
      </c>
    </row>
    <row r="737">
      <c r="A737" s="5" t="n">
        <v>45976</v>
      </c>
      <c r="B737" t="inlineStr">
        <is>
          <t>meta_retargeting_webinar</t>
        </is>
      </c>
      <c r="C737" t="inlineStr">
        <is>
          <t>meta</t>
        </is>
      </c>
      <c r="D737" t="n">
        <v>9314</v>
      </c>
      <c r="E737" t="n">
        <v>6652</v>
      </c>
      <c r="F737" t="n">
        <v>81</v>
      </c>
      <c r="G737" t="n">
        <v>2</v>
      </c>
      <c r="H737" t="n">
        <v>2</v>
      </c>
      <c r="I737" t="n">
        <v>0</v>
      </c>
      <c r="J737" t="n">
        <v>0</v>
      </c>
    </row>
    <row r="738">
      <c r="A738" s="5" t="n">
        <v>45977</v>
      </c>
      <c r="B738" t="inlineStr">
        <is>
          <t>FB-Broad</t>
        </is>
      </c>
      <c r="C738" t="inlineStr">
        <is>
          <t>meta</t>
        </is>
      </c>
      <c r="D738" t="n">
        <v>16486</v>
      </c>
      <c r="E738" t="n">
        <v>11775</v>
      </c>
      <c r="F738" t="n">
        <v>134</v>
      </c>
      <c r="G738" t="n">
        <v>1</v>
      </c>
      <c r="H738" t="n">
        <v>1</v>
      </c>
      <c r="I738" t="n">
        <v>0</v>
      </c>
      <c r="J738" t="n">
        <v>0</v>
      </c>
    </row>
    <row r="739">
      <c r="A739" s="5" t="n">
        <v>45977</v>
      </c>
      <c r="B739" t="inlineStr">
        <is>
          <t>google_brand_search</t>
        </is>
      </c>
      <c r="C739" t="inlineStr">
        <is>
          <t>google</t>
        </is>
      </c>
      <c r="D739" t="n">
        <v>7232</v>
      </c>
      <c r="E739" t="n">
        <v>1506</v>
      </c>
      <c r="F739" t="n">
        <v>84</v>
      </c>
      <c r="G739" t="n">
        <v>2</v>
      </c>
      <c r="H739" t="n">
        <v>1</v>
      </c>
      <c r="I739" t="n">
        <v>2</v>
      </c>
      <c r="J739" t="n">
        <v>0</v>
      </c>
    </row>
    <row r="740">
      <c r="A740" s="5" t="n">
        <v>45977</v>
      </c>
      <c r="B740" t="inlineStr">
        <is>
          <t>google_nonbrand_growth</t>
        </is>
      </c>
      <c r="C740" t="inlineStr">
        <is>
          <t>google</t>
        </is>
      </c>
      <c r="D740" t="n">
        <v>20886</v>
      </c>
      <c r="E740" t="n">
        <v>4351</v>
      </c>
      <c r="F740" t="n">
        <v>199</v>
      </c>
      <c r="G740" t="n">
        <v>4</v>
      </c>
      <c r="H740" t="n">
        <v>0</v>
      </c>
      <c r="I740" t="n">
        <v>0</v>
      </c>
      <c r="J740" t="n">
        <v>0</v>
      </c>
    </row>
    <row r="741">
      <c r="A741" s="5" t="n">
        <v>45977</v>
      </c>
      <c r="B741" t="inlineStr">
        <is>
          <t>linkedin_ceo_abm</t>
        </is>
      </c>
      <c r="C741" t="inlineStr">
        <is>
          <t>linkedin</t>
        </is>
      </c>
      <c r="D741" t="n">
        <v>27669</v>
      </c>
      <c r="E741" t="n">
        <v>5320</v>
      </c>
      <c r="F741" t="n">
        <v>35</v>
      </c>
      <c r="G741" t="n">
        <v>1</v>
      </c>
      <c r="H741" t="n">
        <v>1</v>
      </c>
      <c r="I741" t="n">
        <v>1</v>
      </c>
      <c r="J741" t="n">
        <v>1</v>
      </c>
    </row>
    <row r="742">
      <c r="A742" s="5" t="n">
        <v>45977</v>
      </c>
      <c r="B742" t="inlineStr">
        <is>
          <t>meta_prospecting_founder</t>
        </is>
      </c>
      <c r="C742" t="inlineStr">
        <is>
          <t>meta</t>
        </is>
      </c>
      <c r="D742" t="n">
        <v>33521</v>
      </c>
      <c r="E742" t="n">
        <v>23943</v>
      </c>
      <c r="F742" t="n">
        <v>272</v>
      </c>
      <c r="G742" t="n">
        <v>4</v>
      </c>
      <c r="H742" t="n">
        <v>0</v>
      </c>
      <c r="I742" t="n">
        <v>1</v>
      </c>
      <c r="J742" t="n">
        <v>0</v>
      </c>
    </row>
    <row r="743">
      <c r="A743" s="5" t="n">
        <v>45977</v>
      </c>
      <c r="B743" t="inlineStr">
        <is>
          <t>meta_retargeting_webinar</t>
        </is>
      </c>
      <c r="C743" t="inlineStr">
        <is>
          <t>meta</t>
        </is>
      </c>
      <c r="D743" t="n">
        <v>9586</v>
      </c>
      <c r="E743" t="n">
        <v>6847</v>
      </c>
      <c r="F743" t="n">
        <v>77</v>
      </c>
      <c r="G743" t="n">
        <v>3</v>
      </c>
      <c r="H743" t="n">
        <v>0</v>
      </c>
      <c r="I743" t="n">
        <v>2</v>
      </c>
      <c r="J743" t="n">
        <v>0</v>
      </c>
    </row>
    <row r="744">
      <c r="A744" s="5" t="n">
        <v>45978</v>
      </c>
      <c r="B744" t="inlineStr">
        <is>
          <t>FB-Broad</t>
        </is>
      </c>
      <c r="C744" t="inlineStr">
        <is>
          <t>meta</t>
        </is>
      </c>
      <c r="D744" t="n">
        <v>15136</v>
      </c>
      <c r="E744" t="n">
        <v>10811</v>
      </c>
      <c r="F744" t="n">
        <v>109</v>
      </c>
      <c r="G744" t="n">
        <v>6</v>
      </c>
      <c r="H744" t="n">
        <v>1</v>
      </c>
      <c r="I744" t="n">
        <v>1</v>
      </c>
      <c r="J744" t="n">
        <v>1</v>
      </c>
    </row>
    <row r="745">
      <c r="A745" s="5" t="n">
        <v>45978</v>
      </c>
      <c r="B745" t="inlineStr">
        <is>
          <t>google_brand_search</t>
        </is>
      </c>
      <c r="C745" t="inlineStr">
        <is>
          <t>google</t>
        </is>
      </c>
      <c r="D745" t="n">
        <v>6852</v>
      </c>
      <c r="E745" t="n">
        <v>1427</v>
      </c>
      <c r="F745" t="n">
        <v>71</v>
      </c>
      <c r="G745" t="n">
        <v>3</v>
      </c>
      <c r="H745" t="n">
        <v>1</v>
      </c>
      <c r="I745" t="n">
        <v>1</v>
      </c>
      <c r="J745" t="n">
        <v>0</v>
      </c>
    </row>
    <row r="746">
      <c r="A746" s="5" t="n">
        <v>45978</v>
      </c>
      <c r="B746" t="inlineStr">
        <is>
          <t>google_nonbrand_growth</t>
        </is>
      </c>
      <c r="C746" t="inlineStr">
        <is>
          <t>google</t>
        </is>
      </c>
      <c r="D746" t="n">
        <v>23184</v>
      </c>
      <c r="E746" t="n">
        <v>4830</v>
      </c>
      <c r="F746" t="n">
        <v>237</v>
      </c>
      <c r="G746" t="n">
        <v>4</v>
      </c>
      <c r="H746" t="n">
        <v>4</v>
      </c>
      <c r="I746" t="n">
        <v>0</v>
      </c>
      <c r="J746" t="n">
        <v>0</v>
      </c>
    </row>
    <row r="747">
      <c r="A747" s="5" t="n">
        <v>45978</v>
      </c>
      <c r="B747" t="inlineStr">
        <is>
          <t>linkedin_ceo_abm</t>
        </is>
      </c>
      <c r="C747" t="inlineStr">
        <is>
          <t>linkedin</t>
        </is>
      </c>
      <c r="D747" t="n">
        <v>27581</v>
      </c>
      <c r="E747" t="n">
        <v>5304</v>
      </c>
      <c r="F747" t="n">
        <v>34</v>
      </c>
      <c r="G747" t="n">
        <v>1</v>
      </c>
      <c r="H747" t="n">
        <v>1</v>
      </c>
      <c r="I747" t="n">
        <v>1</v>
      </c>
      <c r="J747" t="n">
        <v>0</v>
      </c>
    </row>
    <row r="748">
      <c r="A748" s="5" t="n">
        <v>45978</v>
      </c>
      <c r="B748" t="inlineStr">
        <is>
          <t>meta_prospecting_founder</t>
        </is>
      </c>
      <c r="C748" t="inlineStr">
        <is>
          <t>meta</t>
        </is>
      </c>
      <c r="D748" t="n">
        <v>30564</v>
      </c>
      <c r="E748" t="n">
        <v>21831</v>
      </c>
      <c r="F748" t="n">
        <v>265</v>
      </c>
      <c r="G748" t="n">
        <v>4</v>
      </c>
      <c r="H748" t="n">
        <v>2</v>
      </c>
      <c r="I748" t="n">
        <v>0</v>
      </c>
      <c r="J748" t="n">
        <v>0</v>
      </c>
    </row>
    <row r="749">
      <c r="A749" s="5" t="n">
        <v>45978</v>
      </c>
      <c r="B749" t="inlineStr">
        <is>
          <t>meta_retargeting_webinar</t>
        </is>
      </c>
      <c r="C749" t="inlineStr">
        <is>
          <t>meta</t>
        </is>
      </c>
      <c r="D749" t="n">
        <v>10221</v>
      </c>
      <c r="E749" t="n">
        <v>7300</v>
      </c>
      <c r="F749" t="n">
        <v>71</v>
      </c>
      <c r="G749" t="n">
        <v>2</v>
      </c>
      <c r="H749" t="n">
        <v>3</v>
      </c>
      <c r="I749" t="n">
        <v>3</v>
      </c>
      <c r="J749" t="n">
        <v>0</v>
      </c>
    </row>
    <row r="750">
      <c r="A750" s="5" t="n">
        <v>45979</v>
      </c>
      <c r="B750" t="inlineStr">
        <is>
          <t>FB-Broad</t>
        </is>
      </c>
      <c r="C750" t="inlineStr">
        <is>
          <t>meta</t>
        </is>
      </c>
      <c r="D750" t="n">
        <v>16214</v>
      </c>
      <c r="E750" t="n">
        <v>11581</v>
      </c>
      <c r="F750" t="n">
        <v>119</v>
      </c>
      <c r="G750" t="n">
        <v>4</v>
      </c>
      <c r="H750" t="n">
        <v>0</v>
      </c>
      <c r="I750" t="n">
        <v>0</v>
      </c>
      <c r="J750" t="n">
        <v>0</v>
      </c>
    </row>
    <row r="751">
      <c r="A751" s="5" t="n">
        <v>45979</v>
      </c>
      <c r="B751" t="inlineStr">
        <is>
          <t>google_brand_search</t>
        </is>
      </c>
      <c r="C751" t="inlineStr">
        <is>
          <t>google</t>
        </is>
      </c>
      <c r="D751" t="n">
        <v>6880</v>
      </c>
      <c r="E751" t="n">
        <v>1433</v>
      </c>
      <c r="F751" t="n">
        <v>64</v>
      </c>
      <c r="G751" t="n">
        <v>0</v>
      </c>
      <c r="H751" t="n">
        <v>1</v>
      </c>
      <c r="I751" t="n">
        <v>1</v>
      </c>
      <c r="J751" t="n">
        <v>0</v>
      </c>
    </row>
    <row r="752">
      <c r="A752" s="5" t="n">
        <v>45979</v>
      </c>
      <c r="B752" t="inlineStr">
        <is>
          <t>google_nonbrand_growth</t>
        </is>
      </c>
      <c r="C752" t="inlineStr">
        <is>
          <t>google</t>
        </is>
      </c>
      <c r="D752" t="n">
        <v>24804</v>
      </c>
      <c r="E752" t="n">
        <v>5167</v>
      </c>
      <c r="F752" t="n">
        <v>271</v>
      </c>
      <c r="G752" t="n">
        <v>5</v>
      </c>
      <c r="H752" t="n">
        <v>1</v>
      </c>
      <c r="I752" t="n">
        <v>0</v>
      </c>
      <c r="J752" t="n">
        <v>0</v>
      </c>
    </row>
    <row r="753">
      <c r="A753" s="5" t="n">
        <v>45979</v>
      </c>
      <c r="B753" t="inlineStr">
        <is>
          <t>linkedin_ceo_abm</t>
        </is>
      </c>
      <c r="C753" t="inlineStr">
        <is>
          <t>linkedin</t>
        </is>
      </c>
      <c r="D753" t="n">
        <v>25423</v>
      </c>
      <c r="E753" t="n">
        <v>4889</v>
      </c>
      <c r="F753" t="n">
        <v>33</v>
      </c>
      <c r="G753" t="n">
        <v>0</v>
      </c>
      <c r="H753" t="n">
        <v>0</v>
      </c>
      <c r="I753" t="n">
        <v>0</v>
      </c>
      <c r="J753" t="n">
        <v>0</v>
      </c>
    </row>
    <row r="754">
      <c r="A754" s="5" t="n">
        <v>45979</v>
      </c>
      <c r="B754" t="inlineStr">
        <is>
          <t>meta_prospecting_founder</t>
        </is>
      </c>
      <c r="C754" t="inlineStr">
        <is>
          <t>meta</t>
        </is>
      </c>
      <c r="D754" t="n">
        <v>30818</v>
      </c>
      <c r="E754" t="n">
        <v>22012</v>
      </c>
      <c r="F754" t="n">
        <v>237</v>
      </c>
      <c r="G754" t="n">
        <v>4</v>
      </c>
      <c r="H754" t="n">
        <v>0</v>
      </c>
      <c r="I754" t="n">
        <v>0</v>
      </c>
      <c r="J754" t="n">
        <v>0</v>
      </c>
    </row>
    <row r="755">
      <c r="A755" s="5" t="n">
        <v>45979</v>
      </c>
      <c r="B755" t="inlineStr">
        <is>
          <t>meta_retargeting_webinar</t>
        </is>
      </c>
      <c r="C755" t="inlineStr">
        <is>
          <t>meta</t>
        </is>
      </c>
      <c r="D755" t="n">
        <v>9961</v>
      </c>
      <c r="E755" t="n">
        <v>7115</v>
      </c>
      <c r="F755" t="n">
        <v>84</v>
      </c>
      <c r="G755" t="n">
        <v>4</v>
      </c>
      <c r="H755" t="n">
        <v>0</v>
      </c>
      <c r="I755" t="n">
        <v>1</v>
      </c>
      <c r="J755" t="n">
        <v>0</v>
      </c>
    </row>
    <row r="756">
      <c r="A756" s="5" t="n">
        <v>45980</v>
      </c>
      <c r="B756" t="inlineStr">
        <is>
          <t>FB-Broad</t>
        </is>
      </c>
      <c r="C756" t="inlineStr">
        <is>
          <t>meta</t>
        </is>
      </c>
      <c r="D756" t="n">
        <v>17054</v>
      </c>
      <c r="E756" t="n">
        <v>12181</v>
      </c>
      <c r="F756" t="n">
        <v>115</v>
      </c>
      <c r="G756" t="n">
        <v>0</v>
      </c>
      <c r="H756" t="n">
        <v>0</v>
      </c>
      <c r="I756" t="n">
        <v>1</v>
      </c>
      <c r="J756" t="n">
        <v>0</v>
      </c>
    </row>
    <row r="757">
      <c r="A757" s="5" t="n">
        <v>45980</v>
      </c>
      <c r="B757" t="inlineStr">
        <is>
          <t>google_brand_search</t>
        </is>
      </c>
      <c r="C757" t="inlineStr">
        <is>
          <t>google</t>
        </is>
      </c>
      <c r="D757" t="n">
        <v>6737</v>
      </c>
      <c r="E757" t="n">
        <v>1403</v>
      </c>
      <c r="F757" t="n">
        <v>69</v>
      </c>
      <c r="G757" t="n">
        <v>2</v>
      </c>
      <c r="H757" t="n">
        <v>2</v>
      </c>
      <c r="I757" t="n">
        <v>0</v>
      </c>
      <c r="J757" t="n">
        <v>0</v>
      </c>
    </row>
    <row r="758">
      <c r="A758" s="5" t="n">
        <v>45980</v>
      </c>
      <c r="B758" t="inlineStr">
        <is>
          <t>google_nonbrand_growth</t>
        </is>
      </c>
      <c r="C758" t="inlineStr">
        <is>
          <t>google</t>
        </is>
      </c>
      <c r="D758" t="n">
        <v>23418</v>
      </c>
      <c r="E758" t="n">
        <v>4878</v>
      </c>
      <c r="F758" t="n">
        <v>220</v>
      </c>
      <c r="G758" t="n">
        <v>6</v>
      </c>
      <c r="H758" t="n">
        <v>0</v>
      </c>
      <c r="I758" t="n">
        <v>2</v>
      </c>
      <c r="J758" t="n">
        <v>0</v>
      </c>
    </row>
    <row r="759">
      <c r="A759" s="5" t="n">
        <v>45980</v>
      </c>
      <c r="B759" t="inlineStr">
        <is>
          <t>linkedin_ceo_abm</t>
        </is>
      </c>
      <c r="C759" t="inlineStr">
        <is>
          <t>linkedin</t>
        </is>
      </c>
      <c r="D759" t="n">
        <v>27649</v>
      </c>
      <c r="E759" t="n">
        <v>5317</v>
      </c>
      <c r="F759" t="n">
        <v>38</v>
      </c>
      <c r="G759" t="n">
        <v>0</v>
      </c>
      <c r="H759" t="n">
        <v>0</v>
      </c>
      <c r="I759" t="n">
        <v>0</v>
      </c>
      <c r="J759" t="n">
        <v>0</v>
      </c>
    </row>
    <row r="760">
      <c r="A760" s="5" t="n">
        <v>45980</v>
      </c>
      <c r="B760" t="inlineStr">
        <is>
          <t>meta_prospecting_founder</t>
        </is>
      </c>
      <c r="C760" t="inlineStr">
        <is>
          <t>meta</t>
        </is>
      </c>
      <c r="D760" t="n">
        <v>31505</v>
      </c>
      <c r="E760" t="n">
        <v>22503</v>
      </c>
      <c r="F760" t="n">
        <v>258</v>
      </c>
      <c r="G760" t="n">
        <v>6</v>
      </c>
      <c r="H760" t="n">
        <v>2</v>
      </c>
      <c r="I760" t="n">
        <v>1</v>
      </c>
      <c r="J760" t="n">
        <v>0</v>
      </c>
    </row>
    <row r="761">
      <c r="A761" s="5" t="n">
        <v>45980</v>
      </c>
      <c r="B761" t="inlineStr">
        <is>
          <t>meta_retargeting_webinar</t>
        </is>
      </c>
      <c r="C761" t="inlineStr">
        <is>
          <t>meta</t>
        </is>
      </c>
      <c r="D761" t="n">
        <v>8545</v>
      </c>
      <c r="E761" t="n">
        <v>6103</v>
      </c>
      <c r="F761" t="n">
        <v>72</v>
      </c>
      <c r="G761" t="n">
        <v>2</v>
      </c>
      <c r="H761" t="n">
        <v>0</v>
      </c>
      <c r="I761" t="n">
        <v>2</v>
      </c>
      <c r="J761" t="n">
        <v>0</v>
      </c>
    </row>
    <row r="762">
      <c r="A762" s="5" t="n">
        <v>45981</v>
      </c>
      <c r="B762" t="inlineStr">
        <is>
          <t>FB-Broad</t>
        </is>
      </c>
      <c r="C762" t="inlineStr">
        <is>
          <t>meta</t>
        </is>
      </c>
      <c r="D762" t="n">
        <v>17607</v>
      </c>
      <c r="E762" t="n">
        <v>12576</v>
      </c>
      <c r="F762" t="n">
        <v>118</v>
      </c>
      <c r="G762" t="n">
        <v>4</v>
      </c>
      <c r="H762" t="n">
        <v>0</v>
      </c>
      <c r="I762" t="n">
        <v>0</v>
      </c>
      <c r="J762" t="n">
        <v>1</v>
      </c>
    </row>
    <row r="763">
      <c r="A763" s="5" t="n">
        <v>45981</v>
      </c>
      <c r="B763" t="inlineStr">
        <is>
          <t>google_brand_search</t>
        </is>
      </c>
      <c r="C763" t="inlineStr">
        <is>
          <t>google</t>
        </is>
      </c>
      <c r="D763" t="n">
        <v>6211</v>
      </c>
      <c r="E763" t="n">
        <v>1293</v>
      </c>
      <c r="F763" t="n">
        <v>67</v>
      </c>
      <c r="G763" t="n">
        <v>1</v>
      </c>
      <c r="H763" t="n">
        <v>2</v>
      </c>
      <c r="I763" t="n">
        <v>0</v>
      </c>
      <c r="J763" t="n">
        <v>0</v>
      </c>
    </row>
    <row r="764">
      <c r="A764" s="5" t="n">
        <v>45981</v>
      </c>
      <c r="B764" t="inlineStr">
        <is>
          <t>google_nonbrand_growth</t>
        </is>
      </c>
      <c r="C764" t="inlineStr">
        <is>
          <t>google</t>
        </is>
      </c>
      <c r="D764" t="n">
        <v>21083</v>
      </c>
      <c r="E764" t="n">
        <v>4392</v>
      </c>
      <c r="F764" t="n">
        <v>220</v>
      </c>
      <c r="G764" t="n">
        <v>3</v>
      </c>
      <c r="H764" t="n">
        <v>0</v>
      </c>
      <c r="I764" t="n">
        <v>2</v>
      </c>
      <c r="J764" t="n">
        <v>0</v>
      </c>
    </row>
    <row r="765">
      <c r="A765" s="5" t="n">
        <v>45981</v>
      </c>
      <c r="B765" t="inlineStr">
        <is>
          <t>linkedin_ceo_abm</t>
        </is>
      </c>
      <c r="C765" t="inlineStr">
        <is>
          <t>linkedin</t>
        </is>
      </c>
      <c r="D765" t="n">
        <v>23853</v>
      </c>
      <c r="E765" t="n">
        <v>4587</v>
      </c>
      <c r="F765" t="n">
        <v>32</v>
      </c>
      <c r="G765" t="n">
        <v>0</v>
      </c>
      <c r="H765" t="n">
        <v>0</v>
      </c>
      <c r="I765" t="n">
        <v>2</v>
      </c>
      <c r="J765" t="n">
        <v>1</v>
      </c>
    </row>
    <row r="766">
      <c r="A766" s="5" t="n">
        <v>45981</v>
      </c>
      <c r="B766" t="inlineStr">
        <is>
          <t>meta_prospecting_founder</t>
        </is>
      </c>
      <c r="C766" t="inlineStr">
        <is>
          <t>meta</t>
        </is>
      </c>
      <c r="D766" t="n">
        <v>34877</v>
      </c>
      <c r="E766" t="n">
        <v>24912</v>
      </c>
      <c r="F766" t="n">
        <v>298</v>
      </c>
      <c r="G766" t="n">
        <v>4</v>
      </c>
      <c r="H766" t="n">
        <v>1</v>
      </c>
      <c r="I766" t="n">
        <v>0</v>
      </c>
      <c r="J766" t="n">
        <v>0</v>
      </c>
    </row>
    <row r="767">
      <c r="A767" s="5" t="n">
        <v>45981</v>
      </c>
      <c r="B767" t="inlineStr">
        <is>
          <t>meta_retargeting_webinar</t>
        </is>
      </c>
      <c r="C767" t="inlineStr">
        <is>
          <t>meta</t>
        </is>
      </c>
      <c r="D767" t="n">
        <v>9913</v>
      </c>
      <c r="E767" t="n">
        <v>7080</v>
      </c>
      <c r="F767" t="n">
        <v>74</v>
      </c>
      <c r="G767" t="n">
        <v>3</v>
      </c>
      <c r="H767" t="n">
        <v>3</v>
      </c>
      <c r="I767" t="n">
        <v>0</v>
      </c>
      <c r="J767" t="n">
        <v>0</v>
      </c>
    </row>
    <row r="768">
      <c r="A768" s="5" t="n">
        <v>45982</v>
      </c>
      <c r="B768" t="inlineStr">
        <is>
          <t>FB-Broad</t>
        </is>
      </c>
      <c r="C768" t="inlineStr">
        <is>
          <t>meta</t>
        </is>
      </c>
      <c r="D768" t="n">
        <v>16250</v>
      </c>
      <c r="E768" t="n">
        <v>11607</v>
      </c>
      <c r="F768" t="n">
        <v>144</v>
      </c>
      <c r="G768" t="n">
        <v>3</v>
      </c>
      <c r="H768" t="n">
        <v>0</v>
      </c>
      <c r="I768" t="n">
        <v>0</v>
      </c>
      <c r="J768" t="n">
        <v>0</v>
      </c>
    </row>
    <row r="769">
      <c r="A769" s="5" t="n">
        <v>45982</v>
      </c>
      <c r="B769" t="inlineStr">
        <is>
          <t>google_brand_search</t>
        </is>
      </c>
      <c r="C769" t="inlineStr">
        <is>
          <t>google</t>
        </is>
      </c>
      <c r="D769" t="n">
        <v>7007</v>
      </c>
      <c r="E769" t="n">
        <v>1459</v>
      </c>
      <c r="F769" t="n">
        <v>84</v>
      </c>
      <c r="G769" t="n">
        <v>0</v>
      </c>
      <c r="H769" t="n">
        <v>0</v>
      </c>
      <c r="I769" t="n">
        <v>0</v>
      </c>
      <c r="J769" t="n">
        <v>0</v>
      </c>
    </row>
    <row r="770">
      <c r="A770" s="5" t="n">
        <v>45982</v>
      </c>
      <c r="B770" t="inlineStr">
        <is>
          <t>google_nonbrand_growth</t>
        </is>
      </c>
      <c r="C770" t="inlineStr">
        <is>
          <t>google</t>
        </is>
      </c>
      <c r="D770" t="n">
        <v>23669</v>
      </c>
      <c r="E770" t="n">
        <v>4931</v>
      </c>
      <c r="F770" t="n">
        <v>219</v>
      </c>
      <c r="G770" t="n">
        <v>1</v>
      </c>
      <c r="H770" t="n">
        <v>0</v>
      </c>
      <c r="I770" t="n">
        <v>1</v>
      </c>
      <c r="J770" t="n">
        <v>0</v>
      </c>
    </row>
    <row r="771">
      <c r="A771" s="5" t="n">
        <v>45982</v>
      </c>
      <c r="B771" t="inlineStr">
        <is>
          <t>linkedin_ceo_abm</t>
        </is>
      </c>
      <c r="C771" t="inlineStr">
        <is>
          <t>linkedin</t>
        </is>
      </c>
      <c r="D771" t="n">
        <v>26620</v>
      </c>
      <c r="E771" t="n">
        <v>5119</v>
      </c>
      <c r="F771" t="n">
        <v>34</v>
      </c>
      <c r="G771" t="n">
        <v>3</v>
      </c>
      <c r="H771" t="n">
        <v>0</v>
      </c>
      <c r="I771" t="n">
        <v>0</v>
      </c>
      <c r="J771" t="n">
        <v>0</v>
      </c>
    </row>
    <row r="772">
      <c r="A772" s="5" t="n">
        <v>45982</v>
      </c>
      <c r="B772" t="inlineStr">
        <is>
          <t>meta_prospecting_founder</t>
        </is>
      </c>
      <c r="C772" t="inlineStr">
        <is>
          <t>meta</t>
        </is>
      </c>
      <c r="D772" t="n">
        <v>33395</v>
      </c>
      <c r="E772" t="n">
        <v>23853</v>
      </c>
      <c r="F772" t="n">
        <v>271</v>
      </c>
      <c r="G772" t="n">
        <v>11</v>
      </c>
      <c r="H772" t="n">
        <v>1</v>
      </c>
      <c r="I772" t="n">
        <v>2</v>
      </c>
      <c r="J772" t="n">
        <v>0</v>
      </c>
    </row>
    <row r="773">
      <c r="A773" s="5" t="n">
        <v>45982</v>
      </c>
      <c r="B773" t="inlineStr">
        <is>
          <t>meta_retargeting_webinar</t>
        </is>
      </c>
      <c r="C773" t="inlineStr">
        <is>
          <t>meta</t>
        </is>
      </c>
      <c r="D773" t="n">
        <v>9640</v>
      </c>
      <c r="E773" t="n">
        <v>6885</v>
      </c>
      <c r="F773" t="n">
        <v>72</v>
      </c>
      <c r="G773" t="n">
        <v>1</v>
      </c>
      <c r="H773" t="n">
        <v>2</v>
      </c>
      <c r="I773" t="n">
        <v>0</v>
      </c>
      <c r="J773" t="n">
        <v>1</v>
      </c>
    </row>
    <row r="774">
      <c r="A774" s="5" t="n">
        <v>45983</v>
      </c>
      <c r="B774" t="inlineStr">
        <is>
          <t>FB-Broad</t>
        </is>
      </c>
      <c r="C774" t="inlineStr">
        <is>
          <t>meta</t>
        </is>
      </c>
      <c r="D774" t="n">
        <v>16997</v>
      </c>
      <c r="E774" t="n">
        <v>12140</v>
      </c>
      <c r="F774" t="n">
        <v>127</v>
      </c>
      <c r="G774" t="n">
        <v>1</v>
      </c>
      <c r="H774" t="n">
        <v>1</v>
      </c>
      <c r="I774" t="n">
        <v>0</v>
      </c>
      <c r="J774" t="n">
        <v>0</v>
      </c>
    </row>
    <row r="775">
      <c r="A775" s="5" t="n">
        <v>45983</v>
      </c>
      <c r="B775" t="inlineStr">
        <is>
          <t>google_brand_search</t>
        </is>
      </c>
      <c r="C775" t="inlineStr">
        <is>
          <t>google</t>
        </is>
      </c>
      <c r="D775" t="n">
        <v>7429</v>
      </c>
      <c r="E775" t="n">
        <v>1547</v>
      </c>
      <c r="F775" t="n">
        <v>68</v>
      </c>
      <c r="G775" t="n">
        <v>2</v>
      </c>
      <c r="H775" t="n">
        <v>1</v>
      </c>
      <c r="I775" t="n">
        <v>1</v>
      </c>
      <c r="J775" t="n">
        <v>0</v>
      </c>
    </row>
    <row r="776">
      <c r="A776" s="5" t="n">
        <v>45983</v>
      </c>
      <c r="B776" t="inlineStr">
        <is>
          <t>google_nonbrand_growth</t>
        </is>
      </c>
      <c r="C776" t="inlineStr">
        <is>
          <t>google</t>
        </is>
      </c>
      <c r="D776" t="n">
        <v>21848</v>
      </c>
      <c r="E776" t="n">
        <v>4551</v>
      </c>
      <c r="F776" t="n">
        <v>255</v>
      </c>
      <c r="G776" t="n">
        <v>1</v>
      </c>
      <c r="H776" t="n">
        <v>1</v>
      </c>
      <c r="I776" t="n">
        <v>1</v>
      </c>
      <c r="J776" t="n">
        <v>0</v>
      </c>
    </row>
    <row r="777">
      <c r="A777" s="5" t="n">
        <v>45983</v>
      </c>
      <c r="B777" t="inlineStr">
        <is>
          <t>linkedin_ceo_abm</t>
        </is>
      </c>
      <c r="C777" t="inlineStr">
        <is>
          <t>linkedin</t>
        </is>
      </c>
      <c r="D777" t="n">
        <v>26790</v>
      </c>
      <c r="E777" t="n">
        <v>5151</v>
      </c>
      <c r="F777" t="n">
        <v>32</v>
      </c>
      <c r="G777" t="n">
        <v>1</v>
      </c>
      <c r="H777" t="n">
        <v>0</v>
      </c>
      <c r="I777" t="n">
        <v>0</v>
      </c>
      <c r="J777" t="n">
        <v>0</v>
      </c>
    </row>
    <row r="778">
      <c r="A778" s="5" t="n">
        <v>45983</v>
      </c>
      <c r="B778" t="inlineStr">
        <is>
          <t>meta_prospecting_founder</t>
        </is>
      </c>
      <c r="C778" t="inlineStr">
        <is>
          <t>meta</t>
        </is>
      </c>
      <c r="D778" t="n">
        <v>34489</v>
      </c>
      <c r="E778" t="n">
        <v>24634</v>
      </c>
      <c r="F778" t="n">
        <v>276</v>
      </c>
      <c r="G778" t="n">
        <v>2</v>
      </c>
      <c r="H778" t="n">
        <v>3</v>
      </c>
      <c r="I778" t="n">
        <v>0</v>
      </c>
      <c r="J778" t="n">
        <v>0</v>
      </c>
    </row>
    <row r="779">
      <c r="A779" s="5" t="n">
        <v>45983</v>
      </c>
      <c r="B779" t="inlineStr">
        <is>
          <t>meta_retargeting_webinar</t>
        </is>
      </c>
      <c r="C779" t="inlineStr">
        <is>
          <t>meta</t>
        </is>
      </c>
      <c r="D779" t="n">
        <v>10183</v>
      </c>
      <c r="E779" t="n">
        <v>7273</v>
      </c>
      <c r="F779" t="n">
        <v>82</v>
      </c>
      <c r="G779" t="n">
        <v>3</v>
      </c>
      <c r="H779" t="n">
        <v>0</v>
      </c>
      <c r="I779" t="n">
        <v>0</v>
      </c>
      <c r="J779" t="n">
        <v>0</v>
      </c>
    </row>
    <row r="780">
      <c r="A780" s="5" t="n">
        <v>45984</v>
      </c>
      <c r="B780" t="inlineStr">
        <is>
          <t>FB-Broad</t>
        </is>
      </c>
      <c r="C780" t="inlineStr">
        <is>
          <t>meta</t>
        </is>
      </c>
      <c r="D780" t="n">
        <v>16528</v>
      </c>
      <c r="E780" t="n">
        <v>11805</v>
      </c>
      <c r="F780" t="n">
        <v>134</v>
      </c>
      <c r="G780" t="n">
        <v>2</v>
      </c>
      <c r="H780" t="n">
        <v>0</v>
      </c>
      <c r="I780" t="n">
        <v>0</v>
      </c>
      <c r="J780" t="n">
        <v>0</v>
      </c>
    </row>
    <row r="781">
      <c r="A781" s="5" t="n">
        <v>45984</v>
      </c>
      <c r="B781" t="inlineStr">
        <is>
          <t>google_brand_search</t>
        </is>
      </c>
      <c r="C781" t="inlineStr">
        <is>
          <t>google</t>
        </is>
      </c>
      <c r="D781" t="n">
        <v>6398</v>
      </c>
      <c r="E781" t="n">
        <v>1332</v>
      </c>
      <c r="F781" t="n">
        <v>63</v>
      </c>
      <c r="G781" t="n">
        <v>3</v>
      </c>
      <c r="H781" t="n">
        <v>1</v>
      </c>
      <c r="I781" t="n">
        <v>0</v>
      </c>
      <c r="J781" t="n">
        <v>0</v>
      </c>
    </row>
    <row r="782">
      <c r="A782" s="5" t="n">
        <v>45984</v>
      </c>
      <c r="B782" t="inlineStr">
        <is>
          <t>google_nonbrand_growth</t>
        </is>
      </c>
      <c r="C782" t="inlineStr">
        <is>
          <t>google</t>
        </is>
      </c>
      <c r="D782" t="n">
        <v>21094</v>
      </c>
      <c r="E782" t="n">
        <v>4394</v>
      </c>
      <c r="F782" t="n">
        <v>232</v>
      </c>
      <c r="G782" t="n">
        <v>3</v>
      </c>
      <c r="H782" t="n">
        <v>0</v>
      </c>
      <c r="I782" t="n">
        <v>1</v>
      </c>
      <c r="J782" t="n">
        <v>0</v>
      </c>
    </row>
    <row r="783">
      <c r="A783" s="5" t="n">
        <v>45984</v>
      </c>
      <c r="B783" t="inlineStr">
        <is>
          <t>linkedin_ceo_abm</t>
        </is>
      </c>
      <c r="C783" t="inlineStr">
        <is>
          <t>linkedin</t>
        </is>
      </c>
      <c r="D783" t="n">
        <v>24146</v>
      </c>
      <c r="E783" t="n">
        <v>4643</v>
      </c>
      <c r="F783" t="n">
        <v>29</v>
      </c>
      <c r="G783" t="n">
        <v>1</v>
      </c>
      <c r="H783" t="n">
        <v>0</v>
      </c>
      <c r="I783" t="n">
        <v>0</v>
      </c>
      <c r="J783" t="n">
        <v>0</v>
      </c>
    </row>
    <row r="784">
      <c r="A784" s="5" t="n">
        <v>45984</v>
      </c>
      <c r="B784" t="inlineStr">
        <is>
          <t>meta_prospecting_founder</t>
        </is>
      </c>
      <c r="C784" t="inlineStr">
        <is>
          <t>meta</t>
        </is>
      </c>
      <c r="D784" t="n">
        <v>33919</v>
      </c>
      <c r="E784" t="n">
        <v>24227</v>
      </c>
      <c r="F784" t="n">
        <v>250</v>
      </c>
      <c r="G784" t="n">
        <v>5</v>
      </c>
      <c r="H784" t="n">
        <v>1</v>
      </c>
      <c r="I784" t="n">
        <v>1</v>
      </c>
      <c r="J784" t="n">
        <v>0</v>
      </c>
    </row>
    <row r="785">
      <c r="A785" s="5" t="n">
        <v>45984</v>
      </c>
      <c r="B785" t="inlineStr">
        <is>
          <t>meta_retargeting_webinar</t>
        </is>
      </c>
      <c r="C785" t="inlineStr">
        <is>
          <t>meta</t>
        </is>
      </c>
      <c r="D785" t="n">
        <v>9057</v>
      </c>
      <c r="E785" t="n">
        <v>6469</v>
      </c>
      <c r="F785" t="n">
        <v>70</v>
      </c>
      <c r="G785" t="n">
        <v>4</v>
      </c>
      <c r="H785" t="n">
        <v>0</v>
      </c>
      <c r="I785" t="n">
        <v>2</v>
      </c>
      <c r="J785" t="n">
        <v>1</v>
      </c>
    </row>
    <row r="786">
      <c r="A786" s="5" t="n">
        <v>45985</v>
      </c>
      <c r="B786" t="inlineStr">
        <is>
          <t>FB-Broad</t>
        </is>
      </c>
      <c r="C786" t="inlineStr">
        <is>
          <t>meta</t>
        </is>
      </c>
      <c r="D786" t="n">
        <v>17109</v>
      </c>
      <c r="E786" t="n">
        <v>12220</v>
      </c>
      <c r="F786" t="n">
        <v>153</v>
      </c>
      <c r="G786" t="n">
        <v>8</v>
      </c>
      <c r="H786" t="n">
        <v>0</v>
      </c>
      <c r="I786" t="n">
        <v>0</v>
      </c>
      <c r="J786" t="n">
        <v>0</v>
      </c>
    </row>
    <row r="787">
      <c r="A787" s="5" t="n">
        <v>45985</v>
      </c>
      <c r="B787" t="inlineStr">
        <is>
          <t>google_brand_search</t>
        </is>
      </c>
      <c r="C787" t="inlineStr">
        <is>
          <t>google</t>
        </is>
      </c>
      <c r="D787" t="n">
        <v>6472</v>
      </c>
      <c r="E787" t="n">
        <v>1348</v>
      </c>
      <c r="F787" t="n">
        <v>68</v>
      </c>
      <c r="G787" t="n">
        <v>5</v>
      </c>
      <c r="H787" t="n">
        <v>0</v>
      </c>
      <c r="I787" t="n">
        <v>0</v>
      </c>
      <c r="J787" t="n">
        <v>0</v>
      </c>
    </row>
    <row r="788">
      <c r="A788" s="5" t="n">
        <v>45985</v>
      </c>
      <c r="B788" t="inlineStr">
        <is>
          <t>google_nonbrand_growth</t>
        </is>
      </c>
      <c r="C788" t="inlineStr">
        <is>
          <t>google</t>
        </is>
      </c>
      <c r="D788" t="n">
        <v>24701</v>
      </c>
      <c r="E788" t="n">
        <v>5146</v>
      </c>
      <c r="F788" t="n">
        <v>258</v>
      </c>
      <c r="G788" t="n">
        <v>3</v>
      </c>
      <c r="H788" t="n">
        <v>1</v>
      </c>
      <c r="I788" t="n">
        <v>0</v>
      </c>
      <c r="J788" t="n">
        <v>0</v>
      </c>
    </row>
    <row r="789">
      <c r="A789" s="5" t="n">
        <v>45985</v>
      </c>
      <c r="B789" t="inlineStr">
        <is>
          <t>linkedin_ceo_abm</t>
        </is>
      </c>
      <c r="C789" t="inlineStr">
        <is>
          <t>linkedin</t>
        </is>
      </c>
      <c r="D789" t="n">
        <v>26391</v>
      </c>
      <c r="E789" t="n">
        <v>5075</v>
      </c>
      <c r="F789" t="n">
        <v>28</v>
      </c>
      <c r="G789" t="n">
        <v>1</v>
      </c>
      <c r="H789" t="n">
        <v>1</v>
      </c>
      <c r="I789" t="n">
        <v>0</v>
      </c>
      <c r="J789" t="n">
        <v>0</v>
      </c>
    </row>
    <row r="790">
      <c r="A790" s="5" t="n">
        <v>45985</v>
      </c>
      <c r="B790" t="inlineStr">
        <is>
          <t>meta_prospecting_founder</t>
        </is>
      </c>
      <c r="C790" t="inlineStr">
        <is>
          <t>meta</t>
        </is>
      </c>
      <c r="D790" t="n">
        <v>32491</v>
      </c>
      <c r="E790" t="n">
        <v>23207</v>
      </c>
      <c r="F790" t="n">
        <v>263</v>
      </c>
      <c r="G790" t="n">
        <v>7</v>
      </c>
      <c r="H790" t="n">
        <v>0</v>
      </c>
      <c r="I790" t="n">
        <v>2</v>
      </c>
      <c r="J790" t="n">
        <v>0</v>
      </c>
    </row>
    <row r="791">
      <c r="A791" s="5" t="n">
        <v>45985</v>
      </c>
      <c r="B791" t="inlineStr">
        <is>
          <t>meta_retargeting_webinar</t>
        </is>
      </c>
      <c r="C791" t="inlineStr">
        <is>
          <t>meta</t>
        </is>
      </c>
      <c r="D791" t="n">
        <v>8574</v>
      </c>
      <c r="E791" t="n">
        <v>6124</v>
      </c>
      <c r="F791" t="n">
        <v>58</v>
      </c>
      <c r="G791" t="n">
        <v>1</v>
      </c>
      <c r="H791" t="n">
        <v>1</v>
      </c>
      <c r="I791" t="n">
        <v>0</v>
      </c>
      <c r="J791" t="n">
        <v>0</v>
      </c>
    </row>
    <row r="792">
      <c r="A792" s="5" t="n">
        <v>45986</v>
      </c>
      <c r="B792" t="inlineStr">
        <is>
          <t>FB-Broad</t>
        </is>
      </c>
      <c r="C792" t="inlineStr">
        <is>
          <t>meta</t>
        </is>
      </c>
      <c r="D792" t="n">
        <v>15378</v>
      </c>
      <c r="E792" t="n">
        <v>10984</v>
      </c>
      <c r="F792" t="n">
        <v>105</v>
      </c>
      <c r="G792" t="n">
        <v>7</v>
      </c>
      <c r="H792" t="n">
        <v>3</v>
      </c>
      <c r="I792" t="n">
        <v>0</v>
      </c>
      <c r="J792" t="n">
        <v>0</v>
      </c>
    </row>
    <row r="793">
      <c r="A793" s="5" t="n">
        <v>45986</v>
      </c>
      <c r="B793" t="inlineStr">
        <is>
          <t>google_brand_search</t>
        </is>
      </c>
      <c r="C793" t="inlineStr">
        <is>
          <t>google</t>
        </is>
      </c>
      <c r="D793" t="n">
        <v>7491</v>
      </c>
      <c r="E793" t="n">
        <v>1560</v>
      </c>
      <c r="F793" t="n">
        <v>73</v>
      </c>
      <c r="G793" t="n">
        <v>1</v>
      </c>
      <c r="H793" t="n">
        <v>2</v>
      </c>
      <c r="I793" t="n">
        <v>0</v>
      </c>
      <c r="J793" t="n">
        <v>0</v>
      </c>
    </row>
    <row r="794">
      <c r="A794" s="5" t="n">
        <v>45986</v>
      </c>
      <c r="B794" t="inlineStr">
        <is>
          <t>google_nonbrand_growth</t>
        </is>
      </c>
      <c r="C794" t="inlineStr">
        <is>
          <t>google</t>
        </is>
      </c>
      <c r="D794" t="n">
        <v>24214</v>
      </c>
      <c r="E794" t="n">
        <v>5044</v>
      </c>
      <c r="F794" t="n">
        <v>265</v>
      </c>
      <c r="G794" t="n">
        <v>4</v>
      </c>
      <c r="H794" t="n">
        <v>0</v>
      </c>
      <c r="I794" t="n">
        <v>0</v>
      </c>
      <c r="J794" t="n">
        <v>0</v>
      </c>
    </row>
    <row r="795">
      <c r="A795" s="5" t="n">
        <v>45986</v>
      </c>
      <c r="B795" t="inlineStr">
        <is>
          <t>linkedin_ceo_abm</t>
        </is>
      </c>
      <c r="C795" t="inlineStr">
        <is>
          <t>linkedin</t>
        </is>
      </c>
      <c r="D795" t="n">
        <v>26194</v>
      </c>
      <c r="E795" t="n">
        <v>5037</v>
      </c>
      <c r="F795" t="n">
        <v>35</v>
      </c>
      <c r="G795" t="n">
        <v>2</v>
      </c>
      <c r="H795" t="n">
        <v>0</v>
      </c>
      <c r="I795" t="n">
        <v>0</v>
      </c>
      <c r="J795" t="n">
        <v>0</v>
      </c>
    </row>
    <row r="796">
      <c r="A796" s="5" t="n">
        <v>45986</v>
      </c>
      <c r="B796" t="inlineStr">
        <is>
          <t>meta_prospecting_founder</t>
        </is>
      </c>
      <c r="C796" t="inlineStr">
        <is>
          <t>meta</t>
        </is>
      </c>
      <c r="D796" t="n">
        <v>30365</v>
      </c>
      <c r="E796" t="n">
        <v>21689</v>
      </c>
      <c r="F796" t="n">
        <v>217</v>
      </c>
      <c r="G796" t="n">
        <v>8</v>
      </c>
      <c r="H796" t="n">
        <v>3</v>
      </c>
      <c r="I796" t="n">
        <v>0</v>
      </c>
      <c r="J796" t="n">
        <v>0</v>
      </c>
    </row>
    <row r="797">
      <c r="A797" s="5" t="n">
        <v>45986</v>
      </c>
      <c r="B797" t="inlineStr">
        <is>
          <t>meta_retargeting_webinar</t>
        </is>
      </c>
      <c r="C797" t="inlineStr">
        <is>
          <t>meta</t>
        </is>
      </c>
      <c r="D797" t="n">
        <v>8632</v>
      </c>
      <c r="E797" t="n">
        <v>6165</v>
      </c>
      <c r="F797" t="n">
        <v>73</v>
      </c>
      <c r="G797" t="n">
        <v>2</v>
      </c>
      <c r="H797" t="n">
        <v>1</v>
      </c>
      <c r="I797" t="n">
        <v>0</v>
      </c>
      <c r="J797" t="n">
        <v>0</v>
      </c>
    </row>
    <row r="798">
      <c r="A798" s="5" t="n">
        <v>45987</v>
      </c>
      <c r="B798" t="inlineStr">
        <is>
          <t>FB-Broad</t>
        </is>
      </c>
      <c r="C798" t="inlineStr">
        <is>
          <t>meta</t>
        </is>
      </c>
      <c r="D798" t="n">
        <v>18331</v>
      </c>
      <c r="E798" t="n">
        <v>13093</v>
      </c>
      <c r="F798" t="n">
        <v>122</v>
      </c>
      <c r="G798" t="n">
        <v>6</v>
      </c>
      <c r="H798" t="n">
        <v>2</v>
      </c>
      <c r="I798" t="n">
        <v>1</v>
      </c>
      <c r="J798" t="n">
        <v>0</v>
      </c>
    </row>
    <row r="799">
      <c r="A799" s="5" t="n">
        <v>45987</v>
      </c>
      <c r="B799" t="inlineStr">
        <is>
          <t>google_brand_search</t>
        </is>
      </c>
      <c r="C799" t="inlineStr">
        <is>
          <t>google</t>
        </is>
      </c>
      <c r="D799" t="n">
        <v>6300</v>
      </c>
      <c r="E799" t="n">
        <v>1312</v>
      </c>
      <c r="F799" t="n">
        <v>76</v>
      </c>
      <c r="G799" t="n">
        <v>2</v>
      </c>
      <c r="H799" t="n">
        <v>1</v>
      </c>
      <c r="I799" t="n">
        <v>0</v>
      </c>
      <c r="J799" t="n">
        <v>0</v>
      </c>
    </row>
    <row r="800">
      <c r="A800" s="5" t="n">
        <v>45987</v>
      </c>
      <c r="B800" t="inlineStr">
        <is>
          <t>google_nonbrand_growth</t>
        </is>
      </c>
      <c r="C800" t="inlineStr">
        <is>
          <t>google</t>
        </is>
      </c>
      <c r="D800" t="n">
        <v>20974</v>
      </c>
      <c r="E800" t="n">
        <v>4369</v>
      </c>
      <c r="F800" t="n">
        <v>250</v>
      </c>
      <c r="G800" t="n">
        <v>5</v>
      </c>
      <c r="H800" t="n">
        <v>1</v>
      </c>
      <c r="I800" t="n">
        <v>0</v>
      </c>
      <c r="J800" t="n">
        <v>0</v>
      </c>
    </row>
    <row r="801">
      <c r="A801" s="5" t="n">
        <v>45987</v>
      </c>
      <c r="B801" t="inlineStr">
        <is>
          <t>linkedin_ceo_abm</t>
        </is>
      </c>
      <c r="C801" t="inlineStr">
        <is>
          <t>linkedin</t>
        </is>
      </c>
      <c r="D801" t="n">
        <v>26510</v>
      </c>
      <c r="E801" t="n">
        <v>5098</v>
      </c>
      <c r="F801" t="n">
        <v>29</v>
      </c>
      <c r="G801" t="n">
        <v>3</v>
      </c>
      <c r="H801" t="n">
        <v>0</v>
      </c>
      <c r="I801" t="n">
        <v>0</v>
      </c>
      <c r="J801" t="n">
        <v>0</v>
      </c>
    </row>
    <row r="802">
      <c r="A802" s="5" t="n">
        <v>45987</v>
      </c>
      <c r="B802" t="inlineStr">
        <is>
          <t>meta_prospecting_founder</t>
        </is>
      </c>
      <c r="C802" t="inlineStr">
        <is>
          <t>meta</t>
        </is>
      </c>
      <c r="D802" t="n">
        <v>30058</v>
      </c>
      <c r="E802" t="n">
        <v>21470</v>
      </c>
      <c r="F802" t="n">
        <v>203</v>
      </c>
      <c r="G802" t="n">
        <v>4</v>
      </c>
      <c r="H802" t="n">
        <v>0</v>
      </c>
      <c r="I802" t="n">
        <v>2</v>
      </c>
      <c r="J802" t="n">
        <v>0</v>
      </c>
    </row>
    <row r="803">
      <c r="A803" s="5" t="n">
        <v>45987</v>
      </c>
      <c r="B803" t="inlineStr">
        <is>
          <t>meta_retargeting_webinar</t>
        </is>
      </c>
      <c r="C803" t="inlineStr">
        <is>
          <t>meta</t>
        </is>
      </c>
      <c r="D803" t="n">
        <v>10032</v>
      </c>
      <c r="E803" t="n">
        <v>7165</v>
      </c>
      <c r="F803" t="n">
        <v>72</v>
      </c>
      <c r="G803" t="n">
        <v>1</v>
      </c>
      <c r="H803" t="n">
        <v>2</v>
      </c>
      <c r="I803" t="n">
        <v>0</v>
      </c>
      <c r="J803" t="n">
        <v>0</v>
      </c>
    </row>
    <row r="804">
      <c r="A804" s="5" t="n">
        <v>45988</v>
      </c>
      <c r="B804" t="inlineStr">
        <is>
          <t>FB-Broad</t>
        </is>
      </c>
      <c r="C804" t="inlineStr">
        <is>
          <t>meta</t>
        </is>
      </c>
      <c r="D804" t="n">
        <v>16973</v>
      </c>
      <c r="E804" t="n">
        <v>12123</v>
      </c>
      <c r="F804" t="n">
        <v>121</v>
      </c>
      <c r="G804" t="n">
        <v>2</v>
      </c>
      <c r="H804" t="n">
        <v>1</v>
      </c>
      <c r="I804" t="n">
        <v>2</v>
      </c>
      <c r="J804" t="n">
        <v>0</v>
      </c>
    </row>
    <row r="805">
      <c r="A805" s="5" t="n">
        <v>45988</v>
      </c>
      <c r="B805" t="inlineStr">
        <is>
          <t>google_brand_search</t>
        </is>
      </c>
      <c r="C805" t="inlineStr">
        <is>
          <t>google</t>
        </is>
      </c>
      <c r="D805" t="n">
        <v>7162</v>
      </c>
      <c r="E805" t="n">
        <v>1492</v>
      </c>
      <c r="F805" t="n">
        <v>77</v>
      </c>
      <c r="G805" t="n">
        <v>5</v>
      </c>
      <c r="H805" t="n">
        <v>0</v>
      </c>
      <c r="I805" t="n">
        <v>1</v>
      </c>
      <c r="J805" t="n">
        <v>1</v>
      </c>
    </row>
    <row r="806">
      <c r="A806" s="5" t="n">
        <v>45988</v>
      </c>
      <c r="B806" t="inlineStr">
        <is>
          <t>google_nonbrand_growth</t>
        </is>
      </c>
      <c r="C806" t="inlineStr">
        <is>
          <t>google</t>
        </is>
      </c>
      <c r="D806" t="n">
        <v>21801</v>
      </c>
      <c r="E806" t="n">
        <v>4541</v>
      </c>
      <c r="F806" t="n">
        <v>236</v>
      </c>
      <c r="G806" t="n">
        <v>2</v>
      </c>
      <c r="H806" t="n">
        <v>1</v>
      </c>
      <c r="I806" t="n">
        <v>0</v>
      </c>
      <c r="J806" t="n">
        <v>0</v>
      </c>
    </row>
    <row r="807">
      <c r="A807" s="5" t="n">
        <v>45988</v>
      </c>
      <c r="B807" t="inlineStr">
        <is>
          <t>linkedin_ceo_abm</t>
        </is>
      </c>
      <c r="C807" t="inlineStr">
        <is>
          <t>linkedin</t>
        </is>
      </c>
      <c r="D807" t="n">
        <v>23303</v>
      </c>
      <c r="E807" t="n">
        <v>4481</v>
      </c>
      <c r="F807" t="n">
        <v>28</v>
      </c>
      <c r="G807" t="n">
        <v>2</v>
      </c>
      <c r="H807" t="n">
        <v>1</v>
      </c>
      <c r="I807" t="n">
        <v>0</v>
      </c>
      <c r="J807" t="n">
        <v>0</v>
      </c>
    </row>
    <row r="808">
      <c r="A808" s="5" t="n">
        <v>45988</v>
      </c>
      <c r="B808" t="inlineStr">
        <is>
          <t>meta_prospecting_founder</t>
        </is>
      </c>
      <c r="C808" t="inlineStr">
        <is>
          <t>meta</t>
        </is>
      </c>
      <c r="D808" t="n">
        <v>30736</v>
      </c>
      <c r="E808" t="n">
        <v>21954</v>
      </c>
      <c r="F808" t="n">
        <v>244</v>
      </c>
      <c r="G808" t="n">
        <v>7</v>
      </c>
      <c r="H808" t="n">
        <v>0</v>
      </c>
      <c r="I808" t="n">
        <v>1</v>
      </c>
      <c r="J808" t="n">
        <v>0</v>
      </c>
    </row>
    <row r="809">
      <c r="A809" s="5" t="n">
        <v>45988</v>
      </c>
      <c r="B809" t="inlineStr">
        <is>
          <t>meta_retargeting_webinar</t>
        </is>
      </c>
      <c r="C809" t="inlineStr">
        <is>
          <t>meta</t>
        </is>
      </c>
      <c r="D809" t="n">
        <v>8375</v>
      </c>
      <c r="E809" t="n">
        <v>5982</v>
      </c>
      <c r="F809" t="n">
        <v>75</v>
      </c>
      <c r="G809" t="n">
        <v>0</v>
      </c>
      <c r="H809" t="n">
        <v>1</v>
      </c>
      <c r="I809" t="n">
        <v>0</v>
      </c>
      <c r="J809" t="n">
        <v>0</v>
      </c>
    </row>
    <row r="810">
      <c r="A810" s="5" t="n">
        <v>45989</v>
      </c>
      <c r="B810" t="inlineStr">
        <is>
          <t>FB-Broad</t>
        </is>
      </c>
      <c r="C810" t="inlineStr">
        <is>
          <t>meta</t>
        </is>
      </c>
      <c r="D810" t="n">
        <v>17304</v>
      </c>
      <c r="E810" t="n">
        <v>12360</v>
      </c>
      <c r="F810" t="n">
        <v>126</v>
      </c>
      <c r="G810" t="n">
        <v>3</v>
      </c>
      <c r="H810" t="n">
        <v>1</v>
      </c>
      <c r="I810" t="n">
        <v>0</v>
      </c>
      <c r="J810" t="n">
        <v>0</v>
      </c>
    </row>
    <row r="811">
      <c r="A811" s="5" t="n">
        <v>45989</v>
      </c>
      <c r="B811" t="inlineStr">
        <is>
          <t>google_brand_search</t>
        </is>
      </c>
      <c r="C811" t="inlineStr">
        <is>
          <t>google</t>
        </is>
      </c>
      <c r="D811" t="n">
        <v>7539</v>
      </c>
      <c r="E811" t="n">
        <v>1570</v>
      </c>
      <c r="F811" t="n">
        <v>80</v>
      </c>
      <c r="G811" t="n">
        <v>2</v>
      </c>
      <c r="H811" t="n">
        <v>2</v>
      </c>
      <c r="I811" t="n">
        <v>0</v>
      </c>
      <c r="J811" t="n">
        <v>0</v>
      </c>
    </row>
    <row r="812">
      <c r="A812" s="5" t="n">
        <v>45989</v>
      </c>
      <c r="B812" t="inlineStr">
        <is>
          <t>google_nonbrand_growth</t>
        </is>
      </c>
      <c r="C812" t="inlineStr">
        <is>
          <t>google</t>
        </is>
      </c>
      <c r="D812" t="n">
        <v>24075</v>
      </c>
      <c r="E812" t="n">
        <v>5015</v>
      </c>
      <c r="F812" t="n">
        <v>276</v>
      </c>
      <c r="G812" t="n">
        <v>2</v>
      </c>
      <c r="H812" t="n">
        <v>2</v>
      </c>
      <c r="I812" t="n">
        <v>1</v>
      </c>
      <c r="J812" t="n">
        <v>0</v>
      </c>
    </row>
    <row r="813">
      <c r="A813" s="5" t="n">
        <v>45989</v>
      </c>
      <c r="B813" t="inlineStr">
        <is>
          <t>linkedin_ceo_abm</t>
        </is>
      </c>
      <c r="C813" t="inlineStr">
        <is>
          <t>linkedin</t>
        </is>
      </c>
      <c r="D813" t="n">
        <v>24913</v>
      </c>
      <c r="E813" t="n">
        <v>4790</v>
      </c>
      <c r="F813" t="n">
        <v>32</v>
      </c>
      <c r="G813" t="n">
        <v>3</v>
      </c>
      <c r="H813" t="n">
        <v>2</v>
      </c>
      <c r="I813" t="n">
        <v>0</v>
      </c>
      <c r="J813" t="n">
        <v>0</v>
      </c>
    </row>
    <row r="814">
      <c r="A814" s="5" t="n">
        <v>45989</v>
      </c>
      <c r="B814" t="inlineStr">
        <is>
          <t>meta_prospecting_founder</t>
        </is>
      </c>
      <c r="C814" t="inlineStr">
        <is>
          <t>meta</t>
        </is>
      </c>
      <c r="D814" t="n">
        <v>31013</v>
      </c>
      <c r="E814" t="n">
        <v>22152</v>
      </c>
      <c r="F814" t="n">
        <v>263</v>
      </c>
      <c r="G814" t="n">
        <v>2</v>
      </c>
      <c r="H814" t="n">
        <v>2</v>
      </c>
      <c r="I814" t="n">
        <v>0</v>
      </c>
      <c r="J814" t="n">
        <v>0</v>
      </c>
    </row>
    <row r="815">
      <c r="A815" s="5" t="n">
        <v>45989</v>
      </c>
      <c r="B815" t="inlineStr">
        <is>
          <t>meta_retargeting_webinar</t>
        </is>
      </c>
      <c r="C815" t="inlineStr">
        <is>
          <t>meta</t>
        </is>
      </c>
      <c r="D815" t="n">
        <v>9905</v>
      </c>
      <c r="E815" t="n">
        <v>7075</v>
      </c>
      <c r="F815" t="n">
        <v>74</v>
      </c>
      <c r="G815" t="n">
        <v>5</v>
      </c>
      <c r="H815" t="n">
        <v>0</v>
      </c>
      <c r="I815" t="n">
        <v>0</v>
      </c>
      <c r="J815" t="n">
        <v>1</v>
      </c>
    </row>
    <row r="816">
      <c r="A816" s="5" t="n">
        <v>45990</v>
      </c>
      <c r="B816" t="inlineStr">
        <is>
          <t>FB-Broad</t>
        </is>
      </c>
      <c r="C816" t="inlineStr">
        <is>
          <t>meta</t>
        </is>
      </c>
      <c r="D816" t="n">
        <v>17327</v>
      </c>
      <c r="E816" t="n">
        <v>12376</v>
      </c>
      <c r="F816" t="n">
        <v>143</v>
      </c>
      <c r="G816" t="n">
        <v>2</v>
      </c>
      <c r="H816" t="n">
        <v>1</v>
      </c>
      <c r="I816" t="n">
        <v>0</v>
      </c>
      <c r="J816" t="n">
        <v>0</v>
      </c>
    </row>
    <row r="817">
      <c r="A817" s="5" t="n">
        <v>45990</v>
      </c>
      <c r="B817" t="inlineStr">
        <is>
          <t>google_brand_search</t>
        </is>
      </c>
      <c r="C817" t="inlineStr">
        <is>
          <t>google</t>
        </is>
      </c>
      <c r="D817" t="n">
        <v>6918</v>
      </c>
      <c r="E817" t="n">
        <v>1441</v>
      </c>
      <c r="F817" t="n">
        <v>78</v>
      </c>
      <c r="G817" t="n">
        <v>0</v>
      </c>
      <c r="H817" t="n">
        <v>3</v>
      </c>
      <c r="I817" t="n">
        <v>0</v>
      </c>
      <c r="J817" t="n">
        <v>0</v>
      </c>
    </row>
    <row r="818">
      <c r="A818" s="5" t="n">
        <v>45990</v>
      </c>
      <c r="B818" t="inlineStr">
        <is>
          <t>google_nonbrand_growth</t>
        </is>
      </c>
      <c r="C818" t="inlineStr">
        <is>
          <t>google</t>
        </is>
      </c>
      <c r="D818" t="n">
        <v>23101</v>
      </c>
      <c r="E818" t="n">
        <v>4812</v>
      </c>
      <c r="F818" t="n">
        <v>285</v>
      </c>
      <c r="G818" t="n">
        <v>2</v>
      </c>
      <c r="H818" t="n">
        <v>0</v>
      </c>
      <c r="I818" t="n">
        <v>0</v>
      </c>
      <c r="J818" t="n">
        <v>0</v>
      </c>
    </row>
    <row r="819">
      <c r="A819" s="5" t="n">
        <v>45990</v>
      </c>
      <c r="B819" t="inlineStr">
        <is>
          <t>linkedin_ceo_abm</t>
        </is>
      </c>
      <c r="C819" t="inlineStr">
        <is>
          <t>linkedin</t>
        </is>
      </c>
      <c r="D819" t="n">
        <v>23554</v>
      </c>
      <c r="E819" t="n">
        <v>4529</v>
      </c>
      <c r="F819" t="n">
        <v>33</v>
      </c>
      <c r="G819" t="n">
        <v>1</v>
      </c>
      <c r="H819" t="n">
        <v>2</v>
      </c>
      <c r="I819" t="n">
        <v>1</v>
      </c>
      <c r="J819" t="n">
        <v>0</v>
      </c>
    </row>
    <row r="820">
      <c r="A820" s="5" t="n">
        <v>45990</v>
      </c>
      <c r="B820" t="inlineStr">
        <is>
          <t>meta_prospecting_founder</t>
        </is>
      </c>
      <c r="C820" t="inlineStr">
        <is>
          <t>meta</t>
        </is>
      </c>
      <c r="D820" t="n">
        <v>35279</v>
      </c>
      <c r="E820" t="n">
        <v>25199</v>
      </c>
      <c r="F820" t="n">
        <v>243</v>
      </c>
      <c r="G820" t="n">
        <v>5</v>
      </c>
      <c r="H820" t="n">
        <v>1</v>
      </c>
      <c r="I820" t="n">
        <v>0</v>
      </c>
      <c r="J820" t="n">
        <v>0</v>
      </c>
    </row>
    <row r="821">
      <c r="A821" s="5" t="n">
        <v>45990</v>
      </c>
      <c r="B821" t="inlineStr">
        <is>
          <t>meta_retargeting_webinar</t>
        </is>
      </c>
      <c r="C821" t="inlineStr">
        <is>
          <t>meta</t>
        </is>
      </c>
      <c r="D821" t="n">
        <v>9087</v>
      </c>
      <c r="E821" t="n">
        <v>6490</v>
      </c>
      <c r="F821" t="n">
        <v>80</v>
      </c>
      <c r="G821" t="n">
        <v>1</v>
      </c>
      <c r="H821" t="n">
        <v>0</v>
      </c>
      <c r="I821" t="n">
        <v>0</v>
      </c>
      <c r="J821" t="n">
        <v>1</v>
      </c>
    </row>
    <row r="822">
      <c r="A822" s="5" t="n">
        <v>45991</v>
      </c>
      <c r="B822" t="inlineStr">
        <is>
          <t>FB-Broad</t>
        </is>
      </c>
      <c r="C822" t="inlineStr">
        <is>
          <t>meta</t>
        </is>
      </c>
      <c r="D822" t="n">
        <v>17804</v>
      </c>
      <c r="E822" t="n">
        <v>12717</v>
      </c>
      <c r="F822" t="n">
        <v>158</v>
      </c>
      <c r="G822" t="n">
        <v>2</v>
      </c>
      <c r="H822" t="n">
        <v>3</v>
      </c>
      <c r="I822" t="n">
        <v>1</v>
      </c>
      <c r="J822" t="n">
        <v>0</v>
      </c>
    </row>
    <row r="823">
      <c r="A823" s="5" t="n">
        <v>45991</v>
      </c>
      <c r="B823" t="inlineStr">
        <is>
          <t>google_brand_search</t>
        </is>
      </c>
      <c r="C823" t="inlineStr">
        <is>
          <t>google</t>
        </is>
      </c>
      <c r="D823" t="n">
        <v>6628</v>
      </c>
      <c r="E823" t="n">
        <v>1380</v>
      </c>
      <c r="F823" t="n">
        <v>79</v>
      </c>
      <c r="G823" t="n">
        <v>6</v>
      </c>
      <c r="H823" t="n">
        <v>0</v>
      </c>
      <c r="I823" t="n">
        <v>1</v>
      </c>
      <c r="J823" t="n">
        <v>0</v>
      </c>
    </row>
    <row r="824">
      <c r="A824" s="5" t="n">
        <v>45991</v>
      </c>
      <c r="B824" t="inlineStr">
        <is>
          <t>google_nonbrand_growth</t>
        </is>
      </c>
      <c r="C824" t="inlineStr">
        <is>
          <t>google</t>
        </is>
      </c>
      <c r="D824" t="n">
        <v>21260</v>
      </c>
      <c r="E824" t="n">
        <v>4429</v>
      </c>
      <c r="F824" t="n">
        <v>236</v>
      </c>
      <c r="G824" t="n">
        <v>3</v>
      </c>
      <c r="H824" t="n">
        <v>0</v>
      </c>
      <c r="I824" t="n">
        <v>0</v>
      </c>
      <c r="J824" t="n">
        <v>0</v>
      </c>
    </row>
    <row r="825">
      <c r="A825" s="5" t="n">
        <v>45991</v>
      </c>
      <c r="B825" t="inlineStr">
        <is>
          <t>linkedin_ceo_abm</t>
        </is>
      </c>
      <c r="C825" t="inlineStr">
        <is>
          <t>linkedin</t>
        </is>
      </c>
      <c r="D825" t="n">
        <v>26922</v>
      </c>
      <c r="E825" t="n">
        <v>5177</v>
      </c>
      <c r="F825" t="n">
        <v>38</v>
      </c>
      <c r="G825" t="n">
        <v>0</v>
      </c>
      <c r="H825" t="n">
        <v>2</v>
      </c>
      <c r="I825" t="n">
        <v>1</v>
      </c>
      <c r="J825" t="n">
        <v>0</v>
      </c>
    </row>
    <row r="826">
      <c r="A826" s="5" t="n">
        <v>45991</v>
      </c>
      <c r="B826" t="inlineStr">
        <is>
          <t>meta_prospecting_founder</t>
        </is>
      </c>
      <c r="C826" t="inlineStr">
        <is>
          <t>meta</t>
        </is>
      </c>
      <c r="D826" t="n">
        <v>31627</v>
      </c>
      <c r="E826" t="n">
        <v>22590</v>
      </c>
      <c r="F826" t="n">
        <v>254</v>
      </c>
      <c r="G826" t="n">
        <v>7</v>
      </c>
      <c r="H826" t="n">
        <v>3</v>
      </c>
      <c r="I826" t="n">
        <v>0</v>
      </c>
      <c r="J826" t="n">
        <v>0</v>
      </c>
    </row>
    <row r="827">
      <c r="A827" s="5" t="n">
        <v>45991</v>
      </c>
      <c r="B827" t="inlineStr">
        <is>
          <t>meta_retargeting_webinar</t>
        </is>
      </c>
      <c r="C827" t="inlineStr">
        <is>
          <t>meta</t>
        </is>
      </c>
      <c r="D827" t="n">
        <v>10112</v>
      </c>
      <c r="E827" t="n">
        <v>7222</v>
      </c>
      <c r="F827" t="n">
        <v>71</v>
      </c>
      <c r="G827" t="n">
        <v>2</v>
      </c>
      <c r="H827" t="n">
        <v>1</v>
      </c>
      <c r="I827" t="n">
        <v>1</v>
      </c>
      <c r="J827" t="n">
        <v>0</v>
      </c>
    </row>
    <row r="828">
      <c r="A828" s="5" t="n">
        <v>45992</v>
      </c>
      <c r="B828" t="inlineStr">
        <is>
          <t>FB-Broad</t>
        </is>
      </c>
      <c r="C828" t="inlineStr">
        <is>
          <t>meta</t>
        </is>
      </c>
      <c r="D828" t="n">
        <v>17654</v>
      </c>
      <c r="E828" t="n">
        <v>12610</v>
      </c>
      <c r="F828" t="n">
        <v>125</v>
      </c>
      <c r="G828" t="n">
        <v>1</v>
      </c>
      <c r="H828" t="n">
        <v>0</v>
      </c>
      <c r="I828" t="n">
        <v>0</v>
      </c>
      <c r="J828" t="n">
        <v>0</v>
      </c>
    </row>
    <row r="829">
      <c r="A829" s="5" t="n">
        <v>45992</v>
      </c>
      <c r="B829" t="inlineStr">
        <is>
          <t>google_brand_search</t>
        </is>
      </c>
      <c r="C829" t="inlineStr">
        <is>
          <t>google</t>
        </is>
      </c>
      <c r="D829" t="n">
        <v>7008</v>
      </c>
      <c r="E829" t="n">
        <v>1460</v>
      </c>
      <c r="F829" t="n">
        <v>72</v>
      </c>
      <c r="G829" t="n">
        <v>3</v>
      </c>
      <c r="H829" t="n">
        <v>3</v>
      </c>
      <c r="I829" t="n">
        <v>2</v>
      </c>
      <c r="J829" t="n">
        <v>0</v>
      </c>
    </row>
    <row r="830">
      <c r="A830" s="5" t="n">
        <v>45992</v>
      </c>
      <c r="B830" t="inlineStr">
        <is>
          <t>google_nonbrand_growth</t>
        </is>
      </c>
      <c r="C830" t="inlineStr">
        <is>
          <t>google</t>
        </is>
      </c>
      <c r="D830" t="n">
        <v>22838</v>
      </c>
      <c r="E830" t="n">
        <v>4757</v>
      </c>
      <c r="F830" t="n">
        <v>243</v>
      </c>
      <c r="G830" t="n">
        <v>3</v>
      </c>
      <c r="H830" t="n">
        <v>0</v>
      </c>
      <c r="I830" t="n">
        <v>0</v>
      </c>
      <c r="J830" t="n">
        <v>1</v>
      </c>
    </row>
    <row r="831">
      <c r="A831" s="5" t="n">
        <v>45992</v>
      </c>
      <c r="B831" t="inlineStr">
        <is>
          <t>linkedin_ceo_abm</t>
        </is>
      </c>
      <c r="C831" t="inlineStr">
        <is>
          <t>linkedin</t>
        </is>
      </c>
      <c r="D831" t="n">
        <v>25270</v>
      </c>
      <c r="E831" t="n">
        <v>4859</v>
      </c>
      <c r="F831" t="n">
        <v>30</v>
      </c>
      <c r="G831" t="n">
        <v>1</v>
      </c>
      <c r="H831" t="n">
        <v>0</v>
      </c>
      <c r="I831" t="n">
        <v>0</v>
      </c>
      <c r="J831" t="n">
        <v>1</v>
      </c>
    </row>
    <row r="832">
      <c r="A832" s="5" t="n">
        <v>45992</v>
      </c>
      <c r="B832" t="inlineStr">
        <is>
          <t>meta_prospecting_founder</t>
        </is>
      </c>
      <c r="C832" t="inlineStr">
        <is>
          <t>meta</t>
        </is>
      </c>
      <c r="D832" t="n">
        <v>33500</v>
      </c>
      <c r="E832" t="n">
        <v>23928</v>
      </c>
      <c r="F832" t="n">
        <v>229</v>
      </c>
      <c r="G832" t="n">
        <v>11</v>
      </c>
      <c r="H832" t="n">
        <v>3</v>
      </c>
      <c r="I832" t="n">
        <v>0</v>
      </c>
      <c r="J832" t="n">
        <v>0</v>
      </c>
    </row>
    <row r="833">
      <c r="A833" s="5" t="n">
        <v>45992</v>
      </c>
      <c r="B833" t="inlineStr">
        <is>
          <t>meta_retargeting_webinar</t>
        </is>
      </c>
      <c r="C833" t="inlineStr">
        <is>
          <t>meta</t>
        </is>
      </c>
      <c r="D833" t="n">
        <v>9940</v>
      </c>
      <c r="E833" t="n">
        <v>7100</v>
      </c>
      <c r="F833" t="n">
        <v>68</v>
      </c>
      <c r="G833" t="n">
        <v>7</v>
      </c>
      <c r="H833" t="n">
        <v>2</v>
      </c>
      <c r="I833" t="n">
        <v>0</v>
      </c>
      <c r="J833" t="n">
        <v>0</v>
      </c>
    </row>
    <row r="834">
      <c r="A834" s="5" t="n">
        <v>45993</v>
      </c>
      <c r="B834" t="inlineStr">
        <is>
          <t>FB-Broad</t>
        </is>
      </c>
      <c r="C834" t="inlineStr">
        <is>
          <t>meta</t>
        </is>
      </c>
      <c r="D834" t="n">
        <v>16849</v>
      </c>
      <c r="E834" t="n">
        <v>12035</v>
      </c>
      <c r="F834" t="n">
        <v>120</v>
      </c>
      <c r="G834" t="n">
        <v>5</v>
      </c>
      <c r="H834" t="n">
        <v>0</v>
      </c>
      <c r="I834" t="n">
        <v>0</v>
      </c>
      <c r="J834" t="n">
        <v>0</v>
      </c>
    </row>
    <row r="835">
      <c r="A835" s="5" t="n">
        <v>45993</v>
      </c>
      <c r="B835" t="inlineStr">
        <is>
          <t>google_brand_search</t>
        </is>
      </c>
      <c r="C835" t="inlineStr">
        <is>
          <t>google</t>
        </is>
      </c>
      <c r="D835" t="n">
        <v>6356</v>
      </c>
      <c r="E835" t="n">
        <v>1324</v>
      </c>
      <c r="F835" t="n">
        <v>73</v>
      </c>
      <c r="G835" t="n">
        <v>3</v>
      </c>
      <c r="H835" t="n">
        <v>1</v>
      </c>
      <c r="I835" t="n">
        <v>1</v>
      </c>
      <c r="J835" t="n">
        <v>0</v>
      </c>
    </row>
    <row r="836">
      <c r="A836" s="5" t="n">
        <v>45993</v>
      </c>
      <c r="B836" t="inlineStr">
        <is>
          <t>google_nonbrand_growth</t>
        </is>
      </c>
      <c r="C836" t="inlineStr">
        <is>
          <t>google</t>
        </is>
      </c>
      <c r="D836" t="n">
        <v>21875</v>
      </c>
      <c r="E836" t="n">
        <v>4557</v>
      </c>
      <c r="F836" t="n">
        <v>264</v>
      </c>
      <c r="G836" t="n">
        <v>3</v>
      </c>
      <c r="H836" t="n">
        <v>1</v>
      </c>
      <c r="I836" t="n">
        <v>0</v>
      </c>
      <c r="J836" t="n">
        <v>0</v>
      </c>
    </row>
    <row r="837">
      <c r="A837" s="5" t="n">
        <v>45993</v>
      </c>
      <c r="B837" t="inlineStr">
        <is>
          <t>linkedin_ceo_abm</t>
        </is>
      </c>
      <c r="C837" t="inlineStr">
        <is>
          <t>linkedin</t>
        </is>
      </c>
      <c r="D837" t="n">
        <v>27821</v>
      </c>
      <c r="E837" t="n">
        <v>5350</v>
      </c>
      <c r="F837" t="n">
        <v>37</v>
      </c>
      <c r="G837" t="n">
        <v>0</v>
      </c>
      <c r="H837" t="n">
        <v>1</v>
      </c>
      <c r="I837" t="n">
        <v>0</v>
      </c>
      <c r="J837" t="n">
        <v>0</v>
      </c>
    </row>
    <row r="838">
      <c r="A838" s="5" t="n">
        <v>45993</v>
      </c>
      <c r="B838" t="inlineStr">
        <is>
          <t>meta_prospecting_founder</t>
        </is>
      </c>
      <c r="C838" t="inlineStr">
        <is>
          <t>meta</t>
        </is>
      </c>
      <c r="D838" t="n">
        <v>30959</v>
      </c>
      <c r="E838" t="n">
        <v>22113</v>
      </c>
      <c r="F838" t="n">
        <v>278</v>
      </c>
      <c r="G838" t="n">
        <v>4</v>
      </c>
      <c r="H838" t="n">
        <v>1</v>
      </c>
      <c r="I838" t="n">
        <v>1</v>
      </c>
      <c r="J838" t="n">
        <v>0</v>
      </c>
    </row>
    <row r="839">
      <c r="A839" s="5" t="n">
        <v>45993</v>
      </c>
      <c r="B839" t="inlineStr">
        <is>
          <t>meta_retargeting_webinar</t>
        </is>
      </c>
      <c r="C839" t="inlineStr">
        <is>
          <t>meta</t>
        </is>
      </c>
      <c r="D839" t="n">
        <v>8913</v>
      </c>
      <c r="E839" t="n">
        <v>6366</v>
      </c>
      <c r="F839" t="n">
        <v>70</v>
      </c>
      <c r="G839" t="n">
        <v>3</v>
      </c>
      <c r="H839" t="n">
        <v>2</v>
      </c>
      <c r="I839" t="n">
        <v>0</v>
      </c>
      <c r="J839" t="n">
        <v>0</v>
      </c>
    </row>
    <row r="840">
      <c r="A840" s="5" t="n">
        <v>45994</v>
      </c>
      <c r="B840" t="inlineStr">
        <is>
          <t>FB-Broad</t>
        </is>
      </c>
      <c r="C840" t="inlineStr">
        <is>
          <t>meta</t>
        </is>
      </c>
      <c r="D840" t="n">
        <v>17304</v>
      </c>
      <c r="E840" t="n">
        <v>12360</v>
      </c>
      <c r="F840" t="n">
        <v>120</v>
      </c>
      <c r="G840" t="n">
        <v>8</v>
      </c>
      <c r="H840" t="n">
        <v>1</v>
      </c>
      <c r="I840" t="n">
        <v>1</v>
      </c>
      <c r="J840" t="n">
        <v>0</v>
      </c>
    </row>
    <row r="841">
      <c r="A841" s="5" t="n">
        <v>45994</v>
      </c>
      <c r="B841" t="inlineStr">
        <is>
          <t>google_brand_search</t>
        </is>
      </c>
      <c r="C841" t="inlineStr">
        <is>
          <t>google</t>
        </is>
      </c>
      <c r="D841" t="n">
        <v>6851</v>
      </c>
      <c r="E841" t="n">
        <v>1427</v>
      </c>
      <c r="F841" t="n">
        <v>81</v>
      </c>
      <c r="G841" t="n">
        <v>2</v>
      </c>
      <c r="H841" t="n">
        <v>4</v>
      </c>
      <c r="I841" t="n">
        <v>0</v>
      </c>
      <c r="J841" t="n">
        <v>0</v>
      </c>
    </row>
    <row r="842">
      <c r="A842" s="5" t="n">
        <v>45994</v>
      </c>
      <c r="B842" t="inlineStr">
        <is>
          <t>google_nonbrand_growth</t>
        </is>
      </c>
      <c r="C842" t="inlineStr">
        <is>
          <t>google</t>
        </is>
      </c>
      <c r="D842" t="n">
        <v>21471</v>
      </c>
      <c r="E842" t="n">
        <v>4473</v>
      </c>
      <c r="F842" t="n">
        <v>265</v>
      </c>
      <c r="G842" t="n">
        <v>2</v>
      </c>
      <c r="H842" t="n">
        <v>0</v>
      </c>
      <c r="I842" t="n">
        <v>0</v>
      </c>
      <c r="J842" t="n">
        <v>1</v>
      </c>
    </row>
    <row r="843">
      <c r="A843" s="5" t="n">
        <v>45994</v>
      </c>
      <c r="B843" t="inlineStr">
        <is>
          <t>linkedin_ceo_abm</t>
        </is>
      </c>
      <c r="C843" t="inlineStr">
        <is>
          <t>linkedin</t>
        </is>
      </c>
      <c r="D843" t="n">
        <v>26193</v>
      </c>
      <c r="E843" t="n">
        <v>5037</v>
      </c>
      <c r="F843" t="n">
        <v>31</v>
      </c>
      <c r="G843" t="n">
        <v>2</v>
      </c>
      <c r="H843" t="n">
        <v>0</v>
      </c>
      <c r="I843" t="n">
        <v>2</v>
      </c>
      <c r="J843" t="n">
        <v>0</v>
      </c>
    </row>
    <row r="844">
      <c r="A844" s="5" t="n">
        <v>45994</v>
      </c>
      <c r="B844" t="inlineStr">
        <is>
          <t>meta_prospecting_founder</t>
        </is>
      </c>
      <c r="C844" t="inlineStr">
        <is>
          <t>meta</t>
        </is>
      </c>
      <c r="D844" t="n">
        <v>32490</v>
      </c>
      <c r="E844" t="n">
        <v>23207</v>
      </c>
      <c r="F844" t="n">
        <v>263</v>
      </c>
      <c r="G844" t="n">
        <v>10</v>
      </c>
      <c r="H844" t="n">
        <v>0</v>
      </c>
      <c r="I844" t="n">
        <v>0</v>
      </c>
      <c r="J844" t="n">
        <v>1</v>
      </c>
    </row>
    <row r="845">
      <c r="A845" s="5" t="n">
        <v>45994</v>
      </c>
      <c r="B845" t="inlineStr">
        <is>
          <t>meta_retargeting_webinar</t>
        </is>
      </c>
      <c r="C845" t="inlineStr">
        <is>
          <t>meta</t>
        </is>
      </c>
      <c r="D845" t="n">
        <v>9942</v>
      </c>
      <c r="E845" t="n">
        <v>7101</v>
      </c>
      <c r="F845" t="n">
        <v>88</v>
      </c>
      <c r="G845" t="n">
        <v>3</v>
      </c>
      <c r="H845" t="n">
        <v>3</v>
      </c>
      <c r="I845" t="n">
        <v>0</v>
      </c>
      <c r="J845" t="n">
        <v>0</v>
      </c>
    </row>
    <row r="846">
      <c r="A846" s="5" t="n">
        <v>45995</v>
      </c>
      <c r="B846" t="inlineStr">
        <is>
          <t>FB-Broad</t>
        </is>
      </c>
      <c r="C846" t="inlineStr">
        <is>
          <t>meta</t>
        </is>
      </c>
      <c r="D846" t="n">
        <v>16247</v>
      </c>
      <c r="E846" t="n">
        <v>11605</v>
      </c>
      <c r="F846" t="n">
        <v>134</v>
      </c>
      <c r="G846" t="n">
        <v>5</v>
      </c>
      <c r="H846" t="n">
        <v>1</v>
      </c>
      <c r="I846" t="n">
        <v>0</v>
      </c>
      <c r="J846" t="n">
        <v>0</v>
      </c>
    </row>
    <row r="847">
      <c r="A847" s="5" t="n">
        <v>45995</v>
      </c>
      <c r="B847" t="inlineStr">
        <is>
          <t>google_brand_search</t>
        </is>
      </c>
      <c r="C847" t="inlineStr">
        <is>
          <t>google</t>
        </is>
      </c>
      <c r="D847" t="n">
        <v>7505</v>
      </c>
      <c r="E847" t="n">
        <v>1563</v>
      </c>
      <c r="F847" t="n">
        <v>89</v>
      </c>
      <c r="G847" t="n">
        <v>5</v>
      </c>
      <c r="H847" t="n">
        <v>0</v>
      </c>
      <c r="I847" t="n">
        <v>0</v>
      </c>
      <c r="J847" t="n">
        <v>0</v>
      </c>
    </row>
    <row r="848">
      <c r="A848" s="5" t="n">
        <v>45995</v>
      </c>
      <c r="B848" t="inlineStr">
        <is>
          <t>google_nonbrand_growth</t>
        </is>
      </c>
      <c r="C848" t="inlineStr">
        <is>
          <t>google</t>
        </is>
      </c>
      <c r="D848" t="n">
        <v>20515</v>
      </c>
      <c r="E848" t="n">
        <v>4273</v>
      </c>
      <c r="F848" t="n">
        <v>251</v>
      </c>
      <c r="G848" t="n">
        <v>7</v>
      </c>
      <c r="H848" t="n">
        <v>0</v>
      </c>
      <c r="I848" t="n">
        <v>0</v>
      </c>
      <c r="J848" t="n">
        <v>0</v>
      </c>
    </row>
    <row r="849">
      <c r="A849" s="5" t="n">
        <v>45995</v>
      </c>
      <c r="B849" t="inlineStr">
        <is>
          <t>linkedin_ceo_abm</t>
        </is>
      </c>
      <c r="C849" t="inlineStr">
        <is>
          <t>linkedin</t>
        </is>
      </c>
      <c r="D849" t="n">
        <v>25970</v>
      </c>
      <c r="E849" t="n">
        <v>4994</v>
      </c>
      <c r="F849" t="n">
        <v>34</v>
      </c>
      <c r="G849" t="n">
        <v>3</v>
      </c>
      <c r="H849" t="n">
        <v>0</v>
      </c>
      <c r="I849" t="n">
        <v>0</v>
      </c>
      <c r="J849" t="n">
        <v>0</v>
      </c>
    </row>
    <row r="850">
      <c r="A850" s="5" t="n">
        <v>45995</v>
      </c>
      <c r="B850" t="inlineStr">
        <is>
          <t>meta_prospecting_founder</t>
        </is>
      </c>
      <c r="C850" t="inlineStr">
        <is>
          <t>meta</t>
        </is>
      </c>
      <c r="D850" t="n">
        <v>29952</v>
      </c>
      <c r="E850" t="n">
        <v>21394</v>
      </c>
      <c r="F850" t="n">
        <v>246</v>
      </c>
      <c r="G850" t="n">
        <v>4</v>
      </c>
      <c r="H850" t="n">
        <v>1</v>
      </c>
      <c r="I850" t="n">
        <v>3</v>
      </c>
      <c r="J850" t="n">
        <v>0</v>
      </c>
    </row>
    <row r="851">
      <c r="A851" s="5" t="n">
        <v>45995</v>
      </c>
      <c r="B851" t="inlineStr">
        <is>
          <t>meta_retargeting_webinar</t>
        </is>
      </c>
      <c r="C851" t="inlineStr">
        <is>
          <t>meta</t>
        </is>
      </c>
      <c r="D851" t="n">
        <v>10115</v>
      </c>
      <c r="E851" t="n">
        <v>7225</v>
      </c>
      <c r="F851" t="n">
        <v>83</v>
      </c>
      <c r="G851" t="n">
        <v>2</v>
      </c>
      <c r="H851" t="n">
        <v>0</v>
      </c>
      <c r="I851" t="n">
        <v>2</v>
      </c>
      <c r="J851" t="n">
        <v>1</v>
      </c>
    </row>
    <row r="852">
      <c r="A852" s="5" t="n">
        <v>45996</v>
      </c>
      <c r="B852" t="inlineStr">
        <is>
          <t>FB-Broad</t>
        </is>
      </c>
      <c r="C852" t="inlineStr">
        <is>
          <t>meta</t>
        </is>
      </c>
      <c r="D852" t="n">
        <v>15965</v>
      </c>
      <c r="E852" t="n">
        <v>11403</v>
      </c>
      <c r="F852" t="n">
        <v>115</v>
      </c>
      <c r="G852" t="n">
        <v>6</v>
      </c>
      <c r="H852" t="n">
        <v>2</v>
      </c>
      <c r="I852" t="n">
        <v>0</v>
      </c>
      <c r="J852" t="n">
        <v>0</v>
      </c>
    </row>
    <row r="853">
      <c r="A853" s="5" t="n">
        <v>45996</v>
      </c>
      <c r="B853" t="inlineStr">
        <is>
          <t>google_brand_search</t>
        </is>
      </c>
      <c r="C853" t="inlineStr">
        <is>
          <t>google</t>
        </is>
      </c>
      <c r="D853" t="n">
        <v>7308</v>
      </c>
      <c r="E853" t="n">
        <v>1522</v>
      </c>
      <c r="F853" t="n">
        <v>76</v>
      </c>
      <c r="G853" t="n">
        <v>0</v>
      </c>
      <c r="H853" t="n">
        <v>3</v>
      </c>
      <c r="I853" t="n">
        <v>0</v>
      </c>
      <c r="J853" t="n">
        <v>0</v>
      </c>
    </row>
    <row r="854">
      <c r="A854" s="5" t="n">
        <v>45996</v>
      </c>
      <c r="B854" t="inlineStr">
        <is>
          <t>google_nonbrand_growth</t>
        </is>
      </c>
      <c r="C854" t="inlineStr">
        <is>
          <t>google</t>
        </is>
      </c>
      <c r="D854" t="n">
        <v>20915</v>
      </c>
      <c r="E854" t="n">
        <v>4357</v>
      </c>
      <c r="F854" t="n">
        <v>252</v>
      </c>
      <c r="G854" t="n">
        <v>1</v>
      </c>
      <c r="H854" t="n">
        <v>4</v>
      </c>
      <c r="I854" t="n">
        <v>0</v>
      </c>
      <c r="J854" t="n">
        <v>0</v>
      </c>
    </row>
    <row r="855">
      <c r="A855" s="5" t="n">
        <v>45996</v>
      </c>
      <c r="B855" t="inlineStr">
        <is>
          <t>linkedin_ceo_abm</t>
        </is>
      </c>
      <c r="C855" t="inlineStr">
        <is>
          <t>linkedin</t>
        </is>
      </c>
      <c r="D855" t="n">
        <v>26025</v>
      </c>
      <c r="E855" t="n">
        <v>5004</v>
      </c>
      <c r="F855" t="n">
        <v>33</v>
      </c>
      <c r="G855" t="n">
        <v>1</v>
      </c>
      <c r="H855" t="n">
        <v>0</v>
      </c>
      <c r="I855" t="n">
        <v>1</v>
      </c>
      <c r="J855" t="n">
        <v>0</v>
      </c>
    </row>
    <row r="856">
      <c r="A856" s="5" t="n">
        <v>45996</v>
      </c>
      <c r="B856" t="inlineStr">
        <is>
          <t>meta_prospecting_founder</t>
        </is>
      </c>
      <c r="C856" t="inlineStr">
        <is>
          <t>meta</t>
        </is>
      </c>
      <c r="D856" t="n">
        <v>30767</v>
      </c>
      <c r="E856" t="n">
        <v>21976</v>
      </c>
      <c r="F856" t="n">
        <v>273</v>
      </c>
      <c r="G856" t="n">
        <v>5</v>
      </c>
      <c r="H856" t="n">
        <v>1</v>
      </c>
      <c r="I856" t="n">
        <v>0</v>
      </c>
      <c r="J856" t="n">
        <v>0</v>
      </c>
    </row>
    <row r="857">
      <c r="A857" s="5" t="n">
        <v>45996</v>
      </c>
      <c r="B857" t="inlineStr">
        <is>
          <t>meta_retargeting_webinar</t>
        </is>
      </c>
      <c r="C857" t="inlineStr">
        <is>
          <t>meta</t>
        </is>
      </c>
      <c r="D857" t="n">
        <v>8682</v>
      </c>
      <c r="E857" t="n">
        <v>6201</v>
      </c>
      <c r="F857" t="n">
        <v>67</v>
      </c>
      <c r="G857" t="n">
        <v>0</v>
      </c>
      <c r="H857" t="n">
        <v>1</v>
      </c>
      <c r="I857" t="n">
        <v>0</v>
      </c>
      <c r="J857" t="n">
        <v>0</v>
      </c>
    </row>
    <row r="858">
      <c r="A858" s="5" t="n">
        <v>45997</v>
      </c>
      <c r="B858" t="inlineStr">
        <is>
          <t>FB-Broad</t>
        </is>
      </c>
      <c r="C858" t="inlineStr">
        <is>
          <t>meta</t>
        </is>
      </c>
      <c r="D858" t="n">
        <v>18356</v>
      </c>
      <c r="E858" t="n">
        <v>13111</v>
      </c>
      <c r="F858" t="n">
        <v>164</v>
      </c>
      <c r="G858" t="n">
        <v>2</v>
      </c>
      <c r="H858" t="n">
        <v>1</v>
      </c>
      <c r="I858" t="n">
        <v>2</v>
      </c>
      <c r="J858" t="n">
        <v>1</v>
      </c>
    </row>
    <row r="859">
      <c r="A859" s="5" t="n">
        <v>45997</v>
      </c>
      <c r="B859" t="inlineStr">
        <is>
          <t>google_brand_search</t>
        </is>
      </c>
      <c r="C859" t="inlineStr">
        <is>
          <t>google</t>
        </is>
      </c>
      <c r="D859" t="n">
        <v>6725</v>
      </c>
      <c r="E859" t="n">
        <v>1401</v>
      </c>
      <c r="F859" t="n">
        <v>74</v>
      </c>
      <c r="G859" t="n">
        <v>3</v>
      </c>
      <c r="H859" t="n">
        <v>1</v>
      </c>
      <c r="I859" t="n">
        <v>0</v>
      </c>
      <c r="J859" t="n">
        <v>0</v>
      </c>
    </row>
    <row r="860">
      <c r="A860" s="5" t="n">
        <v>45997</v>
      </c>
      <c r="B860" t="inlineStr">
        <is>
          <t>google_nonbrand_growth</t>
        </is>
      </c>
      <c r="C860" t="inlineStr">
        <is>
          <t>google</t>
        </is>
      </c>
      <c r="D860" t="n">
        <v>21338</v>
      </c>
      <c r="E860" t="n">
        <v>4445</v>
      </c>
      <c r="F860" t="n">
        <v>234</v>
      </c>
      <c r="G860" t="n">
        <v>1</v>
      </c>
      <c r="H860" t="n">
        <v>1</v>
      </c>
      <c r="I860" t="n">
        <v>1</v>
      </c>
      <c r="J860" t="n">
        <v>0</v>
      </c>
    </row>
    <row r="861">
      <c r="A861" s="5" t="n">
        <v>45997</v>
      </c>
      <c r="B861" t="inlineStr">
        <is>
          <t>linkedin_ceo_abm</t>
        </is>
      </c>
      <c r="C861" t="inlineStr">
        <is>
          <t>linkedin</t>
        </is>
      </c>
      <c r="D861" t="n">
        <v>24942</v>
      </c>
      <c r="E861" t="n">
        <v>4796</v>
      </c>
      <c r="F861" t="n">
        <v>34</v>
      </c>
      <c r="G861" t="n">
        <v>1</v>
      </c>
      <c r="H861" t="n">
        <v>0</v>
      </c>
      <c r="I861" t="n">
        <v>0</v>
      </c>
      <c r="J861" t="n">
        <v>0</v>
      </c>
    </row>
    <row r="862">
      <c r="A862" s="5" t="n">
        <v>45997</v>
      </c>
      <c r="B862" t="inlineStr">
        <is>
          <t>meta_prospecting_founder</t>
        </is>
      </c>
      <c r="C862" t="inlineStr">
        <is>
          <t>meta</t>
        </is>
      </c>
      <c r="D862" t="n">
        <v>29568</v>
      </c>
      <c r="E862" t="n">
        <v>21120</v>
      </c>
      <c r="F862" t="n">
        <v>208</v>
      </c>
      <c r="G862" t="n">
        <v>7</v>
      </c>
      <c r="H862" t="n">
        <v>0</v>
      </c>
      <c r="I862" t="n">
        <v>0</v>
      </c>
      <c r="J862" t="n">
        <v>0</v>
      </c>
    </row>
    <row r="863">
      <c r="A863" s="5" t="n">
        <v>45997</v>
      </c>
      <c r="B863" t="inlineStr">
        <is>
          <t>meta_retargeting_webinar</t>
        </is>
      </c>
      <c r="C863" t="inlineStr">
        <is>
          <t>meta</t>
        </is>
      </c>
      <c r="D863" t="n">
        <v>8397</v>
      </c>
      <c r="E863" t="n">
        <v>5997</v>
      </c>
      <c r="F863" t="n">
        <v>67</v>
      </c>
      <c r="G863" t="n">
        <v>2</v>
      </c>
      <c r="H863" t="n">
        <v>0</v>
      </c>
      <c r="I863" t="n">
        <v>0</v>
      </c>
      <c r="J863" t="n">
        <v>0</v>
      </c>
    </row>
    <row r="864">
      <c r="A864" s="5" t="n">
        <v>45998</v>
      </c>
      <c r="B864" t="inlineStr">
        <is>
          <t>FB-Broad</t>
        </is>
      </c>
      <c r="C864" t="inlineStr">
        <is>
          <t>meta</t>
        </is>
      </c>
      <c r="D864" t="n">
        <v>17947</v>
      </c>
      <c r="E864" t="n">
        <v>12819</v>
      </c>
      <c r="F864" t="n">
        <v>149</v>
      </c>
      <c r="G864" t="n">
        <v>3</v>
      </c>
      <c r="H864" t="n">
        <v>1</v>
      </c>
      <c r="I864" t="n">
        <v>0</v>
      </c>
      <c r="J864" t="n">
        <v>0</v>
      </c>
    </row>
    <row r="865">
      <c r="A865" s="5" t="n">
        <v>45998</v>
      </c>
      <c r="B865" t="inlineStr">
        <is>
          <t>google_brand_search</t>
        </is>
      </c>
      <c r="C865" t="inlineStr">
        <is>
          <t>google</t>
        </is>
      </c>
      <c r="D865" t="n">
        <v>6779</v>
      </c>
      <c r="E865" t="n">
        <v>1412</v>
      </c>
      <c r="F865" t="n">
        <v>66</v>
      </c>
      <c r="G865" t="n">
        <v>2</v>
      </c>
      <c r="H865" t="n">
        <v>0</v>
      </c>
      <c r="I865" t="n">
        <v>2</v>
      </c>
      <c r="J865" t="n">
        <v>0</v>
      </c>
    </row>
    <row r="866">
      <c r="A866" s="5" t="n">
        <v>45998</v>
      </c>
      <c r="B866" t="inlineStr">
        <is>
          <t>google_nonbrand_growth</t>
        </is>
      </c>
      <c r="C866" t="inlineStr">
        <is>
          <t>google</t>
        </is>
      </c>
      <c r="D866" t="n">
        <v>24184</v>
      </c>
      <c r="E866" t="n">
        <v>5038</v>
      </c>
      <c r="F866" t="n">
        <v>290</v>
      </c>
      <c r="G866" t="n">
        <v>1</v>
      </c>
      <c r="H866" t="n">
        <v>0</v>
      </c>
      <c r="I866" t="n">
        <v>1</v>
      </c>
      <c r="J866" t="n">
        <v>0</v>
      </c>
    </row>
    <row r="867">
      <c r="A867" s="5" t="n">
        <v>45998</v>
      </c>
      <c r="B867" t="inlineStr">
        <is>
          <t>linkedin_ceo_abm</t>
        </is>
      </c>
      <c r="C867" t="inlineStr">
        <is>
          <t>linkedin</t>
        </is>
      </c>
      <c r="D867" t="n">
        <v>23354</v>
      </c>
      <c r="E867" t="n">
        <v>4491</v>
      </c>
      <c r="F867" t="n">
        <v>32</v>
      </c>
      <c r="G867" t="n">
        <v>3</v>
      </c>
      <c r="H867" t="n">
        <v>0</v>
      </c>
      <c r="I867" t="n">
        <v>0</v>
      </c>
      <c r="J867" t="n">
        <v>0</v>
      </c>
    </row>
    <row r="868">
      <c r="A868" s="5" t="n">
        <v>45998</v>
      </c>
      <c r="B868" t="inlineStr">
        <is>
          <t>meta_prospecting_founder</t>
        </is>
      </c>
      <c r="C868" t="inlineStr">
        <is>
          <t>meta</t>
        </is>
      </c>
      <c r="D868" t="n">
        <v>35264</v>
      </c>
      <c r="E868" t="n">
        <v>25188</v>
      </c>
      <c r="F868" t="n">
        <v>240</v>
      </c>
      <c r="G868" t="n">
        <v>2</v>
      </c>
      <c r="H868" t="n">
        <v>2</v>
      </c>
      <c r="I868" t="n">
        <v>0</v>
      </c>
      <c r="J868" t="n">
        <v>0</v>
      </c>
    </row>
    <row r="869">
      <c r="A869" s="5" t="n">
        <v>45998</v>
      </c>
      <c r="B869" t="inlineStr">
        <is>
          <t>meta_retargeting_webinar</t>
        </is>
      </c>
      <c r="C869" t="inlineStr">
        <is>
          <t>meta</t>
        </is>
      </c>
      <c r="D869" t="n">
        <v>9218</v>
      </c>
      <c r="E869" t="n">
        <v>6584</v>
      </c>
      <c r="F869" t="n">
        <v>65</v>
      </c>
      <c r="G869" t="n">
        <v>1</v>
      </c>
      <c r="H869" t="n">
        <v>0</v>
      </c>
      <c r="I869" t="n">
        <v>0</v>
      </c>
      <c r="J869" t="n">
        <v>0</v>
      </c>
    </row>
    <row r="870">
      <c r="A870" s="5" t="n">
        <v>45999</v>
      </c>
      <c r="B870" t="inlineStr">
        <is>
          <t>FB-Broad</t>
        </is>
      </c>
      <c r="C870" t="inlineStr">
        <is>
          <t>meta</t>
        </is>
      </c>
      <c r="D870" t="n">
        <v>18134</v>
      </c>
      <c r="E870" t="n">
        <v>12952</v>
      </c>
      <c r="F870" t="n">
        <v>150</v>
      </c>
      <c r="G870" t="n">
        <v>5</v>
      </c>
      <c r="H870" t="n">
        <v>3</v>
      </c>
      <c r="I870" t="n">
        <v>0</v>
      </c>
      <c r="J870" t="n">
        <v>0</v>
      </c>
    </row>
    <row r="871">
      <c r="A871" s="5" t="n">
        <v>45999</v>
      </c>
      <c r="B871" t="inlineStr">
        <is>
          <t>google_brand_search</t>
        </is>
      </c>
      <c r="C871" t="inlineStr">
        <is>
          <t>google</t>
        </is>
      </c>
      <c r="D871" t="n">
        <v>6960</v>
      </c>
      <c r="E871" t="n">
        <v>1450</v>
      </c>
      <c r="F871" t="n">
        <v>77</v>
      </c>
      <c r="G871" t="n">
        <v>1</v>
      </c>
      <c r="H871" t="n">
        <v>0</v>
      </c>
      <c r="I871" t="n">
        <v>0</v>
      </c>
      <c r="J871" t="n">
        <v>0</v>
      </c>
    </row>
    <row r="872">
      <c r="A872" s="5" t="n">
        <v>45999</v>
      </c>
      <c r="B872" t="inlineStr">
        <is>
          <t>google_nonbrand_growth</t>
        </is>
      </c>
      <c r="C872" t="inlineStr">
        <is>
          <t>google</t>
        </is>
      </c>
      <c r="D872" t="n">
        <v>22852</v>
      </c>
      <c r="E872" t="n">
        <v>4760</v>
      </c>
      <c r="F872" t="n">
        <v>253</v>
      </c>
      <c r="G872" t="n">
        <v>2</v>
      </c>
      <c r="H872" t="n">
        <v>2</v>
      </c>
      <c r="I872" t="n">
        <v>1</v>
      </c>
      <c r="J872" t="n">
        <v>0</v>
      </c>
    </row>
    <row r="873">
      <c r="A873" s="5" t="n">
        <v>45999</v>
      </c>
      <c r="B873" t="inlineStr">
        <is>
          <t>linkedin_ceo_abm</t>
        </is>
      </c>
      <c r="C873" t="inlineStr">
        <is>
          <t>linkedin</t>
        </is>
      </c>
      <c r="D873" t="n">
        <v>24634</v>
      </c>
      <c r="E873" t="n">
        <v>4737</v>
      </c>
      <c r="F873" t="n">
        <v>34</v>
      </c>
      <c r="G873" t="n">
        <v>2</v>
      </c>
      <c r="H873" t="n">
        <v>0</v>
      </c>
      <c r="I873" t="n">
        <v>0</v>
      </c>
      <c r="J873" t="n">
        <v>0</v>
      </c>
    </row>
    <row r="874">
      <c r="A874" s="5" t="n">
        <v>45999</v>
      </c>
      <c r="B874" t="inlineStr">
        <is>
          <t>meta_prospecting_founder</t>
        </is>
      </c>
      <c r="C874" t="inlineStr">
        <is>
          <t>meta</t>
        </is>
      </c>
      <c r="D874" t="n">
        <v>33567</v>
      </c>
      <c r="E874" t="n">
        <v>23976</v>
      </c>
      <c r="F874" t="n">
        <v>247</v>
      </c>
      <c r="G874" t="n">
        <v>5</v>
      </c>
      <c r="H874" t="n">
        <v>1</v>
      </c>
      <c r="I874" t="n">
        <v>0</v>
      </c>
      <c r="J874" t="n">
        <v>0</v>
      </c>
    </row>
    <row r="875">
      <c r="A875" s="5" t="n">
        <v>45999</v>
      </c>
      <c r="B875" t="inlineStr">
        <is>
          <t>meta_retargeting_webinar</t>
        </is>
      </c>
      <c r="C875" t="inlineStr">
        <is>
          <t>meta</t>
        </is>
      </c>
      <c r="D875" t="n">
        <v>9627</v>
      </c>
      <c r="E875" t="n">
        <v>6876</v>
      </c>
      <c r="F875" t="n">
        <v>74</v>
      </c>
      <c r="G875" t="n">
        <v>1</v>
      </c>
      <c r="H875" t="n">
        <v>0</v>
      </c>
      <c r="I875" t="n">
        <v>2</v>
      </c>
      <c r="J875" t="n">
        <v>0</v>
      </c>
    </row>
    <row r="876">
      <c r="A876" s="5" t="n">
        <v>46000</v>
      </c>
      <c r="B876" t="inlineStr">
        <is>
          <t>FB-Broad</t>
        </is>
      </c>
      <c r="C876" t="inlineStr">
        <is>
          <t>meta</t>
        </is>
      </c>
      <c r="D876" t="n">
        <v>17499</v>
      </c>
      <c r="E876" t="n">
        <v>12499</v>
      </c>
      <c r="F876" t="n">
        <v>153</v>
      </c>
      <c r="G876" t="n">
        <v>4</v>
      </c>
      <c r="H876" t="n">
        <v>1</v>
      </c>
      <c r="I876" t="n">
        <v>1</v>
      </c>
      <c r="J876" t="n">
        <v>0</v>
      </c>
    </row>
    <row r="877">
      <c r="A877" s="5" t="n">
        <v>46000</v>
      </c>
      <c r="B877" t="inlineStr">
        <is>
          <t>google_brand_search</t>
        </is>
      </c>
      <c r="C877" t="inlineStr">
        <is>
          <t>google</t>
        </is>
      </c>
      <c r="D877" t="n">
        <v>7523</v>
      </c>
      <c r="E877" t="n">
        <v>1567</v>
      </c>
      <c r="F877" t="n">
        <v>86</v>
      </c>
      <c r="G877" t="n">
        <v>1</v>
      </c>
      <c r="H877" t="n">
        <v>2</v>
      </c>
      <c r="I877" t="n">
        <v>1</v>
      </c>
      <c r="J877" t="n">
        <v>0</v>
      </c>
    </row>
    <row r="878">
      <c r="A878" s="5" t="n">
        <v>46000</v>
      </c>
      <c r="B878" t="inlineStr">
        <is>
          <t>google_nonbrand_growth</t>
        </is>
      </c>
      <c r="C878" t="inlineStr">
        <is>
          <t>google</t>
        </is>
      </c>
      <c r="D878" t="n">
        <v>22456</v>
      </c>
      <c r="E878" t="n">
        <v>4678</v>
      </c>
      <c r="F878" t="n">
        <v>272</v>
      </c>
      <c r="G878" t="n">
        <v>4</v>
      </c>
      <c r="H878" t="n">
        <v>0</v>
      </c>
      <c r="I878" t="n">
        <v>1</v>
      </c>
      <c r="J878" t="n">
        <v>0</v>
      </c>
    </row>
    <row r="879">
      <c r="A879" s="5" t="n">
        <v>46000</v>
      </c>
      <c r="B879" t="inlineStr">
        <is>
          <t>linkedin_ceo_abm</t>
        </is>
      </c>
      <c r="C879" t="inlineStr">
        <is>
          <t>linkedin</t>
        </is>
      </c>
      <c r="D879" t="n">
        <v>26870</v>
      </c>
      <c r="E879" t="n">
        <v>5167</v>
      </c>
      <c r="F879" t="n">
        <v>38</v>
      </c>
      <c r="G879" t="n">
        <v>2</v>
      </c>
      <c r="H879" t="n">
        <v>1</v>
      </c>
      <c r="I879" t="n">
        <v>0</v>
      </c>
      <c r="J879" t="n">
        <v>1</v>
      </c>
    </row>
    <row r="880">
      <c r="A880" s="5" t="n">
        <v>46000</v>
      </c>
      <c r="B880" t="inlineStr">
        <is>
          <t>meta_prospecting_founder</t>
        </is>
      </c>
      <c r="C880" t="inlineStr">
        <is>
          <t>meta</t>
        </is>
      </c>
      <c r="D880" t="n">
        <v>30596</v>
      </c>
      <c r="E880" t="n">
        <v>21854</v>
      </c>
      <c r="F880" t="n">
        <v>224</v>
      </c>
      <c r="G880" t="n">
        <v>8</v>
      </c>
      <c r="H880" t="n">
        <v>0</v>
      </c>
      <c r="I880" t="n">
        <v>2</v>
      </c>
      <c r="J880" t="n">
        <v>0</v>
      </c>
    </row>
    <row r="881">
      <c r="A881" s="5" t="n">
        <v>46000</v>
      </c>
      <c r="B881" t="inlineStr">
        <is>
          <t>meta_retargeting_webinar</t>
        </is>
      </c>
      <c r="C881" t="inlineStr">
        <is>
          <t>meta</t>
        </is>
      </c>
      <c r="D881" t="n">
        <v>9751</v>
      </c>
      <c r="E881" t="n">
        <v>6965</v>
      </c>
      <c r="F881" t="n">
        <v>69</v>
      </c>
      <c r="G881" t="n">
        <v>3</v>
      </c>
      <c r="H881" t="n">
        <v>0</v>
      </c>
      <c r="I881" t="n">
        <v>0</v>
      </c>
      <c r="J881" t="n">
        <v>0</v>
      </c>
    </row>
    <row r="882">
      <c r="A882" s="5" t="n">
        <v>46001</v>
      </c>
      <c r="B882" t="inlineStr">
        <is>
          <t>FB-Broad</t>
        </is>
      </c>
      <c r="C882" t="inlineStr">
        <is>
          <t>meta</t>
        </is>
      </c>
      <c r="D882" t="n">
        <v>16953</v>
      </c>
      <c r="E882" t="n">
        <v>12109</v>
      </c>
      <c r="F882" t="n">
        <v>121</v>
      </c>
      <c r="G882" t="n">
        <v>4</v>
      </c>
      <c r="H882" t="n">
        <v>1</v>
      </c>
      <c r="I882" t="n">
        <v>0</v>
      </c>
      <c r="J882" t="n">
        <v>0</v>
      </c>
    </row>
    <row r="883">
      <c r="A883" s="5" t="n">
        <v>46001</v>
      </c>
      <c r="B883" t="inlineStr">
        <is>
          <t>google_brand_search</t>
        </is>
      </c>
      <c r="C883" t="inlineStr">
        <is>
          <t>google</t>
        </is>
      </c>
      <c r="D883" t="n">
        <v>6532</v>
      </c>
      <c r="E883" t="n">
        <v>1360</v>
      </c>
      <c r="F883" t="n">
        <v>75</v>
      </c>
      <c r="G883" t="n">
        <v>1</v>
      </c>
      <c r="H883" t="n">
        <v>1</v>
      </c>
      <c r="I883" t="n">
        <v>0</v>
      </c>
      <c r="J883" t="n">
        <v>0</v>
      </c>
    </row>
    <row r="884">
      <c r="A884" s="5" t="n">
        <v>46001</v>
      </c>
      <c r="B884" t="inlineStr">
        <is>
          <t>google_nonbrand_growth</t>
        </is>
      </c>
      <c r="C884" t="inlineStr">
        <is>
          <t>google</t>
        </is>
      </c>
      <c r="D884" t="n">
        <v>22741</v>
      </c>
      <c r="E884" t="n">
        <v>4737</v>
      </c>
      <c r="F884" t="n">
        <v>242</v>
      </c>
      <c r="G884" t="n">
        <v>2</v>
      </c>
      <c r="H884" t="n">
        <v>2</v>
      </c>
      <c r="I884" t="n">
        <v>0</v>
      </c>
      <c r="J884" t="n">
        <v>0</v>
      </c>
    </row>
    <row r="885">
      <c r="A885" s="5" t="n">
        <v>46001</v>
      </c>
      <c r="B885" t="inlineStr">
        <is>
          <t>linkedin_ceo_abm</t>
        </is>
      </c>
      <c r="C885" t="inlineStr">
        <is>
          <t>linkedin</t>
        </is>
      </c>
      <c r="D885" t="n">
        <v>23193</v>
      </c>
      <c r="E885" t="n">
        <v>4460</v>
      </c>
      <c r="F885" t="n">
        <v>27</v>
      </c>
      <c r="G885" t="n">
        <v>0</v>
      </c>
      <c r="H885" t="n">
        <v>1</v>
      </c>
      <c r="I885" t="n">
        <v>0</v>
      </c>
      <c r="J885" t="n">
        <v>0</v>
      </c>
    </row>
    <row r="886">
      <c r="A886" s="5" t="n">
        <v>46001</v>
      </c>
      <c r="B886" t="inlineStr">
        <is>
          <t>meta_prospecting_founder</t>
        </is>
      </c>
      <c r="C886" t="inlineStr">
        <is>
          <t>meta</t>
        </is>
      </c>
      <c r="D886" t="n">
        <v>34215</v>
      </c>
      <c r="E886" t="n">
        <v>24439</v>
      </c>
      <c r="F886" t="n">
        <v>291</v>
      </c>
      <c r="G886" t="n">
        <v>10</v>
      </c>
      <c r="H886" t="n">
        <v>2</v>
      </c>
      <c r="I886" t="n">
        <v>0</v>
      </c>
      <c r="J886" t="n">
        <v>0</v>
      </c>
    </row>
    <row r="887">
      <c r="A887" s="5" t="n">
        <v>46001</v>
      </c>
      <c r="B887" t="inlineStr">
        <is>
          <t>meta_retargeting_webinar</t>
        </is>
      </c>
      <c r="C887" t="inlineStr">
        <is>
          <t>meta</t>
        </is>
      </c>
      <c r="D887" t="n">
        <v>9470</v>
      </c>
      <c r="E887" t="n">
        <v>6764</v>
      </c>
      <c r="F887" t="n">
        <v>81</v>
      </c>
      <c r="G887" t="n">
        <v>1</v>
      </c>
      <c r="H887" t="n">
        <v>2</v>
      </c>
      <c r="I887" t="n">
        <v>1</v>
      </c>
      <c r="J887" t="n">
        <v>0</v>
      </c>
    </row>
    <row r="888">
      <c r="A888" s="5" t="n">
        <v>46002</v>
      </c>
      <c r="B888" t="inlineStr">
        <is>
          <t>FB-Broad</t>
        </is>
      </c>
      <c r="C888" t="inlineStr">
        <is>
          <t>meta</t>
        </is>
      </c>
      <c r="D888" t="n">
        <v>17650</v>
      </c>
      <c r="E888" t="n">
        <v>12607</v>
      </c>
      <c r="F888" t="n">
        <v>139</v>
      </c>
      <c r="G888" t="n">
        <v>3</v>
      </c>
      <c r="H888" t="n">
        <v>0</v>
      </c>
      <c r="I888" t="n">
        <v>0</v>
      </c>
      <c r="J888" t="n">
        <v>0</v>
      </c>
    </row>
    <row r="889">
      <c r="A889" s="5" t="n">
        <v>46002</v>
      </c>
      <c r="B889" t="inlineStr">
        <is>
          <t>google_brand_search</t>
        </is>
      </c>
      <c r="C889" t="inlineStr">
        <is>
          <t>google</t>
        </is>
      </c>
      <c r="D889" t="n">
        <v>7395</v>
      </c>
      <c r="E889" t="n">
        <v>1540</v>
      </c>
      <c r="F889" t="n">
        <v>83</v>
      </c>
      <c r="G889" t="n">
        <v>5</v>
      </c>
      <c r="H889" t="n">
        <v>0</v>
      </c>
      <c r="I889" t="n">
        <v>1</v>
      </c>
      <c r="J889" t="n">
        <v>0</v>
      </c>
    </row>
    <row r="890">
      <c r="A890" s="5" t="n">
        <v>46002</v>
      </c>
      <c r="B890" t="inlineStr">
        <is>
          <t>google_nonbrand_growth</t>
        </is>
      </c>
      <c r="C890" t="inlineStr">
        <is>
          <t>google</t>
        </is>
      </c>
      <c r="D890" t="n">
        <v>22943</v>
      </c>
      <c r="E890" t="n">
        <v>4779</v>
      </c>
      <c r="F890" t="n">
        <v>243</v>
      </c>
      <c r="G890" t="n">
        <v>1</v>
      </c>
      <c r="H890" t="n">
        <v>0</v>
      </c>
      <c r="I890" t="n">
        <v>0</v>
      </c>
      <c r="J890" t="n">
        <v>0</v>
      </c>
    </row>
    <row r="891">
      <c r="A891" s="5" t="n">
        <v>46002</v>
      </c>
      <c r="B891" t="inlineStr">
        <is>
          <t>linkedin_ceo_abm</t>
        </is>
      </c>
      <c r="C891" t="inlineStr">
        <is>
          <t>linkedin</t>
        </is>
      </c>
      <c r="D891" t="n">
        <v>26838</v>
      </c>
      <c r="E891" t="n">
        <v>5161</v>
      </c>
      <c r="F891" t="n">
        <v>37</v>
      </c>
      <c r="G891" t="n">
        <v>2</v>
      </c>
      <c r="H891" t="n">
        <v>0</v>
      </c>
      <c r="I891" t="n">
        <v>0</v>
      </c>
      <c r="J891" t="n">
        <v>1</v>
      </c>
    </row>
    <row r="892">
      <c r="A892" s="5" t="n">
        <v>46002</v>
      </c>
      <c r="B892" t="inlineStr">
        <is>
          <t>meta_prospecting_founder</t>
        </is>
      </c>
      <c r="C892" t="inlineStr">
        <is>
          <t>meta</t>
        </is>
      </c>
      <c r="D892" t="n">
        <v>34541</v>
      </c>
      <c r="E892" t="n">
        <v>24672</v>
      </c>
      <c r="F892" t="n">
        <v>305</v>
      </c>
      <c r="G892" t="n">
        <v>8</v>
      </c>
      <c r="H892" t="n">
        <v>1</v>
      </c>
      <c r="I892" t="n">
        <v>0</v>
      </c>
      <c r="J892" t="n">
        <v>0</v>
      </c>
    </row>
    <row r="893">
      <c r="A893" s="5" t="n">
        <v>46002</v>
      </c>
      <c r="B893" t="inlineStr">
        <is>
          <t>meta_retargeting_webinar</t>
        </is>
      </c>
      <c r="C893" t="inlineStr">
        <is>
          <t>meta</t>
        </is>
      </c>
      <c r="D893" t="n">
        <v>9099</v>
      </c>
      <c r="E893" t="n">
        <v>6499</v>
      </c>
      <c r="F893" t="n">
        <v>79</v>
      </c>
      <c r="G893" t="n">
        <v>6</v>
      </c>
      <c r="H893" t="n">
        <v>0</v>
      </c>
      <c r="I893" t="n">
        <v>0</v>
      </c>
      <c r="J893" t="n">
        <v>0</v>
      </c>
    </row>
    <row r="894">
      <c r="A894" s="5" t="n">
        <v>46003</v>
      </c>
      <c r="B894" t="inlineStr">
        <is>
          <t>FB-Broad</t>
        </is>
      </c>
      <c r="C894" t="inlineStr">
        <is>
          <t>meta</t>
        </is>
      </c>
      <c r="D894" t="n">
        <v>16749</v>
      </c>
      <c r="E894" t="n">
        <v>11963</v>
      </c>
      <c r="F894" t="n">
        <v>124</v>
      </c>
      <c r="G894" t="n">
        <v>6</v>
      </c>
      <c r="H894" t="n">
        <v>0</v>
      </c>
      <c r="I894" t="n">
        <v>0</v>
      </c>
      <c r="J894" t="n">
        <v>0</v>
      </c>
    </row>
    <row r="895">
      <c r="A895" s="5" t="n">
        <v>46003</v>
      </c>
      <c r="B895" t="inlineStr">
        <is>
          <t>google_brand_search</t>
        </is>
      </c>
      <c r="C895" t="inlineStr">
        <is>
          <t>google</t>
        </is>
      </c>
      <c r="D895" t="n">
        <v>7527</v>
      </c>
      <c r="E895" t="n">
        <v>1568</v>
      </c>
      <c r="F895" t="n">
        <v>85</v>
      </c>
      <c r="G895" t="n">
        <v>3</v>
      </c>
      <c r="H895" t="n">
        <v>1</v>
      </c>
      <c r="I895" t="n">
        <v>0</v>
      </c>
      <c r="J895" t="n">
        <v>0</v>
      </c>
    </row>
    <row r="896">
      <c r="A896" s="5" t="n">
        <v>46003</v>
      </c>
      <c r="B896" t="inlineStr">
        <is>
          <t>google_nonbrand_growth</t>
        </is>
      </c>
      <c r="C896" t="inlineStr">
        <is>
          <t>google</t>
        </is>
      </c>
      <c r="D896" t="n">
        <v>20891</v>
      </c>
      <c r="E896" t="n">
        <v>4352</v>
      </c>
      <c r="F896" t="n">
        <v>208</v>
      </c>
      <c r="G896" t="n">
        <v>3</v>
      </c>
      <c r="H896" t="n">
        <v>0</v>
      </c>
      <c r="I896" t="n">
        <v>0</v>
      </c>
      <c r="J896" t="n">
        <v>0</v>
      </c>
    </row>
    <row r="897">
      <c r="A897" s="5" t="n">
        <v>46003</v>
      </c>
      <c r="B897" t="inlineStr">
        <is>
          <t>linkedin_ceo_abm</t>
        </is>
      </c>
      <c r="C897" t="inlineStr">
        <is>
          <t>linkedin</t>
        </is>
      </c>
      <c r="D897" t="n">
        <v>25791</v>
      </c>
      <c r="E897" t="n">
        <v>4959</v>
      </c>
      <c r="F897" t="n">
        <v>29</v>
      </c>
      <c r="G897" t="n">
        <v>2</v>
      </c>
      <c r="H897" t="n">
        <v>0</v>
      </c>
      <c r="I897" t="n">
        <v>0</v>
      </c>
      <c r="J897" t="n">
        <v>0</v>
      </c>
    </row>
    <row r="898">
      <c r="A898" s="5" t="n">
        <v>46003</v>
      </c>
      <c r="B898" t="inlineStr">
        <is>
          <t>meta_prospecting_founder</t>
        </is>
      </c>
      <c r="C898" t="inlineStr">
        <is>
          <t>meta</t>
        </is>
      </c>
      <c r="D898" t="n">
        <v>33968</v>
      </c>
      <c r="E898" t="n">
        <v>24262</v>
      </c>
      <c r="F898" t="n">
        <v>280</v>
      </c>
      <c r="G898" t="n">
        <v>5</v>
      </c>
      <c r="H898" t="n">
        <v>1</v>
      </c>
      <c r="I898" t="n">
        <v>2</v>
      </c>
      <c r="J898" t="n">
        <v>1</v>
      </c>
    </row>
    <row r="899">
      <c r="A899" s="5" t="n">
        <v>46003</v>
      </c>
      <c r="B899" t="inlineStr">
        <is>
          <t>meta_retargeting_webinar</t>
        </is>
      </c>
      <c r="C899" t="inlineStr">
        <is>
          <t>meta</t>
        </is>
      </c>
      <c r="D899" t="n">
        <v>9816</v>
      </c>
      <c r="E899" t="n">
        <v>7011</v>
      </c>
      <c r="F899" t="n">
        <v>74</v>
      </c>
      <c r="G899" t="n">
        <v>4</v>
      </c>
      <c r="H899" t="n">
        <v>0</v>
      </c>
      <c r="I899" t="n">
        <v>0</v>
      </c>
      <c r="J899" t="n">
        <v>0</v>
      </c>
    </row>
    <row r="900">
      <c r="A900" s="5" t="n">
        <v>46004</v>
      </c>
      <c r="B900" t="inlineStr">
        <is>
          <t>FB-Broad</t>
        </is>
      </c>
      <c r="C900" t="inlineStr">
        <is>
          <t>meta</t>
        </is>
      </c>
      <c r="D900" t="n">
        <v>14995</v>
      </c>
      <c r="E900" t="n">
        <v>10710</v>
      </c>
      <c r="F900" t="n">
        <v>121</v>
      </c>
      <c r="G900" t="n">
        <v>1</v>
      </c>
      <c r="H900" t="n">
        <v>1</v>
      </c>
      <c r="I900" t="n">
        <v>0</v>
      </c>
      <c r="J900" t="n">
        <v>1</v>
      </c>
    </row>
    <row r="901">
      <c r="A901" s="5" t="n">
        <v>46004</v>
      </c>
      <c r="B901" t="inlineStr">
        <is>
          <t>google_brand_search</t>
        </is>
      </c>
      <c r="C901" t="inlineStr">
        <is>
          <t>google</t>
        </is>
      </c>
      <c r="D901" t="n">
        <v>6278</v>
      </c>
      <c r="E901" t="n">
        <v>1307</v>
      </c>
      <c r="F901" t="n">
        <v>58</v>
      </c>
      <c r="G901" t="n">
        <v>2</v>
      </c>
      <c r="H901" t="n">
        <v>1</v>
      </c>
      <c r="I901" t="n">
        <v>0</v>
      </c>
      <c r="J901" t="n">
        <v>1</v>
      </c>
    </row>
    <row r="902">
      <c r="A902" s="5" t="n">
        <v>46004</v>
      </c>
      <c r="B902" t="inlineStr">
        <is>
          <t>google_nonbrand_growth</t>
        </is>
      </c>
      <c r="C902" t="inlineStr">
        <is>
          <t>google</t>
        </is>
      </c>
      <c r="D902" t="n">
        <v>23456</v>
      </c>
      <c r="E902" t="n">
        <v>4886</v>
      </c>
      <c r="F902" t="n">
        <v>266</v>
      </c>
      <c r="G902" t="n">
        <v>3</v>
      </c>
      <c r="H902" t="n">
        <v>1</v>
      </c>
      <c r="I902" t="n">
        <v>1</v>
      </c>
      <c r="J902" t="n">
        <v>0</v>
      </c>
    </row>
    <row r="903">
      <c r="A903" s="5" t="n">
        <v>46004</v>
      </c>
      <c r="B903" t="inlineStr">
        <is>
          <t>linkedin_ceo_abm</t>
        </is>
      </c>
      <c r="C903" t="inlineStr">
        <is>
          <t>linkedin</t>
        </is>
      </c>
      <c r="D903" t="n">
        <v>24023</v>
      </c>
      <c r="E903" t="n">
        <v>4619</v>
      </c>
      <c r="F903" t="n">
        <v>27</v>
      </c>
      <c r="G903" t="n">
        <v>1</v>
      </c>
      <c r="H903" t="n">
        <v>2</v>
      </c>
      <c r="I903" t="n">
        <v>0</v>
      </c>
      <c r="J903" t="n">
        <v>0</v>
      </c>
    </row>
    <row r="904">
      <c r="A904" s="5" t="n">
        <v>46004</v>
      </c>
      <c r="B904" t="inlineStr">
        <is>
          <t>meta_prospecting_founder</t>
        </is>
      </c>
      <c r="C904" t="inlineStr">
        <is>
          <t>meta</t>
        </is>
      </c>
      <c r="D904" t="n">
        <v>32970</v>
      </c>
      <c r="E904" t="n">
        <v>23550</v>
      </c>
      <c r="F904" t="n">
        <v>295</v>
      </c>
      <c r="G904" t="n">
        <v>3</v>
      </c>
      <c r="H904" t="n">
        <v>1</v>
      </c>
      <c r="I904" t="n">
        <v>2</v>
      </c>
      <c r="J904" t="n">
        <v>0</v>
      </c>
    </row>
    <row r="905">
      <c r="A905" s="5" t="n">
        <v>46004</v>
      </c>
      <c r="B905" t="inlineStr">
        <is>
          <t>meta_retargeting_webinar</t>
        </is>
      </c>
      <c r="C905" t="inlineStr">
        <is>
          <t>meta</t>
        </is>
      </c>
      <c r="D905" t="n">
        <v>8437</v>
      </c>
      <c r="E905" t="n">
        <v>6026</v>
      </c>
      <c r="F905" t="n">
        <v>72</v>
      </c>
      <c r="G905" t="n">
        <v>0</v>
      </c>
      <c r="H905" t="n">
        <v>1</v>
      </c>
      <c r="I905" t="n">
        <v>0</v>
      </c>
      <c r="J905" t="n">
        <v>0</v>
      </c>
    </row>
    <row r="906">
      <c r="A906" s="5" t="n">
        <v>46005</v>
      </c>
      <c r="B906" t="inlineStr">
        <is>
          <t>FB-Broad</t>
        </is>
      </c>
      <c r="C906" t="inlineStr">
        <is>
          <t>meta</t>
        </is>
      </c>
      <c r="D906" t="n">
        <v>16106</v>
      </c>
      <c r="E906" t="n">
        <v>11504</v>
      </c>
      <c r="F906" t="n">
        <v>121</v>
      </c>
      <c r="G906" t="n">
        <v>2</v>
      </c>
      <c r="H906" t="n">
        <v>1</v>
      </c>
      <c r="I906" t="n">
        <v>1</v>
      </c>
      <c r="J906" t="n">
        <v>0</v>
      </c>
    </row>
    <row r="907">
      <c r="A907" s="5" t="n">
        <v>46005</v>
      </c>
      <c r="B907" t="inlineStr">
        <is>
          <t>google_brand_search</t>
        </is>
      </c>
      <c r="C907" t="inlineStr">
        <is>
          <t>google</t>
        </is>
      </c>
      <c r="D907" t="n">
        <v>6596</v>
      </c>
      <c r="E907" t="n">
        <v>1374</v>
      </c>
      <c r="F907" t="n">
        <v>70</v>
      </c>
      <c r="G907" t="n">
        <v>3</v>
      </c>
      <c r="H907" t="n">
        <v>0</v>
      </c>
      <c r="I907" t="n">
        <v>0</v>
      </c>
      <c r="J907" t="n">
        <v>1</v>
      </c>
    </row>
    <row r="908">
      <c r="A908" s="5" t="n">
        <v>46005</v>
      </c>
      <c r="B908" t="inlineStr">
        <is>
          <t>google_nonbrand_growth</t>
        </is>
      </c>
      <c r="C908" t="inlineStr">
        <is>
          <t>google</t>
        </is>
      </c>
      <c r="D908" t="n">
        <v>21727</v>
      </c>
      <c r="E908" t="n">
        <v>4526</v>
      </c>
      <c r="F908" t="n">
        <v>205</v>
      </c>
      <c r="G908" t="n">
        <v>2</v>
      </c>
      <c r="H908" t="n">
        <v>0</v>
      </c>
      <c r="I908" t="n">
        <v>0</v>
      </c>
      <c r="J908" t="n">
        <v>1</v>
      </c>
    </row>
    <row r="909">
      <c r="A909" s="5" t="n">
        <v>46005</v>
      </c>
      <c r="B909" t="inlineStr">
        <is>
          <t>linkedin_ceo_abm</t>
        </is>
      </c>
      <c r="C909" t="inlineStr">
        <is>
          <t>linkedin</t>
        </is>
      </c>
      <c r="D909" t="n">
        <v>27064</v>
      </c>
      <c r="E909" t="n">
        <v>5204</v>
      </c>
      <c r="F909" t="n">
        <v>38</v>
      </c>
      <c r="G909" t="n">
        <v>2</v>
      </c>
      <c r="H909" t="n">
        <v>0</v>
      </c>
      <c r="I909" t="n">
        <v>2</v>
      </c>
      <c r="J909" t="n">
        <v>0</v>
      </c>
    </row>
    <row r="910">
      <c r="A910" s="5" t="n">
        <v>46005</v>
      </c>
      <c r="B910" t="inlineStr">
        <is>
          <t>meta_prospecting_founder</t>
        </is>
      </c>
      <c r="C910" t="inlineStr">
        <is>
          <t>meta</t>
        </is>
      </c>
      <c r="D910" t="n">
        <v>29246</v>
      </c>
      <c r="E910" t="n">
        <v>20889</v>
      </c>
      <c r="F910" t="n">
        <v>202</v>
      </c>
      <c r="G910" t="n">
        <v>3</v>
      </c>
      <c r="H910" t="n">
        <v>1</v>
      </c>
      <c r="I910" t="n">
        <v>0</v>
      </c>
      <c r="J910" t="n">
        <v>0</v>
      </c>
    </row>
    <row r="911">
      <c r="A911" s="5" t="n">
        <v>46005</v>
      </c>
      <c r="B911" t="inlineStr">
        <is>
          <t>meta_retargeting_webinar</t>
        </is>
      </c>
      <c r="C911" t="inlineStr">
        <is>
          <t>meta</t>
        </is>
      </c>
      <c r="D911" t="n">
        <v>9446</v>
      </c>
      <c r="E911" t="n">
        <v>6747</v>
      </c>
      <c r="F911" t="n">
        <v>65</v>
      </c>
      <c r="G911" t="n">
        <v>0</v>
      </c>
      <c r="H911" t="n">
        <v>2</v>
      </c>
      <c r="I911" t="n">
        <v>1</v>
      </c>
      <c r="J911" t="n">
        <v>0</v>
      </c>
    </row>
    <row r="912">
      <c r="A912" s="5" t="n">
        <v>46006</v>
      </c>
      <c r="B912" t="inlineStr">
        <is>
          <t>FB-Broad</t>
        </is>
      </c>
      <c r="C912" t="inlineStr">
        <is>
          <t>meta</t>
        </is>
      </c>
      <c r="D912" t="n">
        <v>17347</v>
      </c>
      <c r="E912" t="n">
        <v>12390</v>
      </c>
      <c r="F912" t="n">
        <v>117</v>
      </c>
      <c r="G912" t="n">
        <v>3</v>
      </c>
      <c r="H912" t="n">
        <v>1</v>
      </c>
      <c r="I912" t="n">
        <v>0</v>
      </c>
      <c r="J912" t="n">
        <v>0</v>
      </c>
    </row>
    <row r="913">
      <c r="A913" s="5" t="n">
        <v>46006</v>
      </c>
      <c r="B913" t="inlineStr">
        <is>
          <t>google_brand_search</t>
        </is>
      </c>
      <c r="C913" t="inlineStr">
        <is>
          <t>google</t>
        </is>
      </c>
      <c r="D913" t="n">
        <v>6285</v>
      </c>
      <c r="E913" t="n">
        <v>1309</v>
      </c>
      <c r="F913" t="n">
        <v>60</v>
      </c>
      <c r="G913" t="n">
        <v>3</v>
      </c>
      <c r="H913" t="n">
        <v>1</v>
      </c>
      <c r="I913" t="n">
        <v>1</v>
      </c>
      <c r="J913" t="n">
        <v>0</v>
      </c>
    </row>
    <row r="914">
      <c r="A914" s="5" t="n">
        <v>46006</v>
      </c>
      <c r="B914" t="inlineStr">
        <is>
          <t>google_nonbrand_growth</t>
        </is>
      </c>
      <c r="C914" t="inlineStr">
        <is>
          <t>google</t>
        </is>
      </c>
      <c r="D914" t="n">
        <v>20284</v>
      </c>
      <c r="E914" t="n">
        <v>4225</v>
      </c>
      <c r="F914" t="n">
        <v>235</v>
      </c>
      <c r="G914" t="n">
        <v>1</v>
      </c>
      <c r="H914" t="n">
        <v>1</v>
      </c>
      <c r="I914" t="n">
        <v>0</v>
      </c>
      <c r="J914" t="n">
        <v>0</v>
      </c>
    </row>
    <row r="915">
      <c r="A915" s="5" t="n">
        <v>46006</v>
      </c>
      <c r="B915" t="inlineStr">
        <is>
          <t>linkedin_ceo_abm</t>
        </is>
      </c>
      <c r="C915" t="inlineStr">
        <is>
          <t>linkedin</t>
        </is>
      </c>
      <c r="D915" t="n">
        <v>25657</v>
      </c>
      <c r="E915" t="n">
        <v>4934</v>
      </c>
      <c r="F915" t="n">
        <v>35</v>
      </c>
      <c r="G915" t="n">
        <v>0</v>
      </c>
      <c r="H915" t="n">
        <v>1</v>
      </c>
      <c r="I915" t="n">
        <v>1</v>
      </c>
      <c r="J915" t="n">
        <v>0</v>
      </c>
    </row>
    <row r="916">
      <c r="A916" s="5" t="n">
        <v>46006</v>
      </c>
      <c r="B916" t="inlineStr">
        <is>
          <t>meta_prospecting_founder</t>
        </is>
      </c>
      <c r="C916" t="inlineStr">
        <is>
          <t>meta</t>
        </is>
      </c>
      <c r="D916" t="n">
        <v>34164</v>
      </c>
      <c r="E916" t="n">
        <v>24402</v>
      </c>
      <c r="F916" t="n">
        <v>254</v>
      </c>
      <c r="G916" t="n">
        <v>10</v>
      </c>
      <c r="H916" t="n">
        <v>2</v>
      </c>
      <c r="I916" t="n">
        <v>0</v>
      </c>
      <c r="J916" t="n">
        <v>0</v>
      </c>
    </row>
    <row r="917">
      <c r="A917" s="5" t="n">
        <v>46006</v>
      </c>
      <c r="B917" t="inlineStr">
        <is>
          <t>meta_retargeting_webinar</t>
        </is>
      </c>
      <c r="C917" t="inlineStr">
        <is>
          <t>meta</t>
        </is>
      </c>
      <c r="D917" t="n">
        <v>8788</v>
      </c>
      <c r="E917" t="n">
        <v>6277</v>
      </c>
      <c r="F917" t="n">
        <v>60</v>
      </c>
      <c r="G917" t="n">
        <v>2</v>
      </c>
      <c r="H917" t="n">
        <v>0</v>
      </c>
      <c r="I917" t="n">
        <v>1</v>
      </c>
      <c r="J917" t="n">
        <v>0</v>
      </c>
    </row>
    <row r="918">
      <c r="A918" s="5" t="n">
        <v>46007</v>
      </c>
      <c r="B918" t="inlineStr">
        <is>
          <t>FB-Broad</t>
        </is>
      </c>
      <c r="C918" t="inlineStr">
        <is>
          <t>meta</t>
        </is>
      </c>
      <c r="D918" t="n">
        <v>17983</v>
      </c>
      <c r="E918" t="n">
        <v>12845</v>
      </c>
      <c r="F918" t="n">
        <v>152</v>
      </c>
      <c r="G918" t="n">
        <v>5</v>
      </c>
      <c r="H918" t="n">
        <v>0</v>
      </c>
      <c r="I918" t="n">
        <v>0</v>
      </c>
      <c r="J918" t="n">
        <v>0</v>
      </c>
    </row>
    <row r="919">
      <c r="A919" s="5" t="n">
        <v>46007</v>
      </c>
      <c r="B919" t="inlineStr">
        <is>
          <t>google_brand_search</t>
        </is>
      </c>
      <c r="C919" t="inlineStr">
        <is>
          <t>google</t>
        </is>
      </c>
      <c r="D919" t="n">
        <v>7385</v>
      </c>
      <c r="E919" t="n">
        <v>1538</v>
      </c>
      <c r="F919" t="n">
        <v>73</v>
      </c>
      <c r="G919" t="n">
        <v>2</v>
      </c>
      <c r="H919" t="n">
        <v>1</v>
      </c>
      <c r="I919" t="n">
        <v>0</v>
      </c>
      <c r="J919" t="n">
        <v>0</v>
      </c>
    </row>
    <row r="920">
      <c r="A920" s="5" t="n">
        <v>46007</v>
      </c>
      <c r="B920" t="inlineStr">
        <is>
          <t>google_nonbrand_growth</t>
        </is>
      </c>
      <c r="C920" t="inlineStr">
        <is>
          <t>google</t>
        </is>
      </c>
      <c r="D920" t="n">
        <v>24562</v>
      </c>
      <c r="E920" t="n">
        <v>5117</v>
      </c>
      <c r="F920" t="n">
        <v>264</v>
      </c>
      <c r="G920" t="n">
        <v>3</v>
      </c>
      <c r="H920" t="n">
        <v>0</v>
      </c>
      <c r="I920" t="n">
        <v>0</v>
      </c>
      <c r="J920" t="n">
        <v>0</v>
      </c>
    </row>
    <row r="921">
      <c r="A921" s="5" t="n">
        <v>46007</v>
      </c>
      <c r="B921" t="inlineStr">
        <is>
          <t>linkedin_ceo_abm</t>
        </is>
      </c>
      <c r="C921" t="inlineStr">
        <is>
          <t>linkedin</t>
        </is>
      </c>
      <c r="D921" t="n">
        <v>23290</v>
      </c>
      <c r="E921" t="n">
        <v>4478</v>
      </c>
      <c r="F921" t="n">
        <v>30</v>
      </c>
      <c r="G921" t="n">
        <v>1</v>
      </c>
      <c r="H921" t="n">
        <v>0</v>
      </c>
      <c r="I921" t="n">
        <v>0</v>
      </c>
      <c r="J921" t="n">
        <v>0</v>
      </c>
    </row>
    <row r="922">
      <c r="A922" s="5" t="n">
        <v>46007</v>
      </c>
      <c r="B922" t="inlineStr">
        <is>
          <t>meta_prospecting_founder</t>
        </is>
      </c>
      <c r="C922" t="inlineStr">
        <is>
          <t>meta</t>
        </is>
      </c>
      <c r="D922" t="n">
        <v>33066</v>
      </c>
      <c r="E922" t="n">
        <v>23618</v>
      </c>
      <c r="F922" t="n">
        <v>288</v>
      </c>
      <c r="G922" t="n">
        <v>11</v>
      </c>
      <c r="H922" t="n">
        <v>2</v>
      </c>
      <c r="I922" t="n">
        <v>0</v>
      </c>
      <c r="J922" t="n">
        <v>0</v>
      </c>
    </row>
    <row r="923">
      <c r="A923" s="5" t="n">
        <v>46007</v>
      </c>
      <c r="B923" t="inlineStr">
        <is>
          <t>meta_retargeting_webinar</t>
        </is>
      </c>
      <c r="C923" t="inlineStr">
        <is>
          <t>meta</t>
        </is>
      </c>
      <c r="D923" t="n">
        <v>10015</v>
      </c>
      <c r="E923" t="n">
        <v>7153</v>
      </c>
      <c r="F923" t="n">
        <v>67</v>
      </c>
      <c r="G923" t="n">
        <v>3</v>
      </c>
      <c r="H923" t="n">
        <v>1</v>
      </c>
      <c r="I923" t="n">
        <v>2</v>
      </c>
      <c r="J923" t="n">
        <v>0</v>
      </c>
    </row>
    <row r="924">
      <c r="A924" s="5" t="n">
        <v>46008</v>
      </c>
      <c r="B924" t="inlineStr">
        <is>
          <t>FB-Broad</t>
        </is>
      </c>
      <c r="C924" t="inlineStr">
        <is>
          <t>meta</t>
        </is>
      </c>
      <c r="D924" t="n">
        <v>17762</v>
      </c>
      <c r="E924" t="n">
        <v>12687</v>
      </c>
      <c r="F924" t="n">
        <v>149</v>
      </c>
      <c r="G924" t="n">
        <v>10</v>
      </c>
      <c r="H924" t="n">
        <v>0</v>
      </c>
      <c r="I924" t="n">
        <v>0</v>
      </c>
      <c r="J924" t="n">
        <v>0</v>
      </c>
    </row>
    <row r="925">
      <c r="A925" s="5" t="n">
        <v>46008</v>
      </c>
      <c r="B925" t="inlineStr">
        <is>
          <t>google_brand_search</t>
        </is>
      </c>
      <c r="C925" t="inlineStr">
        <is>
          <t>google</t>
        </is>
      </c>
      <c r="D925" t="n">
        <v>6626</v>
      </c>
      <c r="E925" t="n">
        <v>1380</v>
      </c>
      <c r="F925" t="n">
        <v>82</v>
      </c>
      <c r="G925" t="n">
        <v>3</v>
      </c>
      <c r="H925" t="n">
        <v>2</v>
      </c>
      <c r="I925" t="n">
        <v>0</v>
      </c>
      <c r="J925" t="n">
        <v>0</v>
      </c>
    </row>
    <row r="926">
      <c r="A926" s="5" t="n">
        <v>46008</v>
      </c>
      <c r="B926" t="inlineStr">
        <is>
          <t>google_nonbrand_growth</t>
        </is>
      </c>
      <c r="C926" t="inlineStr">
        <is>
          <t>google</t>
        </is>
      </c>
      <c r="D926" t="n">
        <v>24830</v>
      </c>
      <c r="E926" t="n">
        <v>5172</v>
      </c>
      <c r="F926" t="n">
        <v>293</v>
      </c>
      <c r="G926" t="n">
        <v>5</v>
      </c>
      <c r="H926" t="n">
        <v>3</v>
      </c>
      <c r="I926" t="n">
        <v>0</v>
      </c>
      <c r="J926" t="n">
        <v>0</v>
      </c>
    </row>
    <row r="927">
      <c r="A927" s="5" t="n">
        <v>46008</v>
      </c>
      <c r="B927" t="inlineStr">
        <is>
          <t>linkedin_ceo_abm</t>
        </is>
      </c>
      <c r="C927" t="inlineStr">
        <is>
          <t>linkedin</t>
        </is>
      </c>
      <c r="D927" t="n">
        <v>24448</v>
      </c>
      <c r="E927" t="n">
        <v>4701</v>
      </c>
      <c r="F927" t="n">
        <v>30</v>
      </c>
      <c r="G927" t="n">
        <v>3</v>
      </c>
      <c r="H927" t="n">
        <v>0</v>
      </c>
      <c r="I927" t="n">
        <v>1</v>
      </c>
      <c r="J927" t="n">
        <v>0</v>
      </c>
    </row>
    <row r="928">
      <c r="A928" s="5" t="n">
        <v>46008</v>
      </c>
      <c r="B928" t="inlineStr">
        <is>
          <t>meta_prospecting_founder</t>
        </is>
      </c>
      <c r="C928" t="inlineStr">
        <is>
          <t>meta</t>
        </is>
      </c>
      <c r="D928" t="n">
        <v>32481</v>
      </c>
      <c r="E928" t="n">
        <v>23200</v>
      </c>
      <c r="F928" t="n">
        <v>279</v>
      </c>
      <c r="G928" t="n">
        <v>7</v>
      </c>
      <c r="H928" t="n">
        <v>1</v>
      </c>
      <c r="I928" t="n">
        <v>1</v>
      </c>
      <c r="J928" t="n">
        <v>0</v>
      </c>
    </row>
    <row r="929">
      <c r="A929" s="5" t="n">
        <v>46008</v>
      </c>
      <c r="B929" t="inlineStr">
        <is>
          <t>meta_retargeting_webinar</t>
        </is>
      </c>
      <c r="C929" t="inlineStr">
        <is>
          <t>meta</t>
        </is>
      </c>
      <c r="D929" t="n">
        <v>8903</v>
      </c>
      <c r="E929" t="n">
        <v>6359</v>
      </c>
      <c r="F929" t="n">
        <v>63</v>
      </c>
      <c r="G929" t="n">
        <v>6</v>
      </c>
      <c r="H929" t="n">
        <v>2</v>
      </c>
      <c r="I929" t="n">
        <v>0</v>
      </c>
      <c r="J929" t="n">
        <v>0</v>
      </c>
    </row>
    <row r="930">
      <c r="A930" s="5" t="n">
        <v>46009</v>
      </c>
      <c r="B930" t="inlineStr">
        <is>
          <t>FB-Broad</t>
        </is>
      </c>
      <c r="C930" t="inlineStr">
        <is>
          <t>meta</t>
        </is>
      </c>
      <c r="D930" t="n">
        <v>17819</v>
      </c>
      <c r="E930" t="n">
        <v>12727</v>
      </c>
      <c r="F930" t="n">
        <v>157</v>
      </c>
      <c r="G930" t="n">
        <v>6</v>
      </c>
      <c r="H930" t="n">
        <v>3</v>
      </c>
      <c r="I930" t="n">
        <v>0</v>
      </c>
      <c r="J930" t="n">
        <v>0</v>
      </c>
    </row>
    <row r="931">
      <c r="A931" s="5" t="n">
        <v>46009</v>
      </c>
      <c r="B931" t="inlineStr">
        <is>
          <t>google_brand_search</t>
        </is>
      </c>
      <c r="C931" t="inlineStr">
        <is>
          <t>google</t>
        </is>
      </c>
      <c r="D931" t="n">
        <v>6994</v>
      </c>
      <c r="E931" t="n">
        <v>1457</v>
      </c>
      <c r="F931" t="n">
        <v>65</v>
      </c>
      <c r="G931" t="n">
        <v>4</v>
      </c>
      <c r="H931" t="n">
        <v>0</v>
      </c>
      <c r="I931" t="n">
        <v>0</v>
      </c>
      <c r="J931" t="n">
        <v>0</v>
      </c>
    </row>
    <row r="932">
      <c r="A932" s="5" t="n">
        <v>46009</v>
      </c>
      <c r="B932" t="inlineStr">
        <is>
          <t>google_nonbrand_growth</t>
        </is>
      </c>
      <c r="C932" t="inlineStr">
        <is>
          <t>google</t>
        </is>
      </c>
      <c r="D932" t="n">
        <v>23678</v>
      </c>
      <c r="E932" t="n">
        <v>4932</v>
      </c>
      <c r="F932" t="n">
        <v>246</v>
      </c>
      <c r="G932" t="n">
        <v>4</v>
      </c>
      <c r="H932" t="n">
        <v>0</v>
      </c>
      <c r="I932" t="n">
        <v>0</v>
      </c>
      <c r="J932" t="n">
        <v>0</v>
      </c>
    </row>
    <row r="933">
      <c r="A933" s="5" t="n">
        <v>46009</v>
      </c>
      <c r="B933" t="inlineStr">
        <is>
          <t>linkedin_ceo_abm</t>
        </is>
      </c>
      <c r="C933" t="inlineStr">
        <is>
          <t>linkedin</t>
        </is>
      </c>
      <c r="D933" t="n">
        <v>24800</v>
      </c>
      <c r="E933" t="n">
        <v>4769</v>
      </c>
      <c r="F933" t="n">
        <v>26</v>
      </c>
      <c r="G933" t="n">
        <v>4</v>
      </c>
      <c r="H933" t="n">
        <v>1</v>
      </c>
      <c r="I933" t="n">
        <v>0</v>
      </c>
      <c r="J933" t="n">
        <v>0</v>
      </c>
    </row>
    <row r="934">
      <c r="A934" s="5" t="n">
        <v>46009</v>
      </c>
      <c r="B934" t="inlineStr">
        <is>
          <t>meta_prospecting_founder</t>
        </is>
      </c>
      <c r="C934" t="inlineStr">
        <is>
          <t>meta</t>
        </is>
      </c>
      <c r="D934" t="n">
        <v>31129</v>
      </c>
      <c r="E934" t="n">
        <v>22235</v>
      </c>
      <c r="F934" t="n">
        <v>260</v>
      </c>
      <c r="G934" t="n">
        <v>5</v>
      </c>
      <c r="H934" t="n">
        <v>1</v>
      </c>
      <c r="I934" t="n">
        <v>0</v>
      </c>
      <c r="J934" t="n">
        <v>0</v>
      </c>
    </row>
    <row r="935">
      <c r="A935" s="5" t="n">
        <v>46009</v>
      </c>
      <c r="B935" t="inlineStr">
        <is>
          <t>meta_retargeting_webinar</t>
        </is>
      </c>
      <c r="C935" t="inlineStr">
        <is>
          <t>meta</t>
        </is>
      </c>
      <c r="D935" t="n">
        <v>9598</v>
      </c>
      <c r="E935" t="n">
        <v>6855</v>
      </c>
      <c r="F935" t="n">
        <v>82</v>
      </c>
      <c r="G935" t="n">
        <v>1</v>
      </c>
      <c r="H935" t="n">
        <v>0</v>
      </c>
      <c r="I935" t="n">
        <v>1</v>
      </c>
      <c r="J935" t="n">
        <v>0</v>
      </c>
    </row>
    <row r="936">
      <c r="A936" s="5" t="n">
        <v>46010</v>
      </c>
      <c r="B936" t="inlineStr">
        <is>
          <t>FB-Broad</t>
        </is>
      </c>
      <c r="C936" t="inlineStr">
        <is>
          <t>meta</t>
        </is>
      </c>
      <c r="D936" t="n">
        <v>16747</v>
      </c>
      <c r="E936" t="n">
        <v>11962</v>
      </c>
      <c r="F936" t="n">
        <v>138</v>
      </c>
      <c r="G936" t="n">
        <v>5</v>
      </c>
      <c r="H936" t="n">
        <v>2</v>
      </c>
      <c r="I936" t="n">
        <v>1</v>
      </c>
      <c r="J936" t="n">
        <v>0</v>
      </c>
    </row>
    <row r="937">
      <c r="A937" s="5" t="n">
        <v>46010</v>
      </c>
      <c r="B937" t="inlineStr">
        <is>
          <t>google_brand_search</t>
        </is>
      </c>
      <c r="C937" t="inlineStr">
        <is>
          <t>google</t>
        </is>
      </c>
      <c r="D937" t="n">
        <v>7441</v>
      </c>
      <c r="E937" t="n">
        <v>1550</v>
      </c>
      <c r="F937" t="n">
        <v>84</v>
      </c>
      <c r="G937" t="n">
        <v>1</v>
      </c>
      <c r="H937" t="n">
        <v>4</v>
      </c>
      <c r="I937" t="n">
        <v>0</v>
      </c>
      <c r="J937" t="n">
        <v>0</v>
      </c>
    </row>
    <row r="938">
      <c r="A938" s="5" t="n">
        <v>46010</v>
      </c>
      <c r="B938" t="inlineStr">
        <is>
          <t>google_nonbrand_growth</t>
        </is>
      </c>
      <c r="C938" t="inlineStr">
        <is>
          <t>google</t>
        </is>
      </c>
      <c r="D938" t="n">
        <v>22143</v>
      </c>
      <c r="E938" t="n">
        <v>4613</v>
      </c>
      <c r="F938" t="n">
        <v>237</v>
      </c>
      <c r="G938" t="n">
        <v>2</v>
      </c>
      <c r="H938" t="n">
        <v>2</v>
      </c>
      <c r="I938" t="n">
        <v>2</v>
      </c>
      <c r="J938" t="n">
        <v>1</v>
      </c>
    </row>
    <row r="939">
      <c r="A939" s="5" t="n">
        <v>46010</v>
      </c>
      <c r="B939" t="inlineStr">
        <is>
          <t>linkedin_ceo_abm</t>
        </is>
      </c>
      <c r="C939" t="inlineStr">
        <is>
          <t>linkedin</t>
        </is>
      </c>
      <c r="D939" t="n">
        <v>25205</v>
      </c>
      <c r="E939" t="n">
        <v>4847</v>
      </c>
      <c r="F939" t="n">
        <v>31</v>
      </c>
      <c r="G939" t="n">
        <v>3</v>
      </c>
      <c r="H939" t="n">
        <v>2</v>
      </c>
      <c r="I939" t="n">
        <v>1</v>
      </c>
      <c r="J939" t="n">
        <v>1</v>
      </c>
    </row>
    <row r="940">
      <c r="A940" s="5" t="n">
        <v>46010</v>
      </c>
      <c r="B940" t="inlineStr">
        <is>
          <t>meta_prospecting_founder</t>
        </is>
      </c>
      <c r="C940" t="inlineStr">
        <is>
          <t>meta</t>
        </is>
      </c>
      <c r="D940" t="n">
        <v>32289</v>
      </c>
      <c r="E940" t="n">
        <v>23063</v>
      </c>
      <c r="F940" t="n">
        <v>284</v>
      </c>
      <c r="G940" t="n">
        <v>6</v>
      </c>
      <c r="H940" t="n">
        <v>2</v>
      </c>
      <c r="I940" t="n">
        <v>1</v>
      </c>
      <c r="J940" t="n">
        <v>0</v>
      </c>
    </row>
    <row r="941">
      <c r="A941" s="5" t="n">
        <v>46010</v>
      </c>
      <c r="B941" t="inlineStr">
        <is>
          <t>meta_retargeting_webinar</t>
        </is>
      </c>
      <c r="C941" t="inlineStr">
        <is>
          <t>meta</t>
        </is>
      </c>
      <c r="D941" t="n">
        <v>9561</v>
      </c>
      <c r="E941" t="n">
        <v>6829</v>
      </c>
      <c r="F941" t="n">
        <v>81</v>
      </c>
      <c r="G941" t="n">
        <v>1</v>
      </c>
      <c r="H941" t="n">
        <v>0</v>
      </c>
      <c r="I941" t="n">
        <v>1</v>
      </c>
      <c r="J941" t="n">
        <v>0</v>
      </c>
    </row>
    <row r="942">
      <c r="A942" s="5" t="n">
        <v>46011</v>
      </c>
      <c r="B942" t="inlineStr">
        <is>
          <t>FB-Broad</t>
        </is>
      </c>
      <c r="C942" t="inlineStr">
        <is>
          <t>meta</t>
        </is>
      </c>
      <c r="D942" t="n">
        <v>16292</v>
      </c>
      <c r="E942" t="n">
        <v>11637</v>
      </c>
      <c r="F942" t="n">
        <v>137</v>
      </c>
      <c r="G942" t="n">
        <v>3</v>
      </c>
      <c r="H942" t="n">
        <v>1</v>
      </c>
      <c r="I942" t="n">
        <v>0</v>
      </c>
      <c r="J942" t="n">
        <v>0</v>
      </c>
    </row>
    <row r="943">
      <c r="A943" s="5" t="n">
        <v>46011</v>
      </c>
      <c r="B943" t="inlineStr">
        <is>
          <t>google_brand_search</t>
        </is>
      </c>
      <c r="C943" t="inlineStr">
        <is>
          <t>google</t>
        </is>
      </c>
      <c r="D943" t="n">
        <v>7250</v>
      </c>
      <c r="E943" t="n">
        <v>1510</v>
      </c>
      <c r="F943" t="n">
        <v>84</v>
      </c>
      <c r="G943" t="n">
        <v>0</v>
      </c>
      <c r="H943" t="n">
        <v>1</v>
      </c>
      <c r="I943" t="n">
        <v>2</v>
      </c>
      <c r="J943" t="n">
        <v>0</v>
      </c>
    </row>
    <row r="944">
      <c r="A944" s="5" t="n">
        <v>46011</v>
      </c>
      <c r="B944" t="inlineStr">
        <is>
          <t>google_nonbrand_growth</t>
        </is>
      </c>
      <c r="C944" t="inlineStr">
        <is>
          <t>google</t>
        </is>
      </c>
      <c r="D944" t="n">
        <v>23861</v>
      </c>
      <c r="E944" t="n">
        <v>4971</v>
      </c>
      <c r="F944" t="n">
        <v>253</v>
      </c>
      <c r="G944" t="n">
        <v>1</v>
      </c>
      <c r="H944" t="n">
        <v>1</v>
      </c>
      <c r="I944" t="n">
        <v>0</v>
      </c>
      <c r="J944" t="n">
        <v>0</v>
      </c>
    </row>
    <row r="945">
      <c r="A945" s="5" t="n">
        <v>46011</v>
      </c>
      <c r="B945" t="inlineStr">
        <is>
          <t>linkedin_ceo_abm</t>
        </is>
      </c>
      <c r="C945" t="inlineStr">
        <is>
          <t>linkedin</t>
        </is>
      </c>
      <c r="D945" t="n">
        <v>26283</v>
      </c>
      <c r="E945" t="n">
        <v>5054</v>
      </c>
      <c r="F945" t="n">
        <v>28</v>
      </c>
      <c r="G945" t="n">
        <v>0</v>
      </c>
      <c r="H945" t="n">
        <v>0</v>
      </c>
      <c r="I945" t="n">
        <v>0</v>
      </c>
      <c r="J945" t="n">
        <v>0</v>
      </c>
    </row>
    <row r="946">
      <c r="A946" s="5" t="n">
        <v>46011</v>
      </c>
      <c r="B946" t="inlineStr">
        <is>
          <t>meta_prospecting_founder</t>
        </is>
      </c>
      <c r="C946" t="inlineStr">
        <is>
          <t>meta</t>
        </is>
      </c>
      <c r="D946" t="n">
        <v>34075</v>
      </c>
      <c r="E946" t="n">
        <v>24339</v>
      </c>
      <c r="F946" t="n">
        <v>300</v>
      </c>
      <c r="G946" t="n">
        <v>0</v>
      </c>
      <c r="H946" t="n">
        <v>3</v>
      </c>
      <c r="I946" t="n">
        <v>0</v>
      </c>
      <c r="J946" t="n">
        <v>1</v>
      </c>
    </row>
    <row r="947">
      <c r="A947" s="5" t="n">
        <v>46011</v>
      </c>
      <c r="B947" t="inlineStr">
        <is>
          <t>meta_retargeting_webinar</t>
        </is>
      </c>
      <c r="C947" t="inlineStr">
        <is>
          <t>meta</t>
        </is>
      </c>
      <c r="D947" t="n">
        <v>9420</v>
      </c>
      <c r="E947" t="n">
        <v>6728</v>
      </c>
      <c r="F947" t="n">
        <v>74</v>
      </c>
      <c r="G947" t="n">
        <v>0</v>
      </c>
      <c r="H947" t="n">
        <v>0</v>
      </c>
      <c r="I947" t="n">
        <v>0</v>
      </c>
      <c r="J947" t="n">
        <v>0</v>
      </c>
    </row>
    <row r="948">
      <c r="A948" s="5" t="n">
        <v>46012</v>
      </c>
      <c r="B948" t="inlineStr">
        <is>
          <t>FB-Broad</t>
        </is>
      </c>
      <c r="C948" t="inlineStr">
        <is>
          <t>meta</t>
        </is>
      </c>
      <c r="D948" t="n">
        <v>17062</v>
      </c>
      <c r="E948" t="n">
        <v>12187</v>
      </c>
      <c r="F948" t="n">
        <v>117</v>
      </c>
      <c r="G948" t="n">
        <v>0</v>
      </c>
      <c r="H948" t="n">
        <v>1</v>
      </c>
      <c r="I948" t="n">
        <v>0</v>
      </c>
      <c r="J948" t="n">
        <v>0</v>
      </c>
    </row>
    <row r="949">
      <c r="A949" s="5" t="n">
        <v>46012</v>
      </c>
      <c r="B949" t="inlineStr">
        <is>
          <t>google_brand_search</t>
        </is>
      </c>
      <c r="C949" t="inlineStr">
        <is>
          <t>google</t>
        </is>
      </c>
      <c r="D949" t="n">
        <v>7309</v>
      </c>
      <c r="E949" t="n">
        <v>1522</v>
      </c>
      <c r="F949" t="n">
        <v>84</v>
      </c>
      <c r="G949" t="n">
        <v>2</v>
      </c>
      <c r="H949" t="n">
        <v>0</v>
      </c>
      <c r="I949" t="n">
        <v>0</v>
      </c>
      <c r="J949" t="n">
        <v>0</v>
      </c>
    </row>
    <row r="950">
      <c r="A950" s="5" t="n">
        <v>46012</v>
      </c>
      <c r="B950" t="inlineStr">
        <is>
          <t>google_nonbrand_growth</t>
        </is>
      </c>
      <c r="C950" t="inlineStr">
        <is>
          <t>google</t>
        </is>
      </c>
      <c r="D950" t="n">
        <v>23151</v>
      </c>
      <c r="E950" t="n">
        <v>4823</v>
      </c>
      <c r="F950" t="n">
        <v>287</v>
      </c>
      <c r="G950" t="n">
        <v>1</v>
      </c>
      <c r="H950" t="n">
        <v>0</v>
      </c>
      <c r="I950" t="n">
        <v>1</v>
      </c>
      <c r="J950" t="n">
        <v>0</v>
      </c>
    </row>
    <row r="951">
      <c r="A951" s="5" t="n">
        <v>46012</v>
      </c>
      <c r="B951" t="inlineStr">
        <is>
          <t>linkedin_ceo_abm</t>
        </is>
      </c>
      <c r="C951" t="inlineStr">
        <is>
          <t>linkedin</t>
        </is>
      </c>
      <c r="D951" t="n">
        <v>26478</v>
      </c>
      <c r="E951" t="n">
        <v>5091</v>
      </c>
      <c r="F951" t="n">
        <v>37</v>
      </c>
      <c r="G951" t="n">
        <v>1</v>
      </c>
      <c r="H951" t="n">
        <v>0</v>
      </c>
      <c r="I951" t="n">
        <v>1</v>
      </c>
      <c r="J951" t="n">
        <v>0</v>
      </c>
    </row>
    <row r="952">
      <c r="A952" s="5" t="n">
        <v>46012</v>
      </c>
      <c r="B952" t="inlineStr">
        <is>
          <t>meta_prospecting_founder</t>
        </is>
      </c>
      <c r="C952" t="inlineStr">
        <is>
          <t>meta</t>
        </is>
      </c>
      <c r="D952" t="n">
        <v>29066</v>
      </c>
      <c r="E952" t="n">
        <v>20761</v>
      </c>
      <c r="F952" t="n">
        <v>235</v>
      </c>
      <c r="G952" t="n">
        <v>5</v>
      </c>
      <c r="H952" t="n">
        <v>1</v>
      </c>
      <c r="I952" t="n">
        <v>1</v>
      </c>
      <c r="J952" t="n">
        <v>0</v>
      </c>
    </row>
    <row r="953">
      <c r="A953" s="5" t="n">
        <v>46012</v>
      </c>
      <c r="B953" t="inlineStr">
        <is>
          <t>meta_retargeting_webinar</t>
        </is>
      </c>
      <c r="C953" t="inlineStr">
        <is>
          <t>meta</t>
        </is>
      </c>
      <c r="D953" t="n">
        <v>9346</v>
      </c>
      <c r="E953" t="n">
        <v>6675</v>
      </c>
      <c r="F953" t="n">
        <v>62</v>
      </c>
      <c r="G953" t="n">
        <v>3</v>
      </c>
      <c r="H953" t="n">
        <v>0</v>
      </c>
      <c r="I953" t="n">
        <v>0</v>
      </c>
      <c r="J953" t="n">
        <v>0</v>
      </c>
    </row>
    <row r="954">
      <c r="A954" s="5" t="n">
        <v>46013</v>
      </c>
      <c r="B954" t="inlineStr">
        <is>
          <t>FB-Broad</t>
        </is>
      </c>
      <c r="C954" t="inlineStr">
        <is>
          <t>meta</t>
        </is>
      </c>
      <c r="D954" t="n">
        <v>15149</v>
      </c>
      <c r="E954" t="n">
        <v>10820</v>
      </c>
      <c r="F954" t="n">
        <v>120</v>
      </c>
      <c r="G954" t="n">
        <v>5</v>
      </c>
      <c r="H954" t="n">
        <v>0</v>
      </c>
      <c r="I954" t="n">
        <v>4</v>
      </c>
      <c r="J954" t="n">
        <v>0</v>
      </c>
    </row>
    <row r="955">
      <c r="A955" s="5" t="n">
        <v>46013</v>
      </c>
      <c r="B955" t="inlineStr">
        <is>
          <t>google_brand_search</t>
        </is>
      </c>
      <c r="C955" t="inlineStr">
        <is>
          <t>google</t>
        </is>
      </c>
      <c r="D955" t="n">
        <v>6599</v>
      </c>
      <c r="E955" t="n">
        <v>1374</v>
      </c>
      <c r="F955" t="n">
        <v>80</v>
      </c>
      <c r="G955" t="n">
        <v>2</v>
      </c>
      <c r="H955" t="n">
        <v>0</v>
      </c>
      <c r="I955" t="n">
        <v>1</v>
      </c>
      <c r="J955" t="n">
        <v>0</v>
      </c>
    </row>
    <row r="956">
      <c r="A956" s="5" t="n">
        <v>46013</v>
      </c>
      <c r="B956" t="inlineStr">
        <is>
          <t>google_nonbrand_growth</t>
        </is>
      </c>
      <c r="C956" t="inlineStr">
        <is>
          <t>google</t>
        </is>
      </c>
      <c r="D956" t="n">
        <v>24262</v>
      </c>
      <c r="E956" t="n">
        <v>5054</v>
      </c>
      <c r="F956" t="n">
        <v>231</v>
      </c>
      <c r="G956" t="n">
        <v>5</v>
      </c>
      <c r="H956" t="n">
        <v>0</v>
      </c>
      <c r="I956" t="n">
        <v>0</v>
      </c>
      <c r="J956" t="n">
        <v>0</v>
      </c>
    </row>
    <row r="957">
      <c r="A957" s="5" t="n">
        <v>46013</v>
      </c>
      <c r="B957" t="inlineStr">
        <is>
          <t>linkedin_ceo_abm</t>
        </is>
      </c>
      <c r="C957" t="inlineStr">
        <is>
          <t>linkedin</t>
        </is>
      </c>
      <c r="D957" t="n">
        <v>23414</v>
      </c>
      <c r="E957" t="n">
        <v>4502</v>
      </c>
      <c r="F957" t="n">
        <v>32</v>
      </c>
      <c r="G957" t="n">
        <v>1</v>
      </c>
      <c r="H957" t="n">
        <v>0</v>
      </c>
      <c r="I957" t="n">
        <v>1</v>
      </c>
      <c r="J957" t="n">
        <v>0</v>
      </c>
    </row>
    <row r="958">
      <c r="A958" s="5" t="n">
        <v>46013</v>
      </c>
      <c r="B958" t="inlineStr">
        <is>
          <t>meta_prospecting_founder</t>
        </is>
      </c>
      <c r="C958" t="inlineStr">
        <is>
          <t>meta</t>
        </is>
      </c>
      <c r="D958" t="n">
        <v>30537</v>
      </c>
      <c r="E958" t="n">
        <v>21812</v>
      </c>
      <c r="F958" t="n">
        <v>219</v>
      </c>
      <c r="G958" t="n">
        <v>9</v>
      </c>
      <c r="H958" t="n">
        <v>0</v>
      </c>
      <c r="I958" t="n">
        <v>1</v>
      </c>
      <c r="J958" t="n">
        <v>0</v>
      </c>
    </row>
    <row r="959">
      <c r="A959" s="5" t="n">
        <v>46013</v>
      </c>
      <c r="B959" t="inlineStr">
        <is>
          <t>meta_retargeting_webinar</t>
        </is>
      </c>
      <c r="C959" t="inlineStr">
        <is>
          <t>meta</t>
        </is>
      </c>
      <c r="D959" t="n">
        <v>9257</v>
      </c>
      <c r="E959" t="n">
        <v>6612</v>
      </c>
      <c r="F959" t="n">
        <v>79</v>
      </c>
      <c r="G959" t="n">
        <v>0</v>
      </c>
      <c r="H959" t="n">
        <v>2</v>
      </c>
      <c r="I959" t="n">
        <v>0</v>
      </c>
      <c r="J959" t="n">
        <v>0</v>
      </c>
    </row>
    <row r="960">
      <c r="A960" s="5" t="n">
        <v>46014</v>
      </c>
      <c r="B960" t="inlineStr">
        <is>
          <t>FB-Broad</t>
        </is>
      </c>
      <c r="C960" t="inlineStr">
        <is>
          <t>meta</t>
        </is>
      </c>
      <c r="D960" t="n">
        <v>16663</v>
      </c>
      <c r="E960" t="n">
        <v>11902</v>
      </c>
      <c r="F960" t="n">
        <v>147</v>
      </c>
      <c r="G960" t="n">
        <v>3</v>
      </c>
      <c r="H960" t="n">
        <v>0</v>
      </c>
      <c r="I960" t="n">
        <v>0</v>
      </c>
      <c r="J960" t="n">
        <v>0</v>
      </c>
    </row>
    <row r="961">
      <c r="A961" s="5" t="n">
        <v>46014</v>
      </c>
      <c r="B961" t="inlineStr">
        <is>
          <t>google_brand_search</t>
        </is>
      </c>
      <c r="C961" t="inlineStr">
        <is>
          <t>google</t>
        </is>
      </c>
      <c r="D961" t="n">
        <v>6220</v>
      </c>
      <c r="E961" t="n">
        <v>1295</v>
      </c>
      <c r="F961" t="n">
        <v>63</v>
      </c>
      <c r="G961" t="n">
        <v>2</v>
      </c>
      <c r="H961" t="n">
        <v>0</v>
      </c>
      <c r="I961" t="n">
        <v>0</v>
      </c>
      <c r="J961" t="n">
        <v>0</v>
      </c>
    </row>
    <row r="962">
      <c r="A962" s="5" t="n">
        <v>46014</v>
      </c>
      <c r="B962" t="inlineStr">
        <is>
          <t>google_nonbrand_growth</t>
        </is>
      </c>
      <c r="C962" t="inlineStr">
        <is>
          <t>google</t>
        </is>
      </c>
      <c r="D962" t="n">
        <v>20560</v>
      </c>
      <c r="E962" t="n">
        <v>4283</v>
      </c>
      <c r="F962" t="n">
        <v>213</v>
      </c>
      <c r="G962" t="n">
        <v>1</v>
      </c>
      <c r="H962" t="n">
        <v>2</v>
      </c>
      <c r="I962" t="n">
        <v>0</v>
      </c>
      <c r="J962" t="n">
        <v>0</v>
      </c>
    </row>
    <row r="963">
      <c r="A963" s="5" t="n">
        <v>46014</v>
      </c>
      <c r="B963" t="inlineStr">
        <is>
          <t>linkedin_ceo_abm</t>
        </is>
      </c>
      <c r="C963" t="inlineStr">
        <is>
          <t>linkedin</t>
        </is>
      </c>
      <c r="D963" t="n">
        <v>24232</v>
      </c>
      <c r="E963" t="n">
        <v>4660</v>
      </c>
      <c r="F963" t="n">
        <v>27</v>
      </c>
      <c r="G963" t="n">
        <v>1</v>
      </c>
      <c r="H963" t="n">
        <v>0</v>
      </c>
      <c r="I963" t="n">
        <v>0</v>
      </c>
      <c r="J963" t="n">
        <v>0</v>
      </c>
    </row>
    <row r="964">
      <c r="A964" s="5" t="n">
        <v>46014</v>
      </c>
      <c r="B964" t="inlineStr">
        <is>
          <t>meta_prospecting_founder</t>
        </is>
      </c>
      <c r="C964" t="inlineStr">
        <is>
          <t>meta</t>
        </is>
      </c>
      <c r="D964" t="n">
        <v>29487</v>
      </c>
      <c r="E964" t="n">
        <v>21062</v>
      </c>
      <c r="F964" t="n">
        <v>205</v>
      </c>
      <c r="G964" t="n">
        <v>5</v>
      </c>
      <c r="H964" t="n">
        <v>0</v>
      </c>
      <c r="I964" t="n">
        <v>1</v>
      </c>
      <c r="J964" t="n">
        <v>1</v>
      </c>
    </row>
    <row r="965">
      <c r="A965" s="5" t="n">
        <v>46014</v>
      </c>
      <c r="B965" t="inlineStr">
        <is>
          <t>meta_retargeting_webinar</t>
        </is>
      </c>
      <c r="C965" t="inlineStr">
        <is>
          <t>meta</t>
        </is>
      </c>
      <c r="D965" t="n">
        <v>9824</v>
      </c>
      <c r="E965" t="n">
        <v>7017</v>
      </c>
      <c r="F965" t="n">
        <v>86</v>
      </c>
      <c r="G965" t="n">
        <v>2</v>
      </c>
      <c r="H965" t="n">
        <v>2</v>
      </c>
      <c r="I965" t="n">
        <v>0</v>
      </c>
      <c r="J965" t="n">
        <v>0</v>
      </c>
    </row>
    <row r="966">
      <c r="A966" s="5" t="n">
        <v>46015</v>
      </c>
      <c r="B966" t="inlineStr">
        <is>
          <t>FB-Broad</t>
        </is>
      </c>
      <c r="C966" t="inlineStr">
        <is>
          <t>meta</t>
        </is>
      </c>
      <c r="D966" t="n">
        <v>18034</v>
      </c>
      <c r="E966" t="n">
        <v>12881</v>
      </c>
      <c r="F966" t="n">
        <v>152</v>
      </c>
      <c r="G966" t="n">
        <v>3</v>
      </c>
      <c r="H966" t="n">
        <v>1</v>
      </c>
      <c r="I966" t="n">
        <v>0</v>
      </c>
      <c r="J966" t="n">
        <v>0</v>
      </c>
    </row>
    <row r="967">
      <c r="A967" s="5" t="n">
        <v>46015</v>
      </c>
      <c r="B967" t="inlineStr">
        <is>
          <t>google_brand_search</t>
        </is>
      </c>
      <c r="C967" t="inlineStr">
        <is>
          <t>google</t>
        </is>
      </c>
      <c r="D967" t="n">
        <v>6191</v>
      </c>
      <c r="E967" t="n">
        <v>1289</v>
      </c>
      <c r="F967" t="n">
        <v>59</v>
      </c>
      <c r="G967" t="n">
        <v>1</v>
      </c>
      <c r="H967" t="n">
        <v>1</v>
      </c>
      <c r="I967" t="n">
        <v>0</v>
      </c>
      <c r="J967" t="n">
        <v>0</v>
      </c>
    </row>
    <row r="968">
      <c r="A968" s="5" t="n">
        <v>46015</v>
      </c>
      <c r="B968" t="inlineStr">
        <is>
          <t>google_nonbrand_growth</t>
        </is>
      </c>
      <c r="C968" t="inlineStr">
        <is>
          <t>google</t>
        </is>
      </c>
      <c r="D968" t="n">
        <v>20775</v>
      </c>
      <c r="E968" t="n">
        <v>4328</v>
      </c>
      <c r="F968" t="n">
        <v>233</v>
      </c>
      <c r="G968" t="n">
        <v>4</v>
      </c>
      <c r="H968" t="n">
        <v>1</v>
      </c>
      <c r="I968" t="n">
        <v>0</v>
      </c>
      <c r="J968" t="n">
        <v>0</v>
      </c>
    </row>
    <row r="969">
      <c r="A969" s="5" t="n">
        <v>46015</v>
      </c>
      <c r="B969" t="inlineStr">
        <is>
          <t>linkedin_ceo_abm</t>
        </is>
      </c>
      <c r="C969" t="inlineStr">
        <is>
          <t>linkedin</t>
        </is>
      </c>
      <c r="D969" t="n">
        <v>27971</v>
      </c>
      <c r="E969" t="n">
        <v>5379</v>
      </c>
      <c r="F969" t="n">
        <v>30</v>
      </c>
      <c r="G969" t="n">
        <v>0</v>
      </c>
      <c r="H969" t="n">
        <v>0</v>
      </c>
      <c r="I969" t="n">
        <v>1</v>
      </c>
      <c r="J969" t="n">
        <v>0</v>
      </c>
    </row>
    <row r="970">
      <c r="A970" s="5" t="n">
        <v>46015</v>
      </c>
      <c r="B970" t="inlineStr">
        <is>
          <t>meta_prospecting_founder</t>
        </is>
      </c>
      <c r="C970" t="inlineStr">
        <is>
          <t>meta</t>
        </is>
      </c>
      <c r="D970" t="n">
        <v>35359</v>
      </c>
      <c r="E970" t="n">
        <v>25256</v>
      </c>
      <c r="F970" t="n">
        <v>313</v>
      </c>
      <c r="G970" t="n">
        <v>8</v>
      </c>
      <c r="H970" t="n">
        <v>2</v>
      </c>
      <c r="I970" t="n">
        <v>0</v>
      </c>
      <c r="J970" t="n">
        <v>1</v>
      </c>
    </row>
    <row r="971">
      <c r="A971" s="5" t="n">
        <v>46015</v>
      </c>
      <c r="B971" t="inlineStr">
        <is>
          <t>meta_retargeting_webinar</t>
        </is>
      </c>
      <c r="C971" t="inlineStr">
        <is>
          <t>meta</t>
        </is>
      </c>
      <c r="D971" t="n">
        <v>9319</v>
      </c>
      <c r="E971" t="n">
        <v>6656</v>
      </c>
      <c r="F971" t="n">
        <v>68</v>
      </c>
      <c r="G971" t="n">
        <v>1</v>
      </c>
      <c r="H971" t="n">
        <v>1</v>
      </c>
      <c r="I971" t="n">
        <v>0</v>
      </c>
      <c r="J971" t="n">
        <v>0</v>
      </c>
    </row>
    <row r="972">
      <c r="A972" s="5" t="n">
        <v>46016</v>
      </c>
      <c r="B972" t="inlineStr">
        <is>
          <t>FB-Broad</t>
        </is>
      </c>
      <c r="C972" t="inlineStr">
        <is>
          <t>meta</t>
        </is>
      </c>
      <c r="D972" t="n">
        <v>15360</v>
      </c>
      <c r="E972" t="n">
        <v>10971</v>
      </c>
      <c r="F972" t="n">
        <v>136</v>
      </c>
      <c r="G972" t="n">
        <v>1</v>
      </c>
      <c r="H972" t="n">
        <v>0</v>
      </c>
      <c r="I972" t="n">
        <v>0</v>
      </c>
      <c r="J972" t="n">
        <v>0</v>
      </c>
    </row>
    <row r="973">
      <c r="A973" s="5" t="n">
        <v>46016</v>
      </c>
      <c r="B973" t="inlineStr">
        <is>
          <t>google_brand_search</t>
        </is>
      </c>
      <c r="C973" t="inlineStr">
        <is>
          <t>google</t>
        </is>
      </c>
      <c r="D973" t="n">
        <v>7466</v>
      </c>
      <c r="E973" t="n">
        <v>1555</v>
      </c>
      <c r="F973" t="n">
        <v>70</v>
      </c>
      <c r="G973" t="n">
        <v>0</v>
      </c>
      <c r="H973" t="n">
        <v>2</v>
      </c>
      <c r="I973" t="n">
        <v>1</v>
      </c>
      <c r="J973" t="n">
        <v>0</v>
      </c>
    </row>
    <row r="974">
      <c r="A974" s="5" t="n">
        <v>46016</v>
      </c>
      <c r="B974" t="inlineStr">
        <is>
          <t>google_nonbrand_growth</t>
        </is>
      </c>
      <c r="C974" t="inlineStr">
        <is>
          <t>google</t>
        </is>
      </c>
      <c r="D974" t="n">
        <v>22809</v>
      </c>
      <c r="E974" t="n">
        <v>4751</v>
      </c>
      <c r="F974" t="n">
        <v>231</v>
      </c>
      <c r="G974" t="n">
        <v>3</v>
      </c>
      <c r="H974" t="n">
        <v>0</v>
      </c>
      <c r="I974" t="n">
        <v>1</v>
      </c>
      <c r="J974" t="n">
        <v>0</v>
      </c>
    </row>
    <row r="975">
      <c r="A975" s="5" t="n">
        <v>46016</v>
      </c>
      <c r="B975" t="inlineStr">
        <is>
          <t>linkedin_ceo_abm</t>
        </is>
      </c>
      <c r="C975" t="inlineStr">
        <is>
          <t>linkedin</t>
        </is>
      </c>
      <c r="D975" t="n">
        <v>25383</v>
      </c>
      <c r="E975" t="n">
        <v>4881</v>
      </c>
      <c r="F975" t="n">
        <v>33</v>
      </c>
      <c r="G975" t="n">
        <v>0</v>
      </c>
      <c r="H975" t="n">
        <v>0</v>
      </c>
      <c r="I975" t="n">
        <v>0</v>
      </c>
      <c r="J975" t="n">
        <v>0</v>
      </c>
    </row>
    <row r="976">
      <c r="A976" s="5" t="n">
        <v>46016</v>
      </c>
      <c r="B976" t="inlineStr">
        <is>
          <t>meta_prospecting_founder</t>
        </is>
      </c>
      <c r="C976" t="inlineStr">
        <is>
          <t>meta</t>
        </is>
      </c>
      <c r="D976" t="n">
        <v>34343</v>
      </c>
      <c r="E976" t="n">
        <v>24530</v>
      </c>
      <c r="F976" t="n">
        <v>279</v>
      </c>
      <c r="G976" t="n">
        <v>7</v>
      </c>
      <c r="H976" t="n">
        <v>4</v>
      </c>
      <c r="I976" t="n">
        <v>0</v>
      </c>
      <c r="J976" t="n">
        <v>1</v>
      </c>
    </row>
    <row r="977">
      <c r="A977" s="5" t="n">
        <v>46016</v>
      </c>
      <c r="B977" t="inlineStr">
        <is>
          <t>meta_retargeting_webinar</t>
        </is>
      </c>
      <c r="C977" t="inlineStr">
        <is>
          <t>meta</t>
        </is>
      </c>
      <c r="D977" t="n">
        <v>8776</v>
      </c>
      <c r="E977" t="n">
        <v>6268</v>
      </c>
      <c r="F977" t="n">
        <v>67</v>
      </c>
      <c r="G977" t="n">
        <v>0</v>
      </c>
      <c r="H977" t="n">
        <v>0</v>
      </c>
      <c r="I977" t="n">
        <v>1</v>
      </c>
      <c r="J977" t="n">
        <v>0</v>
      </c>
    </row>
    <row r="978">
      <c r="A978" s="5" t="n">
        <v>46017</v>
      </c>
      <c r="B978" t="inlineStr">
        <is>
          <t>FB-Broad</t>
        </is>
      </c>
      <c r="C978" t="inlineStr">
        <is>
          <t>meta</t>
        </is>
      </c>
      <c r="D978" t="n">
        <v>15206</v>
      </c>
      <c r="E978" t="n">
        <v>10861</v>
      </c>
      <c r="F978" t="n">
        <v>117</v>
      </c>
      <c r="G978" t="n">
        <v>1</v>
      </c>
      <c r="H978" t="n">
        <v>0</v>
      </c>
      <c r="I978" t="n">
        <v>0</v>
      </c>
      <c r="J978" t="n">
        <v>0</v>
      </c>
    </row>
    <row r="979">
      <c r="A979" s="5" t="n">
        <v>46017</v>
      </c>
      <c r="B979" t="inlineStr">
        <is>
          <t>google_brand_search</t>
        </is>
      </c>
      <c r="C979" t="inlineStr">
        <is>
          <t>google</t>
        </is>
      </c>
      <c r="D979" t="n">
        <v>6622</v>
      </c>
      <c r="E979" t="n">
        <v>1379</v>
      </c>
      <c r="F979" t="n">
        <v>80</v>
      </c>
      <c r="G979" t="n">
        <v>4</v>
      </c>
      <c r="H979" t="n">
        <v>0</v>
      </c>
      <c r="I979" t="n">
        <v>0</v>
      </c>
      <c r="J979" t="n">
        <v>0</v>
      </c>
    </row>
    <row r="980">
      <c r="A980" s="5" t="n">
        <v>46017</v>
      </c>
      <c r="B980" t="inlineStr">
        <is>
          <t>google_nonbrand_growth</t>
        </is>
      </c>
      <c r="C980" t="inlineStr">
        <is>
          <t>google</t>
        </is>
      </c>
      <c r="D980" t="n">
        <v>21926</v>
      </c>
      <c r="E980" t="n">
        <v>4567</v>
      </c>
      <c r="F980" t="n">
        <v>271</v>
      </c>
      <c r="G980" t="n">
        <v>6</v>
      </c>
      <c r="H980" t="n">
        <v>1</v>
      </c>
      <c r="I980" t="n">
        <v>0</v>
      </c>
      <c r="J980" t="n">
        <v>0</v>
      </c>
    </row>
    <row r="981">
      <c r="A981" s="5" t="n">
        <v>46017</v>
      </c>
      <c r="B981" t="inlineStr">
        <is>
          <t>linkedin_ceo_abm</t>
        </is>
      </c>
      <c r="C981" t="inlineStr">
        <is>
          <t>linkedin</t>
        </is>
      </c>
      <c r="D981" t="n">
        <v>22987</v>
      </c>
      <c r="E981" t="n">
        <v>4420</v>
      </c>
      <c r="F981" t="n">
        <v>30</v>
      </c>
      <c r="G981" t="n">
        <v>1</v>
      </c>
      <c r="H981" t="n">
        <v>0</v>
      </c>
      <c r="I981" t="n">
        <v>0</v>
      </c>
      <c r="J981" t="n">
        <v>0</v>
      </c>
    </row>
    <row r="982">
      <c r="A982" s="5" t="n">
        <v>46017</v>
      </c>
      <c r="B982" t="inlineStr">
        <is>
          <t>meta_prospecting_founder</t>
        </is>
      </c>
      <c r="C982" t="inlineStr">
        <is>
          <t>meta</t>
        </is>
      </c>
      <c r="D982" t="n">
        <v>29287</v>
      </c>
      <c r="E982" t="n">
        <v>20919</v>
      </c>
      <c r="F982" t="n">
        <v>257</v>
      </c>
      <c r="G982" t="n">
        <v>3</v>
      </c>
      <c r="H982" t="n">
        <v>1</v>
      </c>
      <c r="I982" t="n">
        <v>0</v>
      </c>
      <c r="J982" t="n">
        <v>0</v>
      </c>
    </row>
    <row r="983">
      <c r="A983" s="5" t="n">
        <v>46017</v>
      </c>
      <c r="B983" t="inlineStr">
        <is>
          <t>meta_retargeting_webinar</t>
        </is>
      </c>
      <c r="C983" t="inlineStr">
        <is>
          <t>meta</t>
        </is>
      </c>
      <c r="D983" t="n">
        <v>9745</v>
      </c>
      <c r="E983" t="n">
        <v>6960</v>
      </c>
      <c r="F983" t="n">
        <v>69</v>
      </c>
      <c r="G983" t="n">
        <v>2</v>
      </c>
      <c r="H983" t="n">
        <v>1</v>
      </c>
      <c r="I983" t="n">
        <v>0</v>
      </c>
      <c r="J983" t="n">
        <v>0</v>
      </c>
    </row>
    <row r="984">
      <c r="A984" s="5" t="n">
        <v>46018</v>
      </c>
      <c r="B984" t="inlineStr">
        <is>
          <t>FB-Broad</t>
        </is>
      </c>
      <c r="C984" t="inlineStr">
        <is>
          <t>meta</t>
        </is>
      </c>
      <c r="D984" t="n">
        <v>16722</v>
      </c>
      <c r="E984" t="n">
        <v>11944</v>
      </c>
      <c r="F984" t="n">
        <v>134</v>
      </c>
      <c r="G984" t="n">
        <v>3</v>
      </c>
      <c r="H984" t="n">
        <v>0</v>
      </c>
      <c r="I984" t="n">
        <v>0</v>
      </c>
      <c r="J984" t="n">
        <v>0</v>
      </c>
    </row>
    <row r="985">
      <c r="A985" s="5" t="n">
        <v>46018</v>
      </c>
      <c r="B985" t="inlineStr">
        <is>
          <t>google_brand_search</t>
        </is>
      </c>
      <c r="C985" t="inlineStr">
        <is>
          <t>google</t>
        </is>
      </c>
      <c r="D985" t="n">
        <v>7363</v>
      </c>
      <c r="E985" t="n">
        <v>1533</v>
      </c>
      <c r="F985" t="n">
        <v>90</v>
      </c>
      <c r="G985" t="n">
        <v>3</v>
      </c>
      <c r="H985" t="n">
        <v>1</v>
      </c>
      <c r="I985" t="n">
        <v>1</v>
      </c>
      <c r="J985" t="n">
        <v>0</v>
      </c>
    </row>
    <row r="986">
      <c r="A986" s="5" t="n">
        <v>46018</v>
      </c>
      <c r="B986" t="inlineStr">
        <is>
          <t>google_nonbrand_growth</t>
        </is>
      </c>
      <c r="C986" t="inlineStr">
        <is>
          <t>google</t>
        </is>
      </c>
      <c r="D986" t="n">
        <v>22515</v>
      </c>
      <c r="E986" t="n">
        <v>4690</v>
      </c>
      <c r="F986" t="n">
        <v>224</v>
      </c>
      <c r="G986" t="n">
        <v>0</v>
      </c>
      <c r="H986" t="n">
        <v>2</v>
      </c>
      <c r="I986" t="n">
        <v>2</v>
      </c>
      <c r="J986" t="n">
        <v>0</v>
      </c>
    </row>
    <row r="987">
      <c r="A987" s="5" t="n">
        <v>46018</v>
      </c>
      <c r="B987" t="inlineStr">
        <is>
          <t>linkedin_ceo_abm</t>
        </is>
      </c>
      <c r="C987" t="inlineStr">
        <is>
          <t>linkedin</t>
        </is>
      </c>
      <c r="D987" t="n">
        <v>25122</v>
      </c>
      <c r="E987" t="n">
        <v>4831</v>
      </c>
      <c r="F987" t="n">
        <v>34</v>
      </c>
      <c r="G987" t="n">
        <v>0</v>
      </c>
      <c r="H987" t="n">
        <v>0</v>
      </c>
      <c r="I987" t="n">
        <v>0</v>
      </c>
      <c r="J987" t="n">
        <v>0</v>
      </c>
    </row>
    <row r="988">
      <c r="A988" s="5" t="n">
        <v>46018</v>
      </c>
      <c r="B988" t="inlineStr">
        <is>
          <t>meta_prospecting_founder</t>
        </is>
      </c>
      <c r="C988" t="inlineStr">
        <is>
          <t>meta</t>
        </is>
      </c>
      <c r="D988" t="n">
        <v>34769</v>
      </c>
      <c r="E988" t="n">
        <v>24835</v>
      </c>
      <c r="F988" t="n">
        <v>310</v>
      </c>
      <c r="G988" t="n">
        <v>4</v>
      </c>
      <c r="H988" t="n">
        <v>0</v>
      </c>
      <c r="I988" t="n">
        <v>1</v>
      </c>
      <c r="J988" t="n">
        <v>1</v>
      </c>
    </row>
    <row r="989">
      <c r="A989" s="5" t="n">
        <v>46018</v>
      </c>
      <c r="B989" t="inlineStr">
        <is>
          <t>meta_retargeting_webinar</t>
        </is>
      </c>
      <c r="C989" t="inlineStr">
        <is>
          <t>meta</t>
        </is>
      </c>
      <c r="D989" t="n">
        <v>10175</v>
      </c>
      <c r="E989" t="n">
        <v>7267</v>
      </c>
      <c r="F989" t="n">
        <v>72</v>
      </c>
      <c r="G989" t="n">
        <v>2</v>
      </c>
      <c r="H989" t="n">
        <v>1</v>
      </c>
      <c r="I989" t="n">
        <v>1</v>
      </c>
      <c r="J989" t="n">
        <v>0</v>
      </c>
    </row>
    <row r="990">
      <c r="A990" s="5" t="n">
        <v>46019</v>
      </c>
      <c r="B990" t="inlineStr">
        <is>
          <t>FB-Broad</t>
        </is>
      </c>
      <c r="C990" t="inlineStr">
        <is>
          <t>meta</t>
        </is>
      </c>
      <c r="D990" t="n">
        <v>16794</v>
      </c>
      <c r="E990" t="n">
        <v>11995</v>
      </c>
      <c r="F990" t="n">
        <v>149</v>
      </c>
      <c r="G990" t="n">
        <v>4</v>
      </c>
      <c r="H990" t="n">
        <v>0</v>
      </c>
      <c r="I990" t="n">
        <v>0</v>
      </c>
      <c r="J990" t="n">
        <v>0</v>
      </c>
    </row>
    <row r="991">
      <c r="A991" s="5" t="n">
        <v>46019</v>
      </c>
      <c r="B991" t="inlineStr">
        <is>
          <t>google_brand_search</t>
        </is>
      </c>
      <c r="C991" t="inlineStr">
        <is>
          <t>google</t>
        </is>
      </c>
      <c r="D991" t="n">
        <v>7420</v>
      </c>
      <c r="E991" t="n">
        <v>1545</v>
      </c>
      <c r="F991" t="n">
        <v>83</v>
      </c>
      <c r="G991" t="n">
        <v>4</v>
      </c>
      <c r="H991" t="n">
        <v>1</v>
      </c>
      <c r="I991" t="n">
        <v>1</v>
      </c>
      <c r="J991" t="n">
        <v>0</v>
      </c>
    </row>
    <row r="992">
      <c r="A992" s="5" t="n">
        <v>46019</v>
      </c>
      <c r="B992" t="inlineStr">
        <is>
          <t>google_nonbrand_growth</t>
        </is>
      </c>
      <c r="C992" t="inlineStr">
        <is>
          <t>google</t>
        </is>
      </c>
      <c r="D992" t="n">
        <v>22437</v>
      </c>
      <c r="E992" t="n">
        <v>4674</v>
      </c>
      <c r="F992" t="n">
        <v>262</v>
      </c>
      <c r="G992" t="n">
        <v>0</v>
      </c>
      <c r="H992" t="n">
        <v>0</v>
      </c>
      <c r="I992" t="n">
        <v>0</v>
      </c>
      <c r="J992" t="n">
        <v>1</v>
      </c>
    </row>
    <row r="993">
      <c r="A993" s="5" t="n">
        <v>46019</v>
      </c>
      <c r="B993" t="inlineStr">
        <is>
          <t>linkedin_ceo_abm</t>
        </is>
      </c>
      <c r="C993" t="inlineStr">
        <is>
          <t>linkedin</t>
        </is>
      </c>
      <c r="D993" t="n">
        <v>26065</v>
      </c>
      <c r="E993" t="n">
        <v>5012</v>
      </c>
      <c r="F993" t="n">
        <v>28</v>
      </c>
      <c r="G993" t="n">
        <v>0</v>
      </c>
      <c r="H993" t="n">
        <v>0</v>
      </c>
      <c r="I993" t="n">
        <v>0</v>
      </c>
      <c r="J993" t="n">
        <v>0</v>
      </c>
    </row>
    <row r="994">
      <c r="A994" s="5" t="n">
        <v>46019</v>
      </c>
      <c r="B994" t="inlineStr">
        <is>
          <t>meta_prospecting_founder</t>
        </is>
      </c>
      <c r="C994" t="inlineStr">
        <is>
          <t>meta</t>
        </is>
      </c>
      <c r="D994" t="n">
        <v>32096</v>
      </c>
      <c r="E994" t="n">
        <v>22925</v>
      </c>
      <c r="F994" t="n">
        <v>259</v>
      </c>
      <c r="G994" t="n">
        <v>6</v>
      </c>
      <c r="H994" t="n">
        <v>0</v>
      </c>
      <c r="I994" t="n">
        <v>1</v>
      </c>
      <c r="J994" t="n">
        <v>0</v>
      </c>
    </row>
    <row r="995">
      <c r="A995" s="5" t="n">
        <v>46019</v>
      </c>
      <c r="B995" t="inlineStr">
        <is>
          <t>meta_retargeting_webinar</t>
        </is>
      </c>
      <c r="C995" t="inlineStr">
        <is>
          <t>meta</t>
        </is>
      </c>
      <c r="D995" t="n">
        <v>10234</v>
      </c>
      <c r="E995" t="n">
        <v>7310</v>
      </c>
      <c r="F995" t="n">
        <v>78</v>
      </c>
      <c r="G995" t="n">
        <v>1</v>
      </c>
      <c r="H995" t="n">
        <v>0</v>
      </c>
      <c r="I995" t="n">
        <v>1</v>
      </c>
      <c r="J995" t="n">
        <v>0</v>
      </c>
    </row>
    <row r="996">
      <c r="A996" s="5" t="n">
        <v>46020</v>
      </c>
      <c r="B996" t="inlineStr">
        <is>
          <t>FB-Broad</t>
        </is>
      </c>
      <c r="C996" t="inlineStr">
        <is>
          <t>meta</t>
        </is>
      </c>
      <c r="D996" t="n">
        <v>17997</v>
      </c>
      <c r="E996" t="n">
        <v>12855</v>
      </c>
      <c r="F996" t="n">
        <v>154</v>
      </c>
      <c r="G996" t="n">
        <v>4</v>
      </c>
      <c r="H996" t="n">
        <v>0</v>
      </c>
      <c r="I996" t="n">
        <v>0</v>
      </c>
      <c r="J996" t="n">
        <v>0</v>
      </c>
    </row>
    <row r="997">
      <c r="A997" s="5" t="n">
        <v>46020</v>
      </c>
      <c r="B997" t="inlineStr">
        <is>
          <t>google_brand_search</t>
        </is>
      </c>
      <c r="C997" t="inlineStr">
        <is>
          <t>google</t>
        </is>
      </c>
      <c r="D997" t="n">
        <v>6851</v>
      </c>
      <c r="E997" t="n">
        <v>1427</v>
      </c>
      <c r="F997" t="n">
        <v>81</v>
      </c>
      <c r="G997" t="n">
        <v>1</v>
      </c>
      <c r="H997" t="n">
        <v>0</v>
      </c>
      <c r="I997" t="n">
        <v>0</v>
      </c>
      <c r="J997" t="n">
        <v>0</v>
      </c>
    </row>
    <row r="998">
      <c r="A998" s="5" t="n">
        <v>46020</v>
      </c>
      <c r="B998" t="inlineStr">
        <is>
          <t>google_nonbrand_growth</t>
        </is>
      </c>
      <c r="C998" t="inlineStr">
        <is>
          <t>google</t>
        </is>
      </c>
      <c r="D998" t="n">
        <v>21060</v>
      </c>
      <c r="E998" t="n">
        <v>4387</v>
      </c>
      <c r="F998" t="n">
        <v>249</v>
      </c>
      <c r="G998" t="n">
        <v>1</v>
      </c>
      <c r="H998" t="n">
        <v>2</v>
      </c>
      <c r="I998" t="n">
        <v>0</v>
      </c>
      <c r="J998" t="n">
        <v>0</v>
      </c>
    </row>
    <row r="999">
      <c r="A999" s="5" t="n">
        <v>46020</v>
      </c>
      <c r="B999" t="inlineStr">
        <is>
          <t>linkedin_ceo_abm</t>
        </is>
      </c>
      <c r="C999" t="inlineStr">
        <is>
          <t>linkedin</t>
        </is>
      </c>
      <c r="D999" t="n">
        <v>27775</v>
      </c>
      <c r="E999" t="n">
        <v>5341</v>
      </c>
      <c r="F999" t="n">
        <v>37</v>
      </c>
      <c r="G999" t="n">
        <v>2</v>
      </c>
      <c r="H999" t="n">
        <v>0</v>
      </c>
      <c r="I999" t="n">
        <v>0</v>
      </c>
      <c r="J999" t="n">
        <v>0</v>
      </c>
    </row>
    <row r="1000">
      <c r="A1000" s="5" t="n">
        <v>46020</v>
      </c>
      <c r="B1000" t="inlineStr">
        <is>
          <t>meta_prospecting_founder</t>
        </is>
      </c>
      <c r="C1000" t="inlineStr">
        <is>
          <t>meta</t>
        </is>
      </c>
      <c r="D1000" t="n">
        <v>34360</v>
      </c>
      <c r="E1000" t="n">
        <v>24542</v>
      </c>
      <c r="F1000" t="n">
        <v>296</v>
      </c>
      <c r="G1000" t="n">
        <v>5</v>
      </c>
      <c r="H1000" t="n">
        <v>2</v>
      </c>
      <c r="I1000" t="n">
        <v>0</v>
      </c>
      <c r="J1000" t="n">
        <v>0</v>
      </c>
    </row>
    <row r="1001">
      <c r="A1001" s="5" t="n">
        <v>46020</v>
      </c>
      <c r="B1001" t="inlineStr">
        <is>
          <t>meta_retargeting_webinar</t>
        </is>
      </c>
      <c r="C1001" t="inlineStr">
        <is>
          <t>meta</t>
        </is>
      </c>
      <c r="D1001" t="n">
        <v>8860</v>
      </c>
      <c r="E1001" t="n">
        <v>6328</v>
      </c>
      <c r="F1001" t="n">
        <v>75</v>
      </c>
      <c r="G1001" t="n">
        <v>2</v>
      </c>
      <c r="H1001" t="n">
        <v>0</v>
      </c>
      <c r="I1001" t="n">
        <v>1</v>
      </c>
      <c r="J1001" t="n">
        <v>0</v>
      </c>
    </row>
    <row r="1002">
      <c r="A1002" s="5" t="n">
        <v>46021</v>
      </c>
      <c r="B1002" t="inlineStr">
        <is>
          <t>FB-Broad</t>
        </is>
      </c>
      <c r="C1002" t="inlineStr">
        <is>
          <t>meta</t>
        </is>
      </c>
      <c r="D1002" t="n">
        <v>17114</v>
      </c>
      <c r="E1002" t="n">
        <v>12224</v>
      </c>
      <c r="F1002" t="n">
        <v>119</v>
      </c>
      <c r="G1002" t="n">
        <v>1</v>
      </c>
      <c r="H1002" t="n">
        <v>1</v>
      </c>
      <c r="I1002" t="n">
        <v>0</v>
      </c>
      <c r="J1002" t="n">
        <v>0</v>
      </c>
    </row>
    <row r="1003">
      <c r="A1003" s="5" t="n">
        <v>46021</v>
      </c>
      <c r="B1003" t="inlineStr">
        <is>
          <t>google_brand_search</t>
        </is>
      </c>
      <c r="C1003" t="inlineStr">
        <is>
          <t>google</t>
        </is>
      </c>
      <c r="D1003" t="n">
        <v>6820</v>
      </c>
      <c r="E1003" t="n">
        <v>1420</v>
      </c>
      <c r="F1003" t="n">
        <v>80</v>
      </c>
      <c r="G1003" t="n">
        <v>2</v>
      </c>
      <c r="H1003" t="n">
        <v>2</v>
      </c>
      <c r="I1003" t="n">
        <v>0</v>
      </c>
      <c r="J1003" t="n">
        <v>1</v>
      </c>
    </row>
    <row r="1004">
      <c r="A1004" s="5" t="n">
        <v>46021</v>
      </c>
      <c r="B1004" t="inlineStr">
        <is>
          <t>google_nonbrand_growth</t>
        </is>
      </c>
      <c r="C1004" t="inlineStr">
        <is>
          <t>google</t>
        </is>
      </c>
      <c r="D1004" t="n">
        <v>22267</v>
      </c>
      <c r="E1004" t="n">
        <v>4638</v>
      </c>
      <c r="F1004" t="n">
        <v>267</v>
      </c>
      <c r="G1004" t="n">
        <v>2</v>
      </c>
      <c r="H1004" t="n">
        <v>0</v>
      </c>
      <c r="I1004" t="n">
        <v>1</v>
      </c>
      <c r="J1004" t="n">
        <v>0</v>
      </c>
    </row>
    <row r="1005">
      <c r="A1005" s="5" t="n">
        <v>46021</v>
      </c>
      <c r="B1005" t="inlineStr">
        <is>
          <t>linkedin_ceo_abm</t>
        </is>
      </c>
      <c r="C1005" t="inlineStr">
        <is>
          <t>linkedin</t>
        </is>
      </c>
      <c r="D1005" t="n">
        <v>23703</v>
      </c>
      <c r="E1005" t="n">
        <v>4558</v>
      </c>
      <c r="F1005" t="n">
        <v>29</v>
      </c>
      <c r="G1005" t="n">
        <v>0</v>
      </c>
      <c r="H1005" t="n">
        <v>0</v>
      </c>
      <c r="I1005" t="n">
        <v>0</v>
      </c>
      <c r="J1005" t="n">
        <v>0</v>
      </c>
    </row>
    <row r="1006">
      <c r="A1006" s="5" t="n">
        <v>46021</v>
      </c>
      <c r="B1006" t="inlineStr">
        <is>
          <t>meta_prospecting_founder</t>
        </is>
      </c>
      <c r="C1006" t="inlineStr">
        <is>
          <t>meta</t>
        </is>
      </c>
      <c r="D1006" t="n">
        <v>31776</v>
      </c>
      <c r="E1006" t="n">
        <v>22697</v>
      </c>
      <c r="F1006" t="n">
        <v>279</v>
      </c>
      <c r="G1006" t="n">
        <v>7</v>
      </c>
      <c r="H1006" t="n">
        <v>2</v>
      </c>
      <c r="I1006" t="n">
        <v>0</v>
      </c>
      <c r="J1006" t="n">
        <v>0</v>
      </c>
    </row>
    <row r="1007">
      <c r="A1007" s="5" t="n">
        <v>46021</v>
      </c>
      <c r="B1007" t="inlineStr">
        <is>
          <t>meta_retargeting_webinar</t>
        </is>
      </c>
      <c r="C1007" t="inlineStr">
        <is>
          <t>meta</t>
        </is>
      </c>
      <c r="D1007" t="n">
        <v>8717</v>
      </c>
      <c r="E1007" t="n">
        <v>6226</v>
      </c>
      <c r="F1007" t="n">
        <v>71</v>
      </c>
      <c r="G1007" t="n">
        <v>0</v>
      </c>
      <c r="H1007" t="n">
        <v>0</v>
      </c>
      <c r="I1007" t="n">
        <v>0</v>
      </c>
      <c r="J1007" t="n">
        <v>0</v>
      </c>
    </row>
    <row r="1008">
      <c r="A1008" s="5" t="n">
        <v>46022</v>
      </c>
      <c r="B1008" t="inlineStr">
        <is>
          <t>FB-Broad</t>
        </is>
      </c>
      <c r="C1008" t="inlineStr">
        <is>
          <t>meta</t>
        </is>
      </c>
      <c r="D1008" t="n">
        <v>15391</v>
      </c>
      <c r="E1008" t="n">
        <v>10993</v>
      </c>
      <c r="F1008" t="n">
        <v>117</v>
      </c>
      <c r="G1008" t="n">
        <v>2</v>
      </c>
      <c r="H1008" t="n">
        <v>1</v>
      </c>
      <c r="I1008" t="n">
        <v>0</v>
      </c>
      <c r="J1008" t="n">
        <v>0</v>
      </c>
    </row>
    <row r="1009">
      <c r="A1009" s="5" t="n">
        <v>46022</v>
      </c>
      <c r="B1009" t="inlineStr">
        <is>
          <t>google_brand_search</t>
        </is>
      </c>
      <c r="C1009" t="inlineStr">
        <is>
          <t>google</t>
        </is>
      </c>
      <c r="D1009" t="n">
        <v>7112</v>
      </c>
      <c r="E1009" t="n">
        <v>1481</v>
      </c>
      <c r="F1009" t="n">
        <v>76</v>
      </c>
      <c r="G1009" t="n">
        <v>2</v>
      </c>
      <c r="H1009" t="n">
        <v>2</v>
      </c>
      <c r="I1009" t="n">
        <v>0</v>
      </c>
      <c r="J1009" t="n">
        <v>0</v>
      </c>
    </row>
    <row r="1010">
      <c r="A1010" s="5" t="n">
        <v>46022</v>
      </c>
      <c r="B1010" t="inlineStr">
        <is>
          <t>google_nonbrand_growth</t>
        </is>
      </c>
      <c r="C1010" t="inlineStr">
        <is>
          <t>google</t>
        </is>
      </c>
      <c r="D1010" t="n">
        <v>21174</v>
      </c>
      <c r="E1010" t="n">
        <v>4411</v>
      </c>
      <c r="F1010" t="n">
        <v>237</v>
      </c>
      <c r="G1010" t="n">
        <v>1</v>
      </c>
      <c r="H1010" t="n">
        <v>0</v>
      </c>
      <c r="I1010" t="n">
        <v>0</v>
      </c>
      <c r="J1010" t="n">
        <v>0</v>
      </c>
    </row>
    <row r="1011">
      <c r="A1011" s="5" t="n">
        <v>46022</v>
      </c>
      <c r="B1011" t="inlineStr">
        <is>
          <t>linkedin_ceo_abm</t>
        </is>
      </c>
      <c r="C1011" t="inlineStr">
        <is>
          <t>linkedin</t>
        </is>
      </c>
      <c r="D1011" t="n">
        <v>27974</v>
      </c>
      <c r="E1011" t="n">
        <v>5379</v>
      </c>
      <c r="F1011" t="n">
        <v>35</v>
      </c>
      <c r="G1011" t="n">
        <v>3</v>
      </c>
      <c r="H1011" t="n">
        <v>1</v>
      </c>
      <c r="I1011" t="n">
        <v>0</v>
      </c>
      <c r="J1011" t="n">
        <v>0</v>
      </c>
    </row>
    <row r="1012">
      <c r="A1012" s="5" t="n">
        <v>46022</v>
      </c>
      <c r="B1012" t="inlineStr">
        <is>
          <t>meta_prospecting_founder</t>
        </is>
      </c>
      <c r="C1012" t="inlineStr">
        <is>
          <t>meta</t>
        </is>
      </c>
      <c r="D1012" t="n">
        <v>29653</v>
      </c>
      <c r="E1012" t="n">
        <v>21180</v>
      </c>
      <c r="F1012" t="n">
        <v>236</v>
      </c>
      <c r="G1012" t="n">
        <v>4</v>
      </c>
      <c r="H1012" t="n">
        <v>0</v>
      </c>
      <c r="I1012" t="n">
        <v>0</v>
      </c>
      <c r="J1012" t="n">
        <v>0</v>
      </c>
    </row>
    <row r="1013">
      <c r="A1013" s="5" t="n">
        <v>46022</v>
      </c>
      <c r="B1013" t="inlineStr">
        <is>
          <t>meta_retargeting_webinar</t>
        </is>
      </c>
      <c r="C1013" t="inlineStr">
        <is>
          <t>meta</t>
        </is>
      </c>
      <c r="D1013" t="n">
        <v>8833</v>
      </c>
      <c r="E1013" t="n">
        <v>6309</v>
      </c>
      <c r="F1013" t="n">
        <v>73</v>
      </c>
      <c r="G1013" t="n">
        <v>3</v>
      </c>
      <c r="H1013" t="n">
        <v>0</v>
      </c>
      <c r="I1013" t="n">
        <v>0</v>
      </c>
      <c r="J1013" t="n">
        <v>0</v>
      </c>
    </row>
    <row r="1014">
      <c r="A1014" s="5" t="n">
        <v>46023</v>
      </c>
      <c r="B1014" t="inlineStr">
        <is>
          <t>FB-Broad</t>
        </is>
      </c>
      <c r="C1014" t="inlineStr">
        <is>
          <t>meta</t>
        </is>
      </c>
      <c r="D1014" t="n">
        <v>17424</v>
      </c>
      <c r="E1014" t="n">
        <v>12445</v>
      </c>
      <c r="F1014" t="n">
        <v>150</v>
      </c>
      <c r="G1014" t="n">
        <v>2</v>
      </c>
      <c r="H1014" t="n">
        <v>1</v>
      </c>
      <c r="I1014" t="n">
        <v>0</v>
      </c>
      <c r="J1014" t="n">
        <v>0</v>
      </c>
    </row>
    <row r="1015">
      <c r="A1015" s="5" t="n">
        <v>46023</v>
      </c>
      <c r="B1015" t="inlineStr">
        <is>
          <t>google_brand_search</t>
        </is>
      </c>
      <c r="C1015" t="inlineStr">
        <is>
          <t>google</t>
        </is>
      </c>
      <c r="D1015" t="n">
        <v>7534</v>
      </c>
      <c r="E1015" t="n">
        <v>1569</v>
      </c>
      <c r="F1015" t="n">
        <v>80</v>
      </c>
      <c r="G1015" t="n">
        <v>3</v>
      </c>
      <c r="H1015" t="n">
        <v>0</v>
      </c>
      <c r="I1015" t="n">
        <v>1</v>
      </c>
      <c r="J1015" t="n">
        <v>0</v>
      </c>
    </row>
    <row r="1016">
      <c r="A1016" s="5" t="n">
        <v>46023</v>
      </c>
      <c r="B1016" t="inlineStr">
        <is>
          <t>google_nonbrand_growth</t>
        </is>
      </c>
      <c r="C1016" t="inlineStr">
        <is>
          <t>google</t>
        </is>
      </c>
      <c r="D1016" t="n">
        <v>22088</v>
      </c>
      <c r="E1016" t="n">
        <v>4601</v>
      </c>
      <c r="F1016" t="n">
        <v>261</v>
      </c>
      <c r="G1016" t="n">
        <v>3</v>
      </c>
      <c r="H1016" t="n">
        <v>1</v>
      </c>
      <c r="I1016" t="n">
        <v>0</v>
      </c>
      <c r="J1016" t="n">
        <v>0</v>
      </c>
    </row>
    <row r="1017">
      <c r="A1017" s="5" t="n">
        <v>46023</v>
      </c>
      <c r="B1017" t="inlineStr">
        <is>
          <t>linkedin_ceo_abm</t>
        </is>
      </c>
      <c r="C1017" t="inlineStr">
        <is>
          <t>linkedin</t>
        </is>
      </c>
      <c r="D1017" t="n">
        <v>23698</v>
      </c>
      <c r="E1017" t="n">
        <v>4557</v>
      </c>
      <c r="F1017" t="n">
        <v>30</v>
      </c>
      <c r="G1017" t="n">
        <v>1</v>
      </c>
      <c r="H1017" t="n">
        <v>0</v>
      </c>
      <c r="I1017" t="n">
        <v>0</v>
      </c>
      <c r="J1017" t="n">
        <v>0</v>
      </c>
    </row>
    <row r="1018">
      <c r="A1018" s="5" t="n">
        <v>46023</v>
      </c>
      <c r="B1018" t="inlineStr">
        <is>
          <t>meta_prospecting_founder</t>
        </is>
      </c>
      <c r="C1018" t="inlineStr">
        <is>
          <t>meta</t>
        </is>
      </c>
      <c r="D1018" t="n">
        <v>29259</v>
      </c>
      <c r="E1018" t="n">
        <v>20899</v>
      </c>
      <c r="F1018" t="n">
        <v>229</v>
      </c>
      <c r="G1018" t="n">
        <v>7</v>
      </c>
      <c r="H1018" t="n">
        <v>2</v>
      </c>
      <c r="I1018" t="n">
        <v>0</v>
      </c>
      <c r="J1018" t="n">
        <v>0</v>
      </c>
    </row>
    <row r="1019">
      <c r="A1019" s="5" t="n">
        <v>46023</v>
      </c>
      <c r="B1019" t="inlineStr">
        <is>
          <t>meta_retargeting_webinar</t>
        </is>
      </c>
      <c r="C1019" t="inlineStr">
        <is>
          <t>meta</t>
        </is>
      </c>
      <c r="D1019" t="n">
        <v>8613</v>
      </c>
      <c r="E1019" t="n">
        <v>6152</v>
      </c>
      <c r="F1019" t="n">
        <v>71</v>
      </c>
      <c r="G1019" t="n">
        <v>2</v>
      </c>
      <c r="H1019" t="n">
        <v>0</v>
      </c>
      <c r="I1019" t="n">
        <v>0</v>
      </c>
      <c r="J1019" t="n">
        <v>0</v>
      </c>
    </row>
    <row r="1020">
      <c r="A1020" s="5" t="n">
        <v>46024</v>
      </c>
      <c r="B1020" t="inlineStr">
        <is>
          <t>FB-Broad</t>
        </is>
      </c>
      <c r="C1020" t="inlineStr">
        <is>
          <t>meta</t>
        </is>
      </c>
      <c r="D1020" t="n">
        <v>17846</v>
      </c>
      <c r="E1020" t="n">
        <v>12747</v>
      </c>
      <c r="F1020" t="n">
        <v>139</v>
      </c>
      <c r="G1020" t="n">
        <v>0</v>
      </c>
      <c r="H1020" t="n">
        <v>0</v>
      </c>
      <c r="I1020" t="n">
        <v>1</v>
      </c>
      <c r="J1020" t="n">
        <v>0</v>
      </c>
    </row>
    <row r="1021">
      <c r="A1021" s="5" t="n">
        <v>46024</v>
      </c>
      <c r="B1021" t="inlineStr">
        <is>
          <t>google_brand_search</t>
        </is>
      </c>
      <c r="C1021" t="inlineStr">
        <is>
          <t>google</t>
        </is>
      </c>
      <c r="D1021" t="n">
        <v>7262</v>
      </c>
      <c r="E1021" t="n">
        <v>1512</v>
      </c>
      <c r="F1021" t="n">
        <v>86</v>
      </c>
      <c r="G1021" t="n">
        <v>3</v>
      </c>
      <c r="H1021" t="n">
        <v>3</v>
      </c>
      <c r="I1021" t="n">
        <v>0</v>
      </c>
      <c r="J1021" t="n">
        <v>0</v>
      </c>
    </row>
    <row r="1022">
      <c r="A1022" s="5" t="n">
        <v>46024</v>
      </c>
      <c r="B1022" t="inlineStr">
        <is>
          <t>google_nonbrand_growth</t>
        </is>
      </c>
      <c r="C1022" t="inlineStr">
        <is>
          <t>google</t>
        </is>
      </c>
      <c r="D1022" t="n">
        <v>22575</v>
      </c>
      <c r="E1022" t="n">
        <v>4703</v>
      </c>
      <c r="F1022" t="n">
        <v>243</v>
      </c>
      <c r="G1022" t="n">
        <v>2</v>
      </c>
      <c r="H1022" t="n">
        <v>1</v>
      </c>
      <c r="I1022" t="n">
        <v>0</v>
      </c>
      <c r="J1022" t="n">
        <v>0</v>
      </c>
    </row>
    <row r="1023">
      <c r="A1023" s="5" t="n">
        <v>46024</v>
      </c>
      <c r="B1023" t="inlineStr">
        <is>
          <t>linkedin_ceo_abm</t>
        </is>
      </c>
      <c r="C1023" t="inlineStr">
        <is>
          <t>linkedin</t>
        </is>
      </c>
      <c r="D1023" t="n">
        <v>23555</v>
      </c>
      <c r="E1023" t="n">
        <v>4529</v>
      </c>
      <c r="F1023" t="n">
        <v>26</v>
      </c>
      <c r="G1023" t="n">
        <v>0</v>
      </c>
      <c r="H1023" t="n">
        <v>0</v>
      </c>
      <c r="I1023" t="n">
        <v>0</v>
      </c>
      <c r="J1023" t="n">
        <v>0</v>
      </c>
    </row>
    <row r="1024">
      <c r="A1024" s="5" t="n">
        <v>46024</v>
      </c>
      <c r="B1024" t="inlineStr">
        <is>
          <t>meta_prospecting_founder</t>
        </is>
      </c>
      <c r="C1024" t="inlineStr">
        <is>
          <t>meta</t>
        </is>
      </c>
      <c r="D1024" t="n">
        <v>32375</v>
      </c>
      <c r="E1024" t="n">
        <v>23125</v>
      </c>
      <c r="F1024" t="n">
        <v>264</v>
      </c>
      <c r="G1024" t="n">
        <v>1</v>
      </c>
      <c r="H1024" t="n">
        <v>0</v>
      </c>
      <c r="I1024" t="n">
        <v>2</v>
      </c>
      <c r="J1024" t="n">
        <v>0</v>
      </c>
    </row>
    <row r="1025">
      <c r="A1025" s="5" t="n">
        <v>46024</v>
      </c>
      <c r="B1025" t="inlineStr">
        <is>
          <t>meta_retargeting_webinar</t>
        </is>
      </c>
      <c r="C1025" t="inlineStr">
        <is>
          <t>meta</t>
        </is>
      </c>
      <c r="D1025" t="n">
        <v>9452</v>
      </c>
      <c r="E1025" t="n">
        <v>6751</v>
      </c>
      <c r="F1025" t="n">
        <v>68</v>
      </c>
      <c r="G1025" t="n">
        <v>0</v>
      </c>
      <c r="H1025" t="n">
        <v>0</v>
      </c>
      <c r="I1025" t="n">
        <v>0</v>
      </c>
      <c r="J1025" t="n">
        <v>1</v>
      </c>
    </row>
    <row r="1026">
      <c r="A1026" s="5" t="n">
        <v>46025</v>
      </c>
      <c r="B1026" t="inlineStr">
        <is>
          <t>FB-Broad</t>
        </is>
      </c>
      <c r="C1026" t="inlineStr">
        <is>
          <t>meta</t>
        </is>
      </c>
      <c r="D1026" t="n">
        <v>17018</v>
      </c>
      <c r="E1026" t="n">
        <v>12155</v>
      </c>
      <c r="F1026" t="n">
        <v>129</v>
      </c>
      <c r="G1026" t="n">
        <v>4</v>
      </c>
      <c r="H1026" t="n">
        <v>0</v>
      </c>
      <c r="I1026" t="n">
        <v>0</v>
      </c>
      <c r="J1026" t="n">
        <v>0</v>
      </c>
    </row>
    <row r="1027">
      <c r="A1027" s="5" t="n">
        <v>46025</v>
      </c>
      <c r="B1027" t="inlineStr">
        <is>
          <t>google_brand_search</t>
        </is>
      </c>
      <c r="C1027" t="inlineStr">
        <is>
          <t>google</t>
        </is>
      </c>
      <c r="D1027" t="n">
        <v>7450</v>
      </c>
      <c r="E1027" t="n">
        <v>1552</v>
      </c>
      <c r="F1027" t="n">
        <v>76</v>
      </c>
      <c r="G1027" t="n">
        <v>0</v>
      </c>
      <c r="H1027" t="n">
        <v>1</v>
      </c>
      <c r="I1027" t="n">
        <v>0</v>
      </c>
      <c r="J1027" t="n">
        <v>0</v>
      </c>
    </row>
    <row r="1028">
      <c r="A1028" s="5" t="n">
        <v>46025</v>
      </c>
      <c r="B1028" t="inlineStr">
        <is>
          <t>google_nonbrand_growth</t>
        </is>
      </c>
      <c r="C1028" t="inlineStr">
        <is>
          <t>google</t>
        </is>
      </c>
      <c r="D1028" t="n">
        <v>23179</v>
      </c>
      <c r="E1028" t="n">
        <v>4828</v>
      </c>
      <c r="F1028" t="n">
        <v>241</v>
      </c>
      <c r="G1028" t="n">
        <v>5</v>
      </c>
      <c r="H1028" t="n">
        <v>3</v>
      </c>
      <c r="I1028" t="n">
        <v>0</v>
      </c>
      <c r="J1028" t="n">
        <v>0</v>
      </c>
    </row>
    <row r="1029">
      <c r="A1029" s="5" t="n">
        <v>46025</v>
      </c>
      <c r="B1029" t="inlineStr">
        <is>
          <t>linkedin_ceo_abm</t>
        </is>
      </c>
      <c r="C1029" t="inlineStr">
        <is>
          <t>linkedin</t>
        </is>
      </c>
      <c r="D1029" t="n">
        <v>24788</v>
      </c>
      <c r="E1029" t="n">
        <v>4766</v>
      </c>
      <c r="F1029" t="n">
        <v>27</v>
      </c>
      <c r="G1029" t="n">
        <v>1</v>
      </c>
      <c r="H1029" t="n">
        <v>0</v>
      </c>
      <c r="I1029" t="n">
        <v>0</v>
      </c>
      <c r="J1029" t="n">
        <v>0</v>
      </c>
    </row>
    <row r="1030">
      <c r="A1030" s="5" t="n">
        <v>46025</v>
      </c>
      <c r="B1030" t="inlineStr">
        <is>
          <t>meta_prospecting_founder</t>
        </is>
      </c>
      <c r="C1030" t="inlineStr">
        <is>
          <t>meta</t>
        </is>
      </c>
      <c r="D1030" t="n">
        <v>34000</v>
      </c>
      <c r="E1030" t="n">
        <v>24285</v>
      </c>
      <c r="F1030" t="n">
        <v>277</v>
      </c>
      <c r="G1030" t="n">
        <v>5</v>
      </c>
      <c r="H1030" t="n">
        <v>1</v>
      </c>
      <c r="I1030" t="n">
        <v>1</v>
      </c>
      <c r="J1030" t="n">
        <v>1</v>
      </c>
    </row>
    <row r="1031">
      <c r="A1031" s="5" t="n">
        <v>46025</v>
      </c>
      <c r="B1031" t="inlineStr">
        <is>
          <t>meta_retargeting_webinar</t>
        </is>
      </c>
      <c r="C1031" t="inlineStr">
        <is>
          <t>meta</t>
        </is>
      </c>
      <c r="D1031" t="n">
        <v>9849</v>
      </c>
      <c r="E1031" t="n">
        <v>7034</v>
      </c>
      <c r="F1031" t="n">
        <v>84</v>
      </c>
      <c r="G1031" t="n">
        <v>1</v>
      </c>
      <c r="H1031" t="n">
        <v>1</v>
      </c>
      <c r="I1031" t="n">
        <v>0</v>
      </c>
      <c r="J1031" t="n">
        <v>0</v>
      </c>
    </row>
    <row r="1032">
      <c r="A1032" s="5" t="n">
        <v>46026</v>
      </c>
      <c r="B1032" t="inlineStr">
        <is>
          <t>FB-Broad</t>
        </is>
      </c>
      <c r="C1032" t="inlineStr">
        <is>
          <t>meta</t>
        </is>
      </c>
      <c r="D1032" t="n">
        <v>17147</v>
      </c>
      <c r="E1032" t="n">
        <v>12247</v>
      </c>
      <c r="F1032" t="n">
        <v>128</v>
      </c>
      <c r="G1032" t="n">
        <v>4</v>
      </c>
      <c r="H1032" t="n">
        <v>1</v>
      </c>
      <c r="I1032" t="n">
        <v>0</v>
      </c>
      <c r="J1032" t="n">
        <v>0</v>
      </c>
    </row>
    <row r="1033">
      <c r="A1033" s="5" t="n">
        <v>46026</v>
      </c>
      <c r="B1033" t="inlineStr">
        <is>
          <t>google_brand_search</t>
        </is>
      </c>
      <c r="C1033" t="inlineStr">
        <is>
          <t>google</t>
        </is>
      </c>
      <c r="D1033" t="n">
        <v>7082</v>
      </c>
      <c r="E1033" t="n">
        <v>1475</v>
      </c>
      <c r="F1033" t="n">
        <v>80</v>
      </c>
      <c r="G1033" t="n">
        <v>1</v>
      </c>
      <c r="H1033" t="n">
        <v>0</v>
      </c>
      <c r="I1033" t="n">
        <v>0</v>
      </c>
      <c r="J1033" t="n">
        <v>0</v>
      </c>
    </row>
    <row r="1034">
      <c r="A1034" s="5" t="n">
        <v>46026</v>
      </c>
      <c r="B1034" t="inlineStr">
        <is>
          <t>google_nonbrand_growth</t>
        </is>
      </c>
      <c r="C1034" t="inlineStr">
        <is>
          <t>google</t>
        </is>
      </c>
      <c r="D1034" t="n">
        <v>22672</v>
      </c>
      <c r="E1034" t="n">
        <v>4723</v>
      </c>
      <c r="F1034" t="n">
        <v>241</v>
      </c>
      <c r="G1034" t="n">
        <v>2</v>
      </c>
      <c r="H1034" t="n">
        <v>1</v>
      </c>
      <c r="I1034" t="n">
        <v>0</v>
      </c>
      <c r="J1034" t="n">
        <v>1</v>
      </c>
    </row>
    <row r="1035">
      <c r="A1035" s="5" t="n">
        <v>46026</v>
      </c>
      <c r="B1035" t="inlineStr">
        <is>
          <t>linkedin_ceo_abm</t>
        </is>
      </c>
      <c r="C1035" t="inlineStr">
        <is>
          <t>linkedin</t>
        </is>
      </c>
      <c r="D1035" t="n">
        <v>27294</v>
      </c>
      <c r="E1035" t="n">
        <v>5248</v>
      </c>
      <c r="F1035" t="n">
        <v>35</v>
      </c>
      <c r="G1035" t="n">
        <v>1</v>
      </c>
      <c r="H1035" t="n">
        <v>2</v>
      </c>
      <c r="I1035" t="n">
        <v>0</v>
      </c>
      <c r="J1035" t="n">
        <v>0</v>
      </c>
    </row>
    <row r="1036">
      <c r="A1036" s="5" t="n">
        <v>46026</v>
      </c>
      <c r="B1036" t="inlineStr">
        <is>
          <t>meta_prospecting_founder</t>
        </is>
      </c>
      <c r="C1036" t="inlineStr">
        <is>
          <t>meta</t>
        </is>
      </c>
      <c r="D1036" t="n">
        <v>32473</v>
      </c>
      <c r="E1036" t="n">
        <v>23195</v>
      </c>
      <c r="F1036" t="n">
        <v>292</v>
      </c>
      <c r="G1036" t="n">
        <v>6</v>
      </c>
      <c r="H1036" t="n">
        <v>1</v>
      </c>
      <c r="I1036" t="n">
        <v>0</v>
      </c>
      <c r="J1036" t="n">
        <v>0</v>
      </c>
    </row>
    <row r="1037">
      <c r="A1037" s="5" t="n">
        <v>46026</v>
      </c>
      <c r="B1037" t="inlineStr">
        <is>
          <t>meta_retargeting_webinar</t>
        </is>
      </c>
      <c r="C1037" t="inlineStr">
        <is>
          <t>meta</t>
        </is>
      </c>
      <c r="D1037" t="n">
        <v>10048</v>
      </c>
      <c r="E1037" t="n">
        <v>7177</v>
      </c>
      <c r="F1037" t="n">
        <v>77</v>
      </c>
      <c r="G1037" t="n">
        <v>2</v>
      </c>
      <c r="H1037" t="n">
        <v>0</v>
      </c>
      <c r="I1037" t="n">
        <v>1</v>
      </c>
      <c r="J1037" t="n">
        <v>0</v>
      </c>
    </row>
    <row r="1038">
      <c r="A1038" s="5" t="n">
        <v>46027</v>
      </c>
      <c r="B1038" t="inlineStr">
        <is>
          <t>FB-Broad</t>
        </is>
      </c>
      <c r="C1038" t="inlineStr">
        <is>
          <t>meta</t>
        </is>
      </c>
      <c r="D1038" t="n">
        <v>18058</v>
      </c>
      <c r="E1038" t="n">
        <v>12898</v>
      </c>
      <c r="F1038" t="n">
        <v>139</v>
      </c>
      <c r="G1038" t="n">
        <v>9</v>
      </c>
      <c r="H1038" t="n">
        <v>0</v>
      </c>
      <c r="I1038" t="n">
        <v>0</v>
      </c>
      <c r="J1038" t="n">
        <v>0</v>
      </c>
    </row>
    <row r="1039">
      <c r="A1039" s="5" t="n">
        <v>46027</v>
      </c>
      <c r="B1039" t="inlineStr">
        <is>
          <t>google_brand_search</t>
        </is>
      </c>
      <c r="C1039" t="inlineStr">
        <is>
          <t>google</t>
        </is>
      </c>
      <c r="D1039" t="n">
        <v>6319</v>
      </c>
      <c r="E1039" t="n">
        <v>1316</v>
      </c>
      <c r="F1039" t="n">
        <v>78</v>
      </c>
      <c r="G1039" t="n">
        <v>2</v>
      </c>
      <c r="H1039" t="n">
        <v>1</v>
      </c>
      <c r="I1039" t="n">
        <v>0</v>
      </c>
      <c r="J1039" t="n">
        <v>0</v>
      </c>
    </row>
    <row r="1040">
      <c r="A1040" s="5" t="n">
        <v>46027</v>
      </c>
      <c r="B1040" t="inlineStr">
        <is>
          <t>google_nonbrand_growth</t>
        </is>
      </c>
      <c r="C1040" t="inlineStr">
        <is>
          <t>google</t>
        </is>
      </c>
      <c r="D1040" t="n">
        <v>22324</v>
      </c>
      <c r="E1040" t="n">
        <v>4650</v>
      </c>
      <c r="F1040" t="n">
        <v>257</v>
      </c>
      <c r="G1040" t="n">
        <v>4</v>
      </c>
      <c r="H1040" t="n">
        <v>0</v>
      </c>
      <c r="I1040" t="n">
        <v>0</v>
      </c>
      <c r="J1040" t="n">
        <v>0</v>
      </c>
    </row>
    <row r="1041">
      <c r="A1041" s="5" t="n">
        <v>46027</v>
      </c>
      <c r="B1041" t="inlineStr">
        <is>
          <t>linkedin_ceo_abm</t>
        </is>
      </c>
      <c r="C1041" t="inlineStr">
        <is>
          <t>linkedin</t>
        </is>
      </c>
      <c r="D1041" t="n">
        <v>26817</v>
      </c>
      <c r="E1041" t="n">
        <v>5157</v>
      </c>
      <c r="F1041" t="n">
        <v>33</v>
      </c>
      <c r="G1041" t="n">
        <v>1</v>
      </c>
      <c r="H1041" t="n">
        <v>1</v>
      </c>
      <c r="I1041" t="n">
        <v>1</v>
      </c>
      <c r="J1041" t="n">
        <v>0</v>
      </c>
    </row>
    <row r="1042">
      <c r="A1042" s="5" t="n">
        <v>46027</v>
      </c>
      <c r="B1042" t="inlineStr">
        <is>
          <t>meta_prospecting_founder</t>
        </is>
      </c>
      <c r="C1042" t="inlineStr">
        <is>
          <t>meta</t>
        </is>
      </c>
      <c r="D1042" t="n">
        <v>30400</v>
      </c>
      <c r="E1042" t="n">
        <v>21714</v>
      </c>
      <c r="F1042" t="n">
        <v>244</v>
      </c>
      <c r="G1042" t="n">
        <v>10</v>
      </c>
      <c r="H1042" t="n">
        <v>0</v>
      </c>
      <c r="I1042" t="n">
        <v>0</v>
      </c>
      <c r="J1042" t="n">
        <v>0</v>
      </c>
    </row>
    <row r="1043">
      <c r="A1043" s="5" t="n">
        <v>46027</v>
      </c>
      <c r="B1043" t="inlineStr">
        <is>
          <t>meta_retargeting_webinar</t>
        </is>
      </c>
      <c r="C1043" t="inlineStr">
        <is>
          <t>meta</t>
        </is>
      </c>
      <c r="D1043" t="n">
        <v>9150</v>
      </c>
      <c r="E1043" t="n">
        <v>6535</v>
      </c>
      <c r="F1043" t="n">
        <v>73</v>
      </c>
      <c r="G1043" t="n">
        <v>9</v>
      </c>
      <c r="H1043" t="n">
        <v>2</v>
      </c>
      <c r="I1043" t="n">
        <v>0</v>
      </c>
      <c r="J1043" t="n">
        <v>0</v>
      </c>
    </row>
    <row r="1044">
      <c r="A1044" s="5" t="n">
        <v>46028</v>
      </c>
      <c r="B1044" t="inlineStr">
        <is>
          <t>FB-Broad</t>
        </is>
      </c>
      <c r="C1044" t="inlineStr">
        <is>
          <t>meta</t>
        </is>
      </c>
      <c r="D1044" t="n">
        <v>16347</v>
      </c>
      <c r="E1044" t="n">
        <v>11676</v>
      </c>
      <c r="F1044" t="n">
        <v>119</v>
      </c>
      <c r="G1044" t="n">
        <v>8</v>
      </c>
      <c r="H1044" t="n">
        <v>0</v>
      </c>
      <c r="I1044" t="n">
        <v>1</v>
      </c>
      <c r="J1044" t="n">
        <v>0</v>
      </c>
    </row>
    <row r="1045">
      <c r="A1045" s="5" t="n">
        <v>46028</v>
      </c>
      <c r="B1045" t="inlineStr">
        <is>
          <t>google_brand_search</t>
        </is>
      </c>
      <c r="C1045" t="inlineStr">
        <is>
          <t>google</t>
        </is>
      </c>
      <c r="D1045" t="n">
        <v>6745</v>
      </c>
      <c r="E1045" t="n">
        <v>1405</v>
      </c>
      <c r="F1045" t="n">
        <v>83</v>
      </c>
      <c r="G1045" t="n">
        <v>6</v>
      </c>
      <c r="H1045" t="n">
        <v>0</v>
      </c>
      <c r="I1045" t="n">
        <v>1</v>
      </c>
      <c r="J1045" t="n">
        <v>0</v>
      </c>
    </row>
    <row r="1046">
      <c r="A1046" s="5" t="n">
        <v>46028</v>
      </c>
      <c r="B1046" t="inlineStr">
        <is>
          <t>google_nonbrand_growth</t>
        </is>
      </c>
      <c r="C1046" t="inlineStr">
        <is>
          <t>google</t>
        </is>
      </c>
      <c r="D1046" t="n">
        <v>21610</v>
      </c>
      <c r="E1046" t="n">
        <v>4502</v>
      </c>
      <c r="F1046" t="n">
        <v>249</v>
      </c>
      <c r="G1046" t="n">
        <v>4</v>
      </c>
      <c r="H1046" t="n">
        <v>2</v>
      </c>
      <c r="I1046" t="n">
        <v>0</v>
      </c>
      <c r="J1046" t="n">
        <v>0</v>
      </c>
    </row>
    <row r="1047">
      <c r="A1047" s="5" t="n">
        <v>46028</v>
      </c>
      <c r="B1047" t="inlineStr">
        <is>
          <t>linkedin_ceo_abm</t>
        </is>
      </c>
      <c r="C1047" t="inlineStr">
        <is>
          <t>linkedin</t>
        </is>
      </c>
      <c r="D1047" t="n">
        <v>26151</v>
      </c>
      <c r="E1047" t="n">
        <v>5029</v>
      </c>
      <c r="F1047" t="n">
        <v>34</v>
      </c>
      <c r="G1047" t="n">
        <v>1</v>
      </c>
      <c r="H1047" t="n">
        <v>0</v>
      </c>
      <c r="I1047" t="n">
        <v>0</v>
      </c>
      <c r="J1047" t="n">
        <v>0</v>
      </c>
    </row>
    <row r="1048">
      <c r="A1048" s="5" t="n">
        <v>46028</v>
      </c>
      <c r="B1048" t="inlineStr">
        <is>
          <t>meta_prospecting_founder</t>
        </is>
      </c>
      <c r="C1048" t="inlineStr">
        <is>
          <t>meta</t>
        </is>
      </c>
      <c r="D1048" t="n">
        <v>34315</v>
      </c>
      <c r="E1048" t="n">
        <v>24510</v>
      </c>
      <c r="F1048" t="n">
        <v>301</v>
      </c>
      <c r="G1048" t="n">
        <v>8</v>
      </c>
      <c r="H1048" t="n">
        <v>3</v>
      </c>
      <c r="I1048" t="n">
        <v>0</v>
      </c>
      <c r="J1048" t="n">
        <v>0</v>
      </c>
    </row>
    <row r="1049">
      <c r="A1049" s="5" t="n">
        <v>46028</v>
      </c>
      <c r="B1049" t="inlineStr">
        <is>
          <t>meta_retargeting_webinar</t>
        </is>
      </c>
      <c r="C1049" t="inlineStr">
        <is>
          <t>meta</t>
        </is>
      </c>
      <c r="D1049" t="n">
        <v>8561</v>
      </c>
      <c r="E1049" t="n">
        <v>6115</v>
      </c>
      <c r="F1049" t="n">
        <v>64</v>
      </c>
      <c r="G1049" t="n">
        <v>4</v>
      </c>
      <c r="H1049" t="n">
        <v>1</v>
      </c>
      <c r="I1049" t="n">
        <v>0</v>
      </c>
      <c r="J1049" t="n">
        <v>0</v>
      </c>
    </row>
    <row r="1050">
      <c r="A1050" s="5" t="n">
        <v>46029</v>
      </c>
      <c r="B1050" t="inlineStr">
        <is>
          <t>FB-Broad</t>
        </is>
      </c>
      <c r="C1050" t="inlineStr">
        <is>
          <t>meta</t>
        </is>
      </c>
      <c r="D1050" t="n">
        <v>17417</v>
      </c>
      <c r="E1050" t="n">
        <v>12440</v>
      </c>
      <c r="F1050" t="n">
        <v>132</v>
      </c>
      <c r="G1050" t="n">
        <v>1</v>
      </c>
      <c r="H1050" t="n">
        <v>2</v>
      </c>
      <c r="I1050" t="n">
        <v>0</v>
      </c>
      <c r="J1050" t="n">
        <v>0</v>
      </c>
    </row>
    <row r="1051">
      <c r="A1051" s="5" t="n">
        <v>46029</v>
      </c>
      <c r="B1051" t="inlineStr">
        <is>
          <t>google_brand_search</t>
        </is>
      </c>
      <c r="C1051" t="inlineStr">
        <is>
          <t>google</t>
        </is>
      </c>
      <c r="D1051" t="n">
        <v>6390</v>
      </c>
      <c r="E1051" t="n">
        <v>1331</v>
      </c>
      <c r="F1051" t="n">
        <v>68</v>
      </c>
      <c r="G1051" t="n">
        <v>2</v>
      </c>
      <c r="H1051" t="n">
        <v>2</v>
      </c>
      <c r="I1051" t="n">
        <v>1</v>
      </c>
      <c r="J1051" t="n">
        <v>0</v>
      </c>
    </row>
    <row r="1052">
      <c r="A1052" s="5" t="n">
        <v>46029</v>
      </c>
      <c r="B1052" t="inlineStr">
        <is>
          <t>google_nonbrand_growth</t>
        </is>
      </c>
      <c r="C1052" t="inlineStr">
        <is>
          <t>google</t>
        </is>
      </c>
      <c r="D1052" t="n">
        <v>21756</v>
      </c>
      <c r="E1052" t="n">
        <v>4532</v>
      </c>
      <c r="F1052" t="n">
        <v>263</v>
      </c>
      <c r="G1052" t="n">
        <v>6</v>
      </c>
      <c r="H1052" t="n">
        <v>1</v>
      </c>
      <c r="I1052" t="n">
        <v>0</v>
      </c>
      <c r="J1052" t="n">
        <v>0</v>
      </c>
    </row>
    <row r="1053">
      <c r="A1053" s="5" t="n">
        <v>46029</v>
      </c>
      <c r="B1053" t="inlineStr">
        <is>
          <t>linkedin_ceo_abm</t>
        </is>
      </c>
      <c r="C1053" t="inlineStr">
        <is>
          <t>linkedin</t>
        </is>
      </c>
      <c r="D1053" t="n">
        <v>24488</v>
      </c>
      <c r="E1053" t="n">
        <v>4709</v>
      </c>
      <c r="F1053" t="n">
        <v>28</v>
      </c>
      <c r="G1053" t="n">
        <v>0</v>
      </c>
      <c r="H1053" t="n">
        <v>0</v>
      </c>
      <c r="I1053" t="n">
        <v>1</v>
      </c>
      <c r="J1053" t="n">
        <v>0</v>
      </c>
    </row>
    <row r="1054">
      <c r="A1054" s="5" t="n">
        <v>46029</v>
      </c>
      <c r="B1054" t="inlineStr">
        <is>
          <t>meta_prospecting_founder</t>
        </is>
      </c>
      <c r="C1054" t="inlineStr">
        <is>
          <t>meta</t>
        </is>
      </c>
      <c r="D1054" t="n">
        <v>31163</v>
      </c>
      <c r="E1054" t="n">
        <v>22259</v>
      </c>
      <c r="F1054" t="n">
        <v>224</v>
      </c>
      <c r="G1054" t="n">
        <v>7</v>
      </c>
      <c r="H1054" t="n">
        <v>4</v>
      </c>
      <c r="I1054" t="n">
        <v>1</v>
      </c>
      <c r="J1054" t="n">
        <v>0</v>
      </c>
    </row>
    <row r="1055">
      <c r="A1055" s="5" t="n">
        <v>46029</v>
      </c>
      <c r="B1055" t="inlineStr">
        <is>
          <t>meta_retargeting_webinar</t>
        </is>
      </c>
      <c r="C1055" t="inlineStr">
        <is>
          <t>meta</t>
        </is>
      </c>
      <c r="D1055" t="n">
        <v>9408</v>
      </c>
      <c r="E1055" t="n">
        <v>6720</v>
      </c>
      <c r="F1055" t="n">
        <v>81</v>
      </c>
      <c r="G1055" t="n">
        <v>5</v>
      </c>
      <c r="H1055" t="n">
        <v>1</v>
      </c>
      <c r="I1055" t="n">
        <v>1</v>
      </c>
      <c r="J1055" t="n">
        <v>0</v>
      </c>
    </row>
    <row r="1056">
      <c r="A1056" s="5" t="n">
        <v>46030</v>
      </c>
      <c r="B1056" t="inlineStr">
        <is>
          <t>FB-Broad</t>
        </is>
      </c>
      <c r="C1056" t="inlineStr">
        <is>
          <t>meta</t>
        </is>
      </c>
      <c r="D1056" t="n">
        <v>16869</v>
      </c>
      <c r="E1056" t="n">
        <v>12049</v>
      </c>
      <c r="F1056" t="n">
        <v>137</v>
      </c>
      <c r="G1056" t="n">
        <v>3</v>
      </c>
      <c r="H1056" t="n">
        <v>1</v>
      </c>
      <c r="I1056" t="n">
        <v>0</v>
      </c>
      <c r="J1056" t="n">
        <v>1</v>
      </c>
    </row>
    <row r="1057">
      <c r="A1057" s="5" t="n">
        <v>46030</v>
      </c>
      <c r="B1057" t="inlineStr">
        <is>
          <t>google_brand_search</t>
        </is>
      </c>
      <c r="C1057" t="inlineStr">
        <is>
          <t>google</t>
        </is>
      </c>
      <c r="D1057" t="n">
        <v>7503</v>
      </c>
      <c r="E1057" t="n">
        <v>1563</v>
      </c>
      <c r="F1057" t="n">
        <v>77</v>
      </c>
      <c r="G1057" t="n">
        <v>6</v>
      </c>
      <c r="H1057" t="n">
        <v>1</v>
      </c>
      <c r="I1057" t="n">
        <v>1</v>
      </c>
      <c r="J1057" t="n">
        <v>0</v>
      </c>
    </row>
    <row r="1058">
      <c r="A1058" s="5" t="n">
        <v>46030</v>
      </c>
      <c r="B1058" t="inlineStr">
        <is>
          <t>google_nonbrand_growth</t>
        </is>
      </c>
      <c r="C1058" t="inlineStr">
        <is>
          <t>google</t>
        </is>
      </c>
      <c r="D1058" t="n">
        <v>22734</v>
      </c>
      <c r="E1058" t="n">
        <v>4736</v>
      </c>
      <c r="F1058" t="n">
        <v>248</v>
      </c>
      <c r="G1058" t="n">
        <v>5</v>
      </c>
      <c r="H1058" t="n">
        <v>0</v>
      </c>
      <c r="I1058" t="n">
        <v>0</v>
      </c>
      <c r="J1058" t="n">
        <v>0</v>
      </c>
    </row>
    <row r="1059">
      <c r="A1059" s="5" t="n">
        <v>46030</v>
      </c>
      <c r="B1059" t="inlineStr">
        <is>
          <t>linkedin_ceo_abm</t>
        </is>
      </c>
      <c r="C1059" t="inlineStr">
        <is>
          <t>linkedin</t>
        </is>
      </c>
      <c r="D1059" t="n">
        <v>27649</v>
      </c>
      <c r="E1059" t="n">
        <v>5317</v>
      </c>
      <c r="F1059" t="n">
        <v>32</v>
      </c>
      <c r="G1059" t="n">
        <v>2</v>
      </c>
      <c r="H1059" t="n">
        <v>0</v>
      </c>
      <c r="I1059" t="n">
        <v>0</v>
      </c>
      <c r="J1059" t="n">
        <v>0</v>
      </c>
    </row>
    <row r="1060">
      <c r="A1060" s="5" t="n">
        <v>46030</v>
      </c>
      <c r="B1060" t="inlineStr">
        <is>
          <t>meta_prospecting_founder</t>
        </is>
      </c>
      <c r="C1060" t="inlineStr">
        <is>
          <t>meta</t>
        </is>
      </c>
      <c r="D1060" t="n">
        <v>33367</v>
      </c>
      <c r="E1060" t="n">
        <v>23833</v>
      </c>
      <c r="F1060" t="n">
        <v>234</v>
      </c>
      <c r="G1060" t="n">
        <v>8</v>
      </c>
      <c r="H1060" t="n">
        <v>2</v>
      </c>
      <c r="I1060" t="n">
        <v>0</v>
      </c>
      <c r="J1060" t="n">
        <v>0</v>
      </c>
    </row>
    <row r="1061">
      <c r="A1061" s="5" t="n">
        <v>46030</v>
      </c>
      <c r="B1061" t="inlineStr">
        <is>
          <t>meta_retargeting_webinar</t>
        </is>
      </c>
      <c r="C1061" t="inlineStr">
        <is>
          <t>meta</t>
        </is>
      </c>
      <c r="D1061" t="n">
        <v>9208</v>
      </c>
      <c r="E1061" t="n">
        <v>6577</v>
      </c>
      <c r="F1061" t="n">
        <v>74</v>
      </c>
      <c r="G1061" t="n">
        <v>3</v>
      </c>
      <c r="H1061" t="n">
        <v>3</v>
      </c>
      <c r="I1061" t="n">
        <v>0</v>
      </c>
      <c r="J1061" t="n">
        <v>0</v>
      </c>
    </row>
    <row r="1062">
      <c r="A1062" s="5" t="n">
        <v>46031</v>
      </c>
      <c r="B1062" t="inlineStr">
        <is>
          <t>FB-Broad</t>
        </is>
      </c>
      <c r="C1062" t="inlineStr">
        <is>
          <t>meta</t>
        </is>
      </c>
      <c r="D1062" t="n">
        <v>16298</v>
      </c>
      <c r="E1062" t="n">
        <v>11641</v>
      </c>
      <c r="F1062" t="n">
        <v>133</v>
      </c>
      <c r="G1062" t="n">
        <v>4</v>
      </c>
      <c r="H1062" t="n">
        <v>2</v>
      </c>
      <c r="I1062" t="n">
        <v>0</v>
      </c>
      <c r="J1062" t="n">
        <v>0</v>
      </c>
    </row>
    <row r="1063">
      <c r="A1063" s="5" t="n">
        <v>46031</v>
      </c>
      <c r="B1063" t="inlineStr">
        <is>
          <t>google_brand_search</t>
        </is>
      </c>
      <c r="C1063" t="inlineStr">
        <is>
          <t>google</t>
        </is>
      </c>
      <c r="D1063" t="n">
        <v>7136</v>
      </c>
      <c r="E1063" t="n">
        <v>1486</v>
      </c>
      <c r="F1063" t="n">
        <v>68</v>
      </c>
      <c r="G1063" t="n">
        <v>6</v>
      </c>
      <c r="H1063" t="n">
        <v>3</v>
      </c>
      <c r="I1063" t="n">
        <v>0</v>
      </c>
      <c r="J1063" t="n">
        <v>0</v>
      </c>
    </row>
    <row r="1064">
      <c r="A1064" s="5" t="n">
        <v>46031</v>
      </c>
      <c r="B1064" t="inlineStr">
        <is>
          <t>google_nonbrand_growth</t>
        </is>
      </c>
      <c r="C1064" t="inlineStr">
        <is>
          <t>google</t>
        </is>
      </c>
      <c r="D1064" t="n">
        <v>21758</v>
      </c>
      <c r="E1064" t="n">
        <v>4532</v>
      </c>
      <c r="F1064" t="n">
        <v>200</v>
      </c>
      <c r="G1064" t="n">
        <v>3</v>
      </c>
      <c r="H1064" t="n">
        <v>1</v>
      </c>
      <c r="I1064" t="n">
        <v>0</v>
      </c>
      <c r="J1064" t="n">
        <v>0</v>
      </c>
    </row>
    <row r="1065">
      <c r="A1065" s="5" t="n">
        <v>46031</v>
      </c>
      <c r="B1065" t="inlineStr">
        <is>
          <t>linkedin_ceo_abm</t>
        </is>
      </c>
      <c r="C1065" t="inlineStr">
        <is>
          <t>linkedin</t>
        </is>
      </c>
      <c r="D1065" t="n">
        <v>27425</v>
      </c>
      <c r="E1065" t="n">
        <v>5274</v>
      </c>
      <c r="F1065" t="n">
        <v>32</v>
      </c>
      <c r="G1065" t="n">
        <v>0</v>
      </c>
      <c r="H1065" t="n">
        <v>0</v>
      </c>
      <c r="I1065" t="n">
        <v>1</v>
      </c>
      <c r="J1065" t="n">
        <v>0</v>
      </c>
    </row>
    <row r="1066">
      <c r="A1066" s="5" t="n">
        <v>46031</v>
      </c>
      <c r="B1066" t="inlineStr">
        <is>
          <t>meta_prospecting_founder</t>
        </is>
      </c>
      <c r="C1066" t="inlineStr">
        <is>
          <t>meta</t>
        </is>
      </c>
      <c r="D1066" t="n">
        <v>30579</v>
      </c>
      <c r="E1066" t="n">
        <v>21842</v>
      </c>
      <c r="F1066" t="n">
        <v>241</v>
      </c>
      <c r="G1066" t="n">
        <v>10</v>
      </c>
      <c r="H1066" t="n">
        <v>0</v>
      </c>
      <c r="I1066" t="n">
        <v>1</v>
      </c>
      <c r="J1066" t="n">
        <v>0</v>
      </c>
    </row>
    <row r="1067">
      <c r="A1067" s="5" t="n">
        <v>46031</v>
      </c>
      <c r="B1067" t="inlineStr">
        <is>
          <t>meta_retargeting_webinar</t>
        </is>
      </c>
      <c r="C1067" t="inlineStr">
        <is>
          <t>meta</t>
        </is>
      </c>
      <c r="D1067" t="n">
        <v>9026</v>
      </c>
      <c r="E1067" t="n">
        <v>6447</v>
      </c>
      <c r="F1067" t="n">
        <v>62</v>
      </c>
      <c r="G1067" t="n">
        <v>5</v>
      </c>
      <c r="H1067" t="n">
        <v>3</v>
      </c>
      <c r="I1067" t="n">
        <v>0</v>
      </c>
      <c r="J1067" t="n">
        <v>0</v>
      </c>
    </row>
    <row r="1068">
      <c r="A1068" s="5" t="n">
        <v>46032</v>
      </c>
      <c r="B1068" t="inlineStr">
        <is>
          <t>FB-Broad</t>
        </is>
      </c>
      <c r="C1068" t="inlineStr">
        <is>
          <t>meta</t>
        </is>
      </c>
      <c r="D1068" t="n">
        <v>15900</v>
      </c>
      <c r="E1068" t="n">
        <v>11357</v>
      </c>
      <c r="F1068" t="n">
        <v>113</v>
      </c>
      <c r="G1068" t="n">
        <v>1</v>
      </c>
      <c r="H1068" t="n">
        <v>0</v>
      </c>
      <c r="I1068" t="n">
        <v>0</v>
      </c>
      <c r="J1068" t="n">
        <v>0</v>
      </c>
    </row>
    <row r="1069">
      <c r="A1069" s="5" t="n">
        <v>46032</v>
      </c>
      <c r="B1069" t="inlineStr">
        <is>
          <t>google_brand_search</t>
        </is>
      </c>
      <c r="C1069" t="inlineStr">
        <is>
          <t>google</t>
        </is>
      </c>
      <c r="D1069" t="n">
        <v>6432</v>
      </c>
      <c r="E1069" t="n">
        <v>1339</v>
      </c>
      <c r="F1069" t="n">
        <v>75</v>
      </c>
      <c r="G1069" t="n">
        <v>2</v>
      </c>
      <c r="H1069" t="n">
        <v>2</v>
      </c>
      <c r="I1069" t="n">
        <v>1</v>
      </c>
      <c r="J1069" t="n">
        <v>0</v>
      </c>
    </row>
    <row r="1070">
      <c r="A1070" s="5" t="n">
        <v>46032</v>
      </c>
      <c r="B1070" t="inlineStr">
        <is>
          <t>google_nonbrand_growth</t>
        </is>
      </c>
      <c r="C1070" t="inlineStr">
        <is>
          <t>google</t>
        </is>
      </c>
      <c r="D1070" t="n">
        <v>24713</v>
      </c>
      <c r="E1070" t="n">
        <v>5148</v>
      </c>
      <c r="F1070" t="n">
        <v>244</v>
      </c>
      <c r="G1070" t="n">
        <v>7</v>
      </c>
      <c r="H1070" t="n">
        <v>0</v>
      </c>
      <c r="I1070" t="n">
        <v>0</v>
      </c>
      <c r="J1070" t="n">
        <v>0</v>
      </c>
    </row>
    <row r="1071">
      <c r="A1071" s="5" t="n">
        <v>46032</v>
      </c>
      <c r="B1071" t="inlineStr">
        <is>
          <t>linkedin_ceo_abm</t>
        </is>
      </c>
      <c r="C1071" t="inlineStr">
        <is>
          <t>linkedin</t>
        </is>
      </c>
      <c r="D1071" t="n">
        <v>24205</v>
      </c>
      <c r="E1071" t="n">
        <v>4654</v>
      </c>
      <c r="F1071" t="n">
        <v>29</v>
      </c>
      <c r="G1071" t="n">
        <v>0</v>
      </c>
      <c r="H1071" t="n">
        <v>0</v>
      </c>
      <c r="I1071" t="n">
        <v>0</v>
      </c>
      <c r="J1071" t="n">
        <v>0</v>
      </c>
    </row>
    <row r="1072">
      <c r="A1072" s="5" t="n">
        <v>46032</v>
      </c>
      <c r="B1072" t="inlineStr">
        <is>
          <t>meta_prospecting_founder</t>
        </is>
      </c>
      <c r="C1072" t="inlineStr">
        <is>
          <t>meta</t>
        </is>
      </c>
      <c r="D1072" t="n">
        <v>30941</v>
      </c>
      <c r="E1072" t="n">
        <v>22100</v>
      </c>
      <c r="F1072" t="n">
        <v>236</v>
      </c>
      <c r="G1072" t="n">
        <v>6</v>
      </c>
      <c r="H1072" t="n">
        <v>1</v>
      </c>
      <c r="I1072" t="n">
        <v>1</v>
      </c>
      <c r="J1072" t="n">
        <v>0</v>
      </c>
    </row>
    <row r="1073">
      <c r="A1073" s="5" t="n">
        <v>46032</v>
      </c>
      <c r="B1073" t="inlineStr">
        <is>
          <t>meta_retargeting_webinar</t>
        </is>
      </c>
      <c r="C1073" t="inlineStr">
        <is>
          <t>meta</t>
        </is>
      </c>
      <c r="D1073" t="n">
        <v>9940</v>
      </c>
      <c r="E1073" t="n">
        <v>7100</v>
      </c>
      <c r="F1073" t="n">
        <v>81</v>
      </c>
      <c r="G1073" t="n">
        <v>3</v>
      </c>
      <c r="H1073" t="n">
        <v>3</v>
      </c>
      <c r="I1073" t="n">
        <v>0</v>
      </c>
      <c r="J1073" t="n">
        <v>1</v>
      </c>
    </row>
    <row r="1074">
      <c r="A1074" s="5" t="n">
        <v>46033</v>
      </c>
      <c r="B1074" t="inlineStr">
        <is>
          <t>FB-Broad</t>
        </is>
      </c>
      <c r="C1074" t="inlineStr">
        <is>
          <t>meta</t>
        </is>
      </c>
      <c r="D1074" t="n">
        <v>17598</v>
      </c>
      <c r="E1074" t="n">
        <v>12569</v>
      </c>
      <c r="F1074" t="n">
        <v>128</v>
      </c>
      <c r="G1074" t="n">
        <v>8</v>
      </c>
      <c r="H1074" t="n">
        <v>0</v>
      </c>
      <c r="I1074" t="n">
        <v>2</v>
      </c>
      <c r="J1074" t="n">
        <v>0</v>
      </c>
    </row>
    <row r="1075">
      <c r="A1075" s="5" t="n">
        <v>46033</v>
      </c>
      <c r="B1075" t="inlineStr">
        <is>
          <t>google_brand_search</t>
        </is>
      </c>
      <c r="C1075" t="inlineStr">
        <is>
          <t>google</t>
        </is>
      </c>
      <c r="D1075" t="n">
        <v>7520</v>
      </c>
      <c r="E1075" t="n">
        <v>1566</v>
      </c>
      <c r="F1075" t="n">
        <v>69</v>
      </c>
      <c r="G1075" t="n">
        <v>0</v>
      </c>
      <c r="H1075" t="n">
        <v>0</v>
      </c>
      <c r="I1075" t="n">
        <v>1</v>
      </c>
      <c r="J1075" t="n">
        <v>0</v>
      </c>
    </row>
    <row r="1076">
      <c r="A1076" s="5" t="n">
        <v>46033</v>
      </c>
      <c r="B1076" t="inlineStr">
        <is>
          <t>google_nonbrand_growth</t>
        </is>
      </c>
      <c r="C1076" t="inlineStr">
        <is>
          <t>google</t>
        </is>
      </c>
      <c r="D1076" t="n">
        <v>24510</v>
      </c>
      <c r="E1076" t="n">
        <v>5106</v>
      </c>
      <c r="F1076" t="n">
        <v>258</v>
      </c>
      <c r="G1076" t="n">
        <v>1</v>
      </c>
      <c r="H1076" t="n">
        <v>2</v>
      </c>
      <c r="I1076" t="n">
        <v>0</v>
      </c>
      <c r="J1076" t="n">
        <v>1</v>
      </c>
    </row>
    <row r="1077">
      <c r="A1077" s="5" t="n">
        <v>46033</v>
      </c>
      <c r="B1077" t="inlineStr">
        <is>
          <t>linkedin_ceo_abm</t>
        </is>
      </c>
      <c r="C1077" t="inlineStr">
        <is>
          <t>linkedin</t>
        </is>
      </c>
      <c r="D1077" t="n">
        <v>24230</v>
      </c>
      <c r="E1077" t="n">
        <v>4659</v>
      </c>
      <c r="F1077" t="n">
        <v>30</v>
      </c>
      <c r="G1077" t="n">
        <v>3</v>
      </c>
      <c r="H1077" t="n">
        <v>0</v>
      </c>
      <c r="I1077" t="n">
        <v>0</v>
      </c>
      <c r="J1077" t="n">
        <v>0</v>
      </c>
    </row>
    <row r="1078">
      <c r="A1078" s="5" t="n">
        <v>46033</v>
      </c>
      <c r="B1078" t="inlineStr">
        <is>
          <t>meta_prospecting_founder</t>
        </is>
      </c>
      <c r="C1078" t="inlineStr">
        <is>
          <t>meta</t>
        </is>
      </c>
      <c r="D1078" t="n">
        <v>33047</v>
      </c>
      <c r="E1078" t="n">
        <v>23605</v>
      </c>
      <c r="F1078" t="n">
        <v>270</v>
      </c>
      <c r="G1078" t="n">
        <v>5</v>
      </c>
      <c r="H1078" t="n">
        <v>2</v>
      </c>
      <c r="I1078" t="n">
        <v>2</v>
      </c>
      <c r="J1078" t="n">
        <v>0</v>
      </c>
    </row>
    <row r="1079">
      <c r="A1079" s="5" t="n">
        <v>46033</v>
      </c>
      <c r="B1079" t="inlineStr">
        <is>
          <t>meta_retargeting_webinar</t>
        </is>
      </c>
      <c r="C1079" t="inlineStr">
        <is>
          <t>meta</t>
        </is>
      </c>
      <c r="D1079" t="n">
        <v>9140</v>
      </c>
      <c r="E1079" t="n">
        <v>6528</v>
      </c>
      <c r="F1079" t="n">
        <v>73</v>
      </c>
      <c r="G1079" t="n">
        <v>3</v>
      </c>
      <c r="H1079" t="n">
        <v>2</v>
      </c>
      <c r="I1079" t="n">
        <v>1</v>
      </c>
      <c r="J1079" t="n">
        <v>1</v>
      </c>
    </row>
    <row r="1080">
      <c r="A1080" s="5" t="n">
        <v>46034</v>
      </c>
      <c r="B1080" t="inlineStr">
        <is>
          <t>FB-Broad</t>
        </is>
      </c>
      <c r="C1080" t="inlineStr">
        <is>
          <t>meta</t>
        </is>
      </c>
      <c r="D1080" t="n">
        <v>16833</v>
      </c>
      <c r="E1080" t="n">
        <v>12023</v>
      </c>
      <c r="F1080" t="n">
        <v>141</v>
      </c>
      <c r="G1080" t="n">
        <v>3</v>
      </c>
      <c r="H1080" t="n">
        <v>1</v>
      </c>
      <c r="I1080" t="n">
        <v>0</v>
      </c>
      <c r="J1080" t="n">
        <v>0</v>
      </c>
    </row>
    <row r="1081">
      <c r="A1081" s="5" t="n">
        <v>46034</v>
      </c>
      <c r="B1081" t="inlineStr">
        <is>
          <t>google_brand_search</t>
        </is>
      </c>
      <c r="C1081" t="inlineStr">
        <is>
          <t>google</t>
        </is>
      </c>
      <c r="D1081" t="n">
        <v>6739</v>
      </c>
      <c r="E1081" t="n">
        <v>1403</v>
      </c>
      <c r="F1081" t="n">
        <v>70</v>
      </c>
      <c r="G1081" t="n">
        <v>4</v>
      </c>
      <c r="H1081" t="n">
        <v>1</v>
      </c>
      <c r="I1081" t="n">
        <v>1</v>
      </c>
      <c r="J1081" t="n">
        <v>0</v>
      </c>
    </row>
    <row r="1082">
      <c r="A1082" s="5" t="n">
        <v>46034</v>
      </c>
      <c r="B1082" t="inlineStr">
        <is>
          <t>google_nonbrand_growth</t>
        </is>
      </c>
      <c r="C1082" t="inlineStr">
        <is>
          <t>google</t>
        </is>
      </c>
      <c r="D1082" t="n">
        <v>21304</v>
      </c>
      <c r="E1082" t="n">
        <v>4438</v>
      </c>
      <c r="F1082" t="n">
        <v>201</v>
      </c>
      <c r="G1082" t="n">
        <v>3</v>
      </c>
      <c r="H1082" t="n">
        <v>0</v>
      </c>
      <c r="I1082" t="n">
        <v>0</v>
      </c>
      <c r="J1082" t="n">
        <v>0</v>
      </c>
    </row>
    <row r="1083">
      <c r="A1083" s="5" t="n">
        <v>46034</v>
      </c>
      <c r="B1083" t="inlineStr">
        <is>
          <t>linkedin_ceo_abm</t>
        </is>
      </c>
      <c r="C1083" t="inlineStr">
        <is>
          <t>linkedin</t>
        </is>
      </c>
      <c r="D1083" t="n">
        <v>26245</v>
      </c>
      <c r="E1083" t="n">
        <v>5047</v>
      </c>
      <c r="F1083" t="n">
        <v>34</v>
      </c>
      <c r="G1083" t="n">
        <v>0</v>
      </c>
      <c r="H1083" t="n">
        <v>2</v>
      </c>
      <c r="I1083" t="n">
        <v>0</v>
      </c>
      <c r="J1083" t="n">
        <v>0</v>
      </c>
    </row>
    <row r="1084">
      <c r="A1084" s="5" t="n">
        <v>46034</v>
      </c>
      <c r="B1084" t="inlineStr">
        <is>
          <t>meta_prospecting_founder</t>
        </is>
      </c>
      <c r="C1084" t="inlineStr">
        <is>
          <t>meta</t>
        </is>
      </c>
      <c r="D1084" t="n">
        <v>31354</v>
      </c>
      <c r="E1084" t="n">
        <v>22395</v>
      </c>
      <c r="F1084" t="n">
        <v>235</v>
      </c>
      <c r="G1084" t="n">
        <v>3</v>
      </c>
      <c r="H1084" t="n">
        <v>1</v>
      </c>
      <c r="I1084" t="n">
        <v>0</v>
      </c>
      <c r="J1084" t="n">
        <v>0</v>
      </c>
    </row>
    <row r="1085">
      <c r="A1085" s="5" t="n">
        <v>46034</v>
      </c>
      <c r="B1085" t="inlineStr">
        <is>
          <t>meta_retargeting_webinar</t>
        </is>
      </c>
      <c r="C1085" t="inlineStr">
        <is>
          <t>meta</t>
        </is>
      </c>
      <c r="D1085" t="n">
        <v>10220</v>
      </c>
      <c r="E1085" t="n">
        <v>7300</v>
      </c>
      <c r="F1085" t="n">
        <v>92</v>
      </c>
      <c r="G1085" t="n">
        <v>6</v>
      </c>
      <c r="H1085" t="n">
        <v>1</v>
      </c>
      <c r="I1085" t="n">
        <v>1</v>
      </c>
      <c r="J1085" t="n">
        <v>0</v>
      </c>
    </row>
    <row r="1086">
      <c r="A1086" s="5" t="n">
        <v>46035</v>
      </c>
      <c r="B1086" t="inlineStr">
        <is>
          <t>FB-Broad</t>
        </is>
      </c>
      <c r="C1086" t="inlineStr">
        <is>
          <t>meta</t>
        </is>
      </c>
      <c r="D1086" t="n">
        <v>16133</v>
      </c>
      <c r="E1086" t="n">
        <v>11523</v>
      </c>
      <c r="F1086" t="n">
        <v>110</v>
      </c>
      <c r="G1086" t="n">
        <v>7</v>
      </c>
      <c r="H1086" t="n">
        <v>3</v>
      </c>
      <c r="I1086" t="n">
        <v>0</v>
      </c>
      <c r="J1086" t="n">
        <v>0</v>
      </c>
    </row>
    <row r="1087">
      <c r="A1087" s="5" t="n">
        <v>46035</v>
      </c>
      <c r="B1087" t="inlineStr">
        <is>
          <t>google_brand_search</t>
        </is>
      </c>
      <c r="C1087" t="inlineStr">
        <is>
          <t>google</t>
        </is>
      </c>
      <c r="D1087" t="n">
        <v>6253</v>
      </c>
      <c r="E1087" t="n">
        <v>1302</v>
      </c>
      <c r="F1087" t="n">
        <v>64</v>
      </c>
      <c r="G1087" t="n">
        <v>2</v>
      </c>
      <c r="H1087" t="n">
        <v>2</v>
      </c>
      <c r="I1087" t="n">
        <v>0</v>
      </c>
      <c r="J1087" t="n">
        <v>0</v>
      </c>
    </row>
    <row r="1088">
      <c r="A1088" s="5" t="n">
        <v>46035</v>
      </c>
      <c r="B1088" t="inlineStr">
        <is>
          <t>google_nonbrand_growth</t>
        </is>
      </c>
      <c r="C1088" t="inlineStr">
        <is>
          <t>google</t>
        </is>
      </c>
      <c r="D1088" t="n">
        <v>21940</v>
      </c>
      <c r="E1088" t="n">
        <v>4570</v>
      </c>
      <c r="F1088" t="n">
        <v>202</v>
      </c>
      <c r="G1088" t="n">
        <v>0</v>
      </c>
      <c r="H1088" t="n">
        <v>2</v>
      </c>
      <c r="I1088" t="n">
        <v>1</v>
      </c>
      <c r="J1088" t="n">
        <v>0</v>
      </c>
    </row>
    <row r="1089">
      <c r="A1089" s="5" t="n">
        <v>46035</v>
      </c>
      <c r="B1089" t="inlineStr">
        <is>
          <t>linkedin_ceo_abm</t>
        </is>
      </c>
      <c r="C1089" t="inlineStr">
        <is>
          <t>linkedin</t>
        </is>
      </c>
      <c r="D1089" t="n">
        <v>26820</v>
      </c>
      <c r="E1089" t="n">
        <v>5157</v>
      </c>
      <c r="F1089" t="n">
        <v>36</v>
      </c>
      <c r="G1089" t="n">
        <v>2</v>
      </c>
      <c r="H1089" t="n">
        <v>0</v>
      </c>
      <c r="I1089" t="n">
        <v>0</v>
      </c>
      <c r="J1089" t="n">
        <v>0</v>
      </c>
    </row>
    <row r="1090">
      <c r="A1090" s="5" t="n">
        <v>46035</v>
      </c>
      <c r="B1090" t="inlineStr">
        <is>
          <t>meta_prospecting_founder</t>
        </is>
      </c>
      <c r="C1090" t="inlineStr">
        <is>
          <t>meta</t>
        </is>
      </c>
      <c r="D1090" t="n">
        <v>34431</v>
      </c>
      <c r="E1090" t="n">
        <v>24593</v>
      </c>
      <c r="F1090" t="n">
        <v>280</v>
      </c>
      <c r="G1090" t="n">
        <v>8</v>
      </c>
      <c r="H1090" t="n">
        <v>0</v>
      </c>
      <c r="I1090" t="n">
        <v>1</v>
      </c>
      <c r="J1090" t="n">
        <v>0</v>
      </c>
    </row>
    <row r="1091">
      <c r="A1091" s="5" t="n">
        <v>46035</v>
      </c>
      <c r="B1091" t="inlineStr">
        <is>
          <t>meta_retargeting_webinar</t>
        </is>
      </c>
      <c r="C1091" t="inlineStr">
        <is>
          <t>meta</t>
        </is>
      </c>
      <c r="D1091" t="n">
        <v>9761</v>
      </c>
      <c r="E1091" t="n">
        <v>6972</v>
      </c>
      <c r="F1091" t="n">
        <v>73</v>
      </c>
      <c r="G1091" t="n">
        <v>2</v>
      </c>
      <c r="H1091" t="n">
        <v>2</v>
      </c>
      <c r="I1091" t="n">
        <v>1</v>
      </c>
      <c r="J1091" t="n">
        <v>0</v>
      </c>
    </row>
    <row r="1092">
      <c r="A1092" s="5" t="n">
        <v>46036</v>
      </c>
      <c r="B1092" t="inlineStr">
        <is>
          <t>FB-Broad</t>
        </is>
      </c>
      <c r="C1092" t="inlineStr">
        <is>
          <t>meta</t>
        </is>
      </c>
      <c r="D1092" t="n">
        <v>16923</v>
      </c>
      <c r="E1092" t="n">
        <v>12087</v>
      </c>
      <c r="F1092" t="n">
        <v>113</v>
      </c>
      <c r="G1092" t="n">
        <v>7</v>
      </c>
      <c r="H1092" t="n">
        <v>0</v>
      </c>
      <c r="I1092" t="n">
        <v>0</v>
      </c>
      <c r="J1092" t="n">
        <v>0</v>
      </c>
    </row>
    <row r="1093">
      <c r="A1093" s="5" t="n">
        <v>46036</v>
      </c>
      <c r="B1093" t="inlineStr">
        <is>
          <t>google_brand_search</t>
        </is>
      </c>
      <c r="C1093" t="inlineStr">
        <is>
          <t>google</t>
        </is>
      </c>
      <c r="D1093" t="n">
        <v>6595</v>
      </c>
      <c r="E1093" t="n">
        <v>1373</v>
      </c>
      <c r="F1093" t="n">
        <v>66</v>
      </c>
      <c r="G1093" t="n">
        <v>5</v>
      </c>
      <c r="H1093" t="n">
        <v>3</v>
      </c>
      <c r="I1093" t="n">
        <v>0</v>
      </c>
      <c r="J1093" t="n">
        <v>0</v>
      </c>
    </row>
    <row r="1094">
      <c r="A1094" s="5" t="n">
        <v>46036</v>
      </c>
      <c r="B1094" t="inlineStr">
        <is>
          <t>google_nonbrand_growth</t>
        </is>
      </c>
      <c r="C1094" t="inlineStr">
        <is>
          <t>google</t>
        </is>
      </c>
      <c r="D1094" t="n">
        <v>24374</v>
      </c>
      <c r="E1094" t="n">
        <v>5077</v>
      </c>
      <c r="F1094" t="n">
        <v>235</v>
      </c>
      <c r="G1094" t="n">
        <v>1</v>
      </c>
      <c r="H1094" t="n">
        <v>0</v>
      </c>
      <c r="I1094" t="n">
        <v>0</v>
      </c>
      <c r="J1094" t="n">
        <v>0</v>
      </c>
    </row>
    <row r="1095">
      <c r="A1095" s="5" t="n">
        <v>46036</v>
      </c>
      <c r="B1095" t="inlineStr">
        <is>
          <t>linkedin_ceo_abm</t>
        </is>
      </c>
      <c r="C1095" t="inlineStr">
        <is>
          <t>linkedin</t>
        </is>
      </c>
      <c r="D1095" t="n">
        <v>26130</v>
      </c>
      <c r="E1095" t="n">
        <v>5025</v>
      </c>
      <c r="F1095" t="n">
        <v>34</v>
      </c>
      <c r="G1095" t="n">
        <v>0</v>
      </c>
      <c r="H1095" t="n">
        <v>0</v>
      </c>
      <c r="I1095" t="n">
        <v>1</v>
      </c>
      <c r="J1095" t="n">
        <v>0</v>
      </c>
    </row>
    <row r="1096">
      <c r="A1096" s="5" t="n">
        <v>46036</v>
      </c>
      <c r="B1096" t="inlineStr">
        <is>
          <t>meta_prospecting_founder</t>
        </is>
      </c>
      <c r="C1096" t="inlineStr">
        <is>
          <t>meta</t>
        </is>
      </c>
      <c r="D1096" t="n">
        <v>33402</v>
      </c>
      <c r="E1096" t="n">
        <v>23858</v>
      </c>
      <c r="F1096" t="n">
        <v>301</v>
      </c>
      <c r="G1096" t="n">
        <v>5</v>
      </c>
      <c r="H1096" t="n">
        <v>0</v>
      </c>
      <c r="I1096" t="n">
        <v>2</v>
      </c>
      <c r="J1096" t="n">
        <v>0</v>
      </c>
    </row>
    <row r="1097">
      <c r="A1097" s="5" t="n">
        <v>46036</v>
      </c>
      <c r="B1097" t="inlineStr">
        <is>
          <t>meta_retargeting_webinar</t>
        </is>
      </c>
      <c r="C1097" t="inlineStr">
        <is>
          <t>meta</t>
        </is>
      </c>
      <c r="D1097" t="n">
        <v>9270</v>
      </c>
      <c r="E1097" t="n">
        <v>6621</v>
      </c>
      <c r="F1097" t="n">
        <v>67</v>
      </c>
      <c r="G1097" t="n">
        <v>5</v>
      </c>
      <c r="H1097" t="n">
        <v>1</v>
      </c>
      <c r="I1097" t="n">
        <v>0</v>
      </c>
      <c r="J1097" t="n">
        <v>0</v>
      </c>
    </row>
    <row r="1098">
      <c r="A1098" s="5" t="n">
        <v>46037</v>
      </c>
      <c r="B1098" t="inlineStr">
        <is>
          <t>FB-Broad</t>
        </is>
      </c>
      <c r="C1098" t="inlineStr">
        <is>
          <t>meta</t>
        </is>
      </c>
      <c r="D1098" t="n">
        <v>16124</v>
      </c>
      <c r="E1098" t="n">
        <v>11517</v>
      </c>
      <c r="F1098" t="n">
        <v>132</v>
      </c>
      <c r="G1098" t="n">
        <v>1</v>
      </c>
      <c r="H1098" t="n">
        <v>0</v>
      </c>
      <c r="I1098" t="n">
        <v>1</v>
      </c>
      <c r="J1098" t="n">
        <v>0</v>
      </c>
    </row>
    <row r="1099">
      <c r="A1099" s="5" t="n">
        <v>46037</v>
      </c>
      <c r="B1099" t="inlineStr">
        <is>
          <t>google_brand_search</t>
        </is>
      </c>
      <c r="C1099" t="inlineStr">
        <is>
          <t>google</t>
        </is>
      </c>
      <c r="D1099" t="n">
        <v>6819</v>
      </c>
      <c r="E1099" t="n">
        <v>1420</v>
      </c>
      <c r="F1099" t="n">
        <v>78</v>
      </c>
      <c r="G1099" t="n">
        <v>4</v>
      </c>
      <c r="H1099" t="n">
        <v>1</v>
      </c>
      <c r="I1099" t="n">
        <v>0</v>
      </c>
      <c r="J1099" t="n">
        <v>0</v>
      </c>
    </row>
    <row r="1100">
      <c r="A1100" s="5" t="n">
        <v>46037</v>
      </c>
      <c r="B1100" t="inlineStr">
        <is>
          <t>google_nonbrand_growth</t>
        </is>
      </c>
      <c r="C1100" t="inlineStr">
        <is>
          <t>google</t>
        </is>
      </c>
      <c r="D1100" t="n">
        <v>20687</v>
      </c>
      <c r="E1100" t="n">
        <v>4309</v>
      </c>
      <c r="F1100" t="n">
        <v>243</v>
      </c>
      <c r="G1100" t="n">
        <v>9</v>
      </c>
      <c r="H1100" t="n">
        <v>0</v>
      </c>
      <c r="I1100" t="n">
        <v>1</v>
      </c>
      <c r="J1100" t="n">
        <v>0</v>
      </c>
    </row>
    <row r="1101">
      <c r="A1101" s="5" t="n">
        <v>46037</v>
      </c>
      <c r="B1101" t="inlineStr">
        <is>
          <t>linkedin_ceo_abm</t>
        </is>
      </c>
      <c r="C1101" t="inlineStr">
        <is>
          <t>linkedin</t>
        </is>
      </c>
      <c r="D1101" t="n">
        <v>24153</v>
      </c>
      <c r="E1101" t="n">
        <v>4644</v>
      </c>
      <c r="F1101" t="n">
        <v>31</v>
      </c>
      <c r="G1101" t="n">
        <v>2</v>
      </c>
      <c r="H1101" t="n">
        <v>0</v>
      </c>
      <c r="I1101" t="n">
        <v>0</v>
      </c>
      <c r="J1101" t="n">
        <v>0</v>
      </c>
    </row>
    <row r="1102">
      <c r="A1102" s="5" t="n">
        <v>46037</v>
      </c>
      <c r="B1102" t="inlineStr">
        <is>
          <t>meta_prospecting_founder</t>
        </is>
      </c>
      <c r="C1102" t="inlineStr">
        <is>
          <t>meta</t>
        </is>
      </c>
      <c r="D1102" t="n">
        <v>31754</v>
      </c>
      <c r="E1102" t="n">
        <v>22681</v>
      </c>
      <c r="F1102" t="n">
        <v>223</v>
      </c>
      <c r="G1102" t="n">
        <v>8</v>
      </c>
      <c r="H1102" t="n">
        <v>1</v>
      </c>
      <c r="I1102" t="n">
        <v>0</v>
      </c>
      <c r="J1102" t="n">
        <v>0</v>
      </c>
    </row>
    <row r="1103">
      <c r="A1103" s="5" t="n">
        <v>46037</v>
      </c>
      <c r="B1103" t="inlineStr">
        <is>
          <t>meta_retargeting_webinar</t>
        </is>
      </c>
      <c r="C1103" t="inlineStr">
        <is>
          <t>meta</t>
        </is>
      </c>
      <c r="D1103" t="n">
        <v>8544</v>
      </c>
      <c r="E1103" t="n">
        <v>6102</v>
      </c>
      <c r="F1103" t="n">
        <v>60</v>
      </c>
      <c r="G1103" t="n">
        <v>4</v>
      </c>
      <c r="H1103" t="n">
        <v>1</v>
      </c>
      <c r="I1103" t="n">
        <v>2</v>
      </c>
      <c r="J1103" t="n">
        <v>0</v>
      </c>
    </row>
    <row r="1104">
      <c r="A1104" s="5" t="n">
        <v>46038</v>
      </c>
      <c r="B1104" t="inlineStr">
        <is>
          <t>FB-Broad</t>
        </is>
      </c>
      <c r="C1104" t="inlineStr">
        <is>
          <t>meta</t>
        </is>
      </c>
      <c r="D1104" t="n">
        <v>17767</v>
      </c>
      <c r="E1104" t="n">
        <v>12690</v>
      </c>
      <c r="F1104" t="n">
        <v>151</v>
      </c>
      <c r="G1104" t="n">
        <v>3</v>
      </c>
      <c r="H1104" t="n">
        <v>0</v>
      </c>
      <c r="I1104" t="n">
        <v>0</v>
      </c>
      <c r="J1104" t="n">
        <v>0</v>
      </c>
    </row>
    <row r="1105">
      <c r="A1105" s="5" t="n">
        <v>46038</v>
      </c>
      <c r="B1105" t="inlineStr">
        <is>
          <t>google_brand_search</t>
        </is>
      </c>
      <c r="C1105" t="inlineStr">
        <is>
          <t>google</t>
        </is>
      </c>
      <c r="D1105" t="n">
        <v>6512</v>
      </c>
      <c r="E1105" t="n">
        <v>1356</v>
      </c>
      <c r="F1105" t="n">
        <v>60</v>
      </c>
      <c r="G1105" t="n">
        <v>4</v>
      </c>
      <c r="H1105" t="n">
        <v>1</v>
      </c>
      <c r="I1105" t="n">
        <v>0</v>
      </c>
      <c r="J1105" t="n">
        <v>0</v>
      </c>
    </row>
    <row r="1106">
      <c r="A1106" s="5" t="n">
        <v>46038</v>
      </c>
      <c r="B1106" t="inlineStr">
        <is>
          <t>google_nonbrand_growth</t>
        </is>
      </c>
      <c r="C1106" t="inlineStr">
        <is>
          <t>google</t>
        </is>
      </c>
      <c r="D1106" t="n">
        <v>23710</v>
      </c>
      <c r="E1106" t="n">
        <v>4939</v>
      </c>
      <c r="F1106" t="n">
        <v>262</v>
      </c>
      <c r="G1106" t="n">
        <v>7</v>
      </c>
      <c r="H1106" t="n">
        <v>2</v>
      </c>
      <c r="I1106" t="n">
        <v>0</v>
      </c>
      <c r="J1106" t="n">
        <v>0</v>
      </c>
    </row>
    <row r="1107">
      <c r="A1107" s="5" t="n">
        <v>46038</v>
      </c>
      <c r="B1107" t="inlineStr">
        <is>
          <t>linkedin_ceo_abm</t>
        </is>
      </c>
      <c r="C1107" t="inlineStr">
        <is>
          <t>linkedin</t>
        </is>
      </c>
      <c r="D1107" t="n">
        <v>23428</v>
      </c>
      <c r="E1107" t="n">
        <v>4505</v>
      </c>
      <c r="F1107" t="n">
        <v>33</v>
      </c>
      <c r="G1107" t="n">
        <v>2</v>
      </c>
      <c r="H1107" t="n">
        <v>1</v>
      </c>
      <c r="I1107" t="n">
        <v>0</v>
      </c>
      <c r="J1107" t="n">
        <v>0</v>
      </c>
    </row>
    <row r="1108">
      <c r="A1108" s="5" t="n">
        <v>46038</v>
      </c>
      <c r="B1108" t="inlineStr">
        <is>
          <t>meta_prospecting_founder</t>
        </is>
      </c>
      <c r="C1108" t="inlineStr">
        <is>
          <t>meta</t>
        </is>
      </c>
      <c r="D1108" t="n">
        <v>32496</v>
      </c>
      <c r="E1108" t="n">
        <v>23211</v>
      </c>
      <c r="F1108" t="n">
        <v>264</v>
      </c>
      <c r="G1108" t="n">
        <v>9</v>
      </c>
      <c r="H1108" t="n">
        <v>3</v>
      </c>
      <c r="I1108" t="n">
        <v>0</v>
      </c>
      <c r="J1108" t="n">
        <v>0</v>
      </c>
    </row>
    <row r="1109">
      <c r="A1109" s="5" t="n">
        <v>46038</v>
      </c>
      <c r="B1109" t="inlineStr">
        <is>
          <t>meta_retargeting_webinar</t>
        </is>
      </c>
      <c r="C1109" t="inlineStr">
        <is>
          <t>meta</t>
        </is>
      </c>
      <c r="D1109" t="n">
        <v>9992</v>
      </c>
      <c r="E1109" t="n">
        <v>7137</v>
      </c>
      <c r="F1109" t="n">
        <v>76</v>
      </c>
      <c r="G1109" t="n">
        <v>2</v>
      </c>
      <c r="H1109" t="n">
        <v>1</v>
      </c>
      <c r="I1109" t="n">
        <v>0</v>
      </c>
      <c r="J1109" t="n">
        <v>0</v>
      </c>
    </row>
    <row r="1110">
      <c r="A1110" s="5" t="n">
        <v>46039</v>
      </c>
      <c r="B1110" t="inlineStr">
        <is>
          <t>FB-Broad</t>
        </is>
      </c>
      <c r="C1110" t="inlineStr">
        <is>
          <t>meta</t>
        </is>
      </c>
      <c r="D1110" t="n">
        <v>16417</v>
      </c>
      <c r="E1110" t="n">
        <v>11726</v>
      </c>
      <c r="F1110" t="n">
        <v>121</v>
      </c>
      <c r="G1110" t="n">
        <v>7</v>
      </c>
      <c r="H1110" t="n">
        <v>0</v>
      </c>
      <c r="I1110" t="n">
        <v>1</v>
      </c>
      <c r="J1110" t="n">
        <v>0</v>
      </c>
    </row>
    <row r="1111">
      <c r="A1111" s="5" t="n">
        <v>46039</v>
      </c>
      <c r="B1111" t="inlineStr">
        <is>
          <t>google_brand_search</t>
        </is>
      </c>
      <c r="C1111" t="inlineStr">
        <is>
          <t>google</t>
        </is>
      </c>
      <c r="D1111" t="n">
        <v>7374</v>
      </c>
      <c r="E1111" t="n">
        <v>1536</v>
      </c>
      <c r="F1111" t="n">
        <v>68</v>
      </c>
      <c r="G1111" t="n">
        <v>2</v>
      </c>
      <c r="H1111" t="n">
        <v>2</v>
      </c>
      <c r="I1111" t="n">
        <v>2</v>
      </c>
      <c r="J1111" t="n">
        <v>0</v>
      </c>
    </row>
    <row r="1112">
      <c r="A1112" s="5" t="n">
        <v>46039</v>
      </c>
      <c r="B1112" t="inlineStr">
        <is>
          <t>google_nonbrand_growth</t>
        </is>
      </c>
      <c r="C1112" t="inlineStr">
        <is>
          <t>google</t>
        </is>
      </c>
      <c r="D1112" t="n">
        <v>21563</v>
      </c>
      <c r="E1112" t="n">
        <v>4492</v>
      </c>
      <c r="F1112" t="n">
        <v>238</v>
      </c>
      <c r="G1112" t="n">
        <v>2</v>
      </c>
      <c r="H1112" t="n">
        <v>1</v>
      </c>
      <c r="I1112" t="n">
        <v>0</v>
      </c>
      <c r="J1112" t="n">
        <v>0</v>
      </c>
    </row>
    <row r="1113">
      <c r="A1113" s="5" t="n">
        <v>46039</v>
      </c>
      <c r="B1113" t="inlineStr">
        <is>
          <t>linkedin_ceo_abm</t>
        </is>
      </c>
      <c r="C1113" t="inlineStr">
        <is>
          <t>linkedin</t>
        </is>
      </c>
      <c r="D1113" t="n">
        <v>27882</v>
      </c>
      <c r="E1113" t="n">
        <v>5361</v>
      </c>
      <c r="F1113" t="n">
        <v>37</v>
      </c>
      <c r="G1113" t="n">
        <v>0</v>
      </c>
      <c r="H1113" t="n">
        <v>0</v>
      </c>
      <c r="I1113" t="n">
        <v>0</v>
      </c>
      <c r="J1113" t="n">
        <v>0</v>
      </c>
    </row>
    <row r="1114">
      <c r="A1114" s="5" t="n">
        <v>46039</v>
      </c>
      <c r="B1114" t="inlineStr">
        <is>
          <t>meta_prospecting_founder</t>
        </is>
      </c>
      <c r="C1114" t="inlineStr">
        <is>
          <t>meta</t>
        </is>
      </c>
      <c r="D1114" t="n">
        <v>31515</v>
      </c>
      <c r="E1114" t="n">
        <v>22510</v>
      </c>
      <c r="F1114" t="n">
        <v>234</v>
      </c>
      <c r="G1114" t="n">
        <v>6</v>
      </c>
      <c r="H1114" t="n">
        <v>1</v>
      </c>
      <c r="I1114" t="n">
        <v>0</v>
      </c>
      <c r="J1114" t="n">
        <v>0</v>
      </c>
    </row>
    <row r="1115">
      <c r="A1115" s="5" t="n">
        <v>46039</v>
      </c>
      <c r="B1115" t="inlineStr">
        <is>
          <t>meta_retargeting_webinar</t>
        </is>
      </c>
      <c r="C1115" t="inlineStr">
        <is>
          <t>meta</t>
        </is>
      </c>
      <c r="D1115" t="n">
        <v>8408</v>
      </c>
      <c r="E1115" t="n">
        <v>6005</v>
      </c>
      <c r="F1115" t="n">
        <v>67</v>
      </c>
      <c r="G1115" t="n">
        <v>0</v>
      </c>
      <c r="H1115" t="n">
        <v>1</v>
      </c>
      <c r="I1115" t="n">
        <v>1</v>
      </c>
      <c r="J1115" t="n">
        <v>0</v>
      </c>
    </row>
    <row r="1116">
      <c r="A1116" s="5" t="n">
        <v>46040</v>
      </c>
      <c r="B1116" t="inlineStr">
        <is>
          <t>FB-Broad</t>
        </is>
      </c>
      <c r="C1116" t="inlineStr">
        <is>
          <t>meta</t>
        </is>
      </c>
      <c r="D1116" t="n">
        <v>15031</v>
      </c>
      <c r="E1116" t="n">
        <v>10736</v>
      </c>
      <c r="F1116" t="n">
        <v>102</v>
      </c>
      <c r="G1116" t="n">
        <v>1</v>
      </c>
      <c r="H1116" t="n">
        <v>2</v>
      </c>
      <c r="I1116" t="n">
        <v>0</v>
      </c>
      <c r="J1116" t="n">
        <v>0</v>
      </c>
    </row>
    <row r="1117">
      <c r="A1117" s="5" t="n">
        <v>46040</v>
      </c>
      <c r="B1117" t="inlineStr">
        <is>
          <t>google_brand_search</t>
        </is>
      </c>
      <c r="C1117" t="inlineStr">
        <is>
          <t>google</t>
        </is>
      </c>
      <c r="D1117" t="n">
        <v>6210</v>
      </c>
      <c r="E1117" t="n">
        <v>1293</v>
      </c>
      <c r="F1117" t="n">
        <v>63</v>
      </c>
      <c r="G1117" t="n">
        <v>3</v>
      </c>
      <c r="H1117" t="n">
        <v>1</v>
      </c>
      <c r="I1117" t="n">
        <v>1</v>
      </c>
      <c r="J1117" t="n">
        <v>0</v>
      </c>
    </row>
    <row r="1118">
      <c r="A1118" s="5" t="n">
        <v>46040</v>
      </c>
      <c r="B1118" t="inlineStr">
        <is>
          <t>google_nonbrand_growth</t>
        </is>
      </c>
      <c r="C1118" t="inlineStr">
        <is>
          <t>google</t>
        </is>
      </c>
      <c r="D1118" t="n">
        <v>24387</v>
      </c>
      <c r="E1118" t="n">
        <v>5080</v>
      </c>
      <c r="F1118" t="n">
        <v>236</v>
      </c>
      <c r="G1118" t="n">
        <v>5</v>
      </c>
      <c r="H1118" t="n">
        <v>2</v>
      </c>
      <c r="I1118" t="n">
        <v>0</v>
      </c>
      <c r="J1118" t="n">
        <v>0</v>
      </c>
    </row>
    <row r="1119">
      <c r="A1119" s="5" t="n">
        <v>46040</v>
      </c>
      <c r="B1119" t="inlineStr">
        <is>
          <t>linkedin_ceo_abm</t>
        </is>
      </c>
      <c r="C1119" t="inlineStr">
        <is>
          <t>linkedin</t>
        </is>
      </c>
      <c r="D1119" t="n">
        <v>23648</v>
      </c>
      <c r="E1119" t="n">
        <v>4547</v>
      </c>
      <c r="F1119" t="n">
        <v>26</v>
      </c>
      <c r="G1119" t="n">
        <v>2</v>
      </c>
      <c r="H1119" t="n">
        <v>0</v>
      </c>
      <c r="I1119" t="n">
        <v>0</v>
      </c>
      <c r="J1119" t="n">
        <v>0</v>
      </c>
    </row>
    <row r="1120">
      <c r="A1120" s="5" t="n">
        <v>46040</v>
      </c>
      <c r="B1120" t="inlineStr">
        <is>
          <t>meta_prospecting_founder</t>
        </is>
      </c>
      <c r="C1120" t="inlineStr">
        <is>
          <t>meta</t>
        </is>
      </c>
      <c r="D1120" t="n">
        <v>31742</v>
      </c>
      <c r="E1120" t="n">
        <v>22672</v>
      </c>
      <c r="F1120" t="n">
        <v>255</v>
      </c>
      <c r="G1120" t="n">
        <v>6</v>
      </c>
      <c r="H1120" t="n">
        <v>3</v>
      </c>
      <c r="I1120" t="n">
        <v>0</v>
      </c>
      <c r="J1120" t="n">
        <v>0</v>
      </c>
    </row>
    <row r="1121">
      <c r="A1121" s="5" t="n">
        <v>46040</v>
      </c>
      <c r="B1121" t="inlineStr">
        <is>
          <t>meta_retargeting_webinar</t>
        </is>
      </c>
      <c r="C1121" t="inlineStr">
        <is>
          <t>meta</t>
        </is>
      </c>
      <c r="D1121" t="n">
        <v>9778</v>
      </c>
      <c r="E1121" t="n">
        <v>6984</v>
      </c>
      <c r="F1121" t="n">
        <v>71</v>
      </c>
      <c r="G1121" t="n">
        <v>3</v>
      </c>
      <c r="H1121" t="n">
        <v>0</v>
      </c>
      <c r="I1121" t="n">
        <v>1</v>
      </c>
      <c r="J1121" t="n">
        <v>1</v>
      </c>
    </row>
    <row r="1122">
      <c r="A1122" s="5" t="n">
        <v>46041</v>
      </c>
      <c r="B1122" t="inlineStr">
        <is>
          <t>FB-Broad</t>
        </is>
      </c>
      <c r="C1122" t="inlineStr">
        <is>
          <t>meta</t>
        </is>
      </c>
      <c r="D1122" t="n">
        <v>16348</v>
      </c>
      <c r="E1122" t="n">
        <v>11677</v>
      </c>
      <c r="F1122" t="n">
        <v>139</v>
      </c>
      <c r="G1122" t="n">
        <v>1</v>
      </c>
      <c r="H1122" t="n">
        <v>0</v>
      </c>
      <c r="I1122" t="n">
        <v>0</v>
      </c>
      <c r="J1122" t="n">
        <v>0</v>
      </c>
    </row>
    <row r="1123">
      <c r="A1123" s="5" t="n">
        <v>46041</v>
      </c>
      <c r="B1123" t="inlineStr">
        <is>
          <t>google_brand_search</t>
        </is>
      </c>
      <c r="C1123" t="inlineStr">
        <is>
          <t>google</t>
        </is>
      </c>
      <c r="D1123" t="n">
        <v>7473</v>
      </c>
      <c r="E1123" t="n">
        <v>1556</v>
      </c>
      <c r="F1123" t="n">
        <v>69</v>
      </c>
      <c r="G1123" t="n">
        <v>3</v>
      </c>
      <c r="H1123" t="n">
        <v>1</v>
      </c>
      <c r="I1123" t="n">
        <v>1</v>
      </c>
      <c r="J1123" t="n">
        <v>0</v>
      </c>
    </row>
    <row r="1124">
      <c r="A1124" s="5" t="n">
        <v>46041</v>
      </c>
      <c r="B1124" t="inlineStr">
        <is>
          <t>google_nonbrand_growth</t>
        </is>
      </c>
      <c r="C1124" t="inlineStr">
        <is>
          <t>google</t>
        </is>
      </c>
      <c r="D1124" t="n">
        <v>22535</v>
      </c>
      <c r="E1124" t="n">
        <v>4694</v>
      </c>
      <c r="F1124" t="n">
        <v>263</v>
      </c>
      <c r="G1124" t="n">
        <v>6</v>
      </c>
      <c r="H1124" t="n">
        <v>3</v>
      </c>
      <c r="I1124" t="n">
        <v>1</v>
      </c>
      <c r="J1124" t="n">
        <v>0</v>
      </c>
    </row>
    <row r="1125">
      <c r="A1125" s="5" t="n">
        <v>46041</v>
      </c>
      <c r="B1125" t="inlineStr">
        <is>
          <t>linkedin_ceo_abm</t>
        </is>
      </c>
      <c r="C1125" t="inlineStr">
        <is>
          <t>linkedin</t>
        </is>
      </c>
      <c r="D1125" t="n">
        <v>24825</v>
      </c>
      <c r="E1125" t="n">
        <v>4774</v>
      </c>
      <c r="F1125" t="n">
        <v>35</v>
      </c>
      <c r="G1125" t="n">
        <v>2</v>
      </c>
      <c r="H1125" t="n">
        <v>0</v>
      </c>
      <c r="I1125" t="n">
        <v>1</v>
      </c>
      <c r="J1125" t="n">
        <v>0</v>
      </c>
    </row>
    <row r="1126">
      <c r="A1126" s="5" t="n">
        <v>46041</v>
      </c>
      <c r="B1126" t="inlineStr">
        <is>
          <t>meta_prospecting_founder</t>
        </is>
      </c>
      <c r="C1126" t="inlineStr">
        <is>
          <t>meta</t>
        </is>
      </c>
      <c r="D1126" t="n">
        <v>29053</v>
      </c>
      <c r="E1126" t="n">
        <v>20752</v>
      </c>
      <c r="F1126" t="n">
        <v>240</v>
      </c>
      <c r="G1126" t="n">
        <v>10</v>
      </c>
      <c r="H1126" t="n">
        <v>0</v>
      </c>
      <c r="I1126" t="n">
        <v>0</v>
      </c>
      <c r="J1126" t="n">
        <v>0</v>
      </c>
    </row>
    <row r="1127">
      <c r="A1127" s="5" t="n">
        <v>46041</v>
      </c>
      <c r="B1127" t="inlineStr">
        <is>
          <t>meta_retargeting_webinar</t>
        </is>
      </c>
      <c r="C1127" t="inlineStr">
        <is>
          <t>meta</t>
        </is>
      </c>
      <c r="D1127" t="n">
        <v>9002</v>
      </c>
      <c r="E1127" t="n">
        <v>6430</v>
      </c>
      <c r="F1127" t="n">
        <v>72</v>
      </c>
      <c r="G1127" t="n">
        <v>2</v>
      </c>
      <c r="H1127" t="n">
        <v>1</v>
      </c>
      <c r="I1127" t="n">
        <v>1</v>
      </c>
      <c r="J1127" t="n">
        <v>0</v>
      </c>
    </row>
    <row r="1128">
      <c r="A1128" s="5" t="n">
        <v>46042</v>
      </c>
      <c r="B1128" t="inlineStr">
        <is>
          <t>FB-Broad</t>
        </is>
      </c>
      <c r="C1128" t="inlineStr">
        <is>
          <t>meta</t>
        </is>
      </c>
      <c r="D1128" t="n">
        <v>15374</v>
      </c>
      <c r="E1128" t="n">
        <v>10981</v>
      </c>
      <c r="F1128" t="n">
        <v>110</v>
      </c>
      <c r="G1128" t="n">
        <v>4</v>
      </c>
      <c r="H1128" t="n">
        <v>0</v>
      </c>
      <c r="I1128" t="n">
        <v>1</v>
      </c>
      <c r="J1128" t="n">
        <v>0</v>
      </c>
    </row>
    <row r="1129">
      <c r="A1129" s="5" t="n">
        <v>46042</v>
      </c>
      <c r="B1129" t="inlineStr">
        <is>
          <t>google_brand_search</t>
        </is>
      </c>
      <c r="C1129" t="inlineStr">
        <is>
          <t>google</t>
        </is>
      </c>
      <c r="D1129" t="n">
        <v>7131</v>
      </c>
      <c r="E1129" t="n">
        <v>1485</v>
      </c>
      <c r="F1129" t="n">
        <v>78</v>
      </c>
      <c r="G1129" t="n">
        <v>3</v>
      </c>
      <c r="H1129" t="n">
        <v>1</v>
      </c>
      <c r="I1129" t="n">
        <v>1</v>
      </c>
      <c r="J1129" t="n">
        <v>0</v>
      </c>
    </row>
    <row r="1130">
      <c r="A1130" s="5" t="n">
        <v>46042</v>
      </c>
      <c r="B1130" t="inlineStr">
        <is>
          <t>google_nonbrand_growth</t>
        </is>
      </c>
      <c r="C1130" t="inlineStr">
        <is>
          <t>google</t>
        </is>
      </c>
      <c r="D1130" t="n">
        <v>22944</v>
      </c>
      <c r="E1130" t="n">
        <v>4780</v>
      </c>
      <c r="F1130" t="n">
        <v>242</v>
      </c>
      <c r="G1130" t="n">
        <v>7</v>
      </c>
      <c r="H1130" t="n">
        <v>3</v>
      </c>
      <c r="I1130" t="n">
        <v>1</v>
      </c>
      <c r="J1130" t="n">
        <v>0</v>
      </c>
    </row>
    <row r="1131">
      <c r="A1131" s="5" t="n">
        <v>46042</v>
      </c>
      <c r="B1131" t="inlineStr">
        <is>
          <t>linkedin_ceo_abm</t>
        </is>
      </c>
      <c r="C1131" t="inlineStr">
        <is>
          <t>linkedin</t>
        </is>
      </c>
      <c r="D1131" t="n">
        <v>23987</v>
      </c>
      <c r="E1131" t="n">
        <v>4612</v>
      </c>
      <c r="F1131" t="n">
        <v>28</v>
      </c>
      <c r="G1131" t="n">
        <v>2</v>
      </c>
      <c r="H1131" t="n">
        <v>1</v>
      </c>
      <c r="I1131" t="n">
        <v>0</v>
      </c>
      <c r="J1131" t="n">
        <v>0</v>
      </c>
    </row>
    <row r="1132">
      <c r="A1132" s="5" t="n">
        <v>46042</v>
      </c>
      <c r="B1132" t="inlineStr">
        <is>
          <t>meta_prospecting_founder</t>
        </is>
      </c>
      <c r="C1132" t="inlineStr">
        <is>
          <t>meta</t>
        </is>
      </c>
      <c r="D1132" t="n">
        <v>35469</v>
      </c>
      <c r="E1132" t="n">
        <v>25335</v>
      </c>
      <c r="F1132" t="n">
        <v>308</v>
      </c>
      <c r="G1132" t="n">
        <v>14</v>
      </c>
      <c r="H1132" t="n">
        <v>3</v>
      </c>
      <c r="I1132" t="n">
        <v>1</v>
      </c>
      <c r="J1132" t="n">
        <v>0</v>
      </c>
    </row>
    <row r="1133">
      <c r="A1133" s="5" t="n">
        <v>46042</v>
      </c>
      <c r="B1133" t="inlineStr">
        <is>
          <t>meta_retargeting_webinar</t>
        </is>
      </c>
      <c r="C1133" t="inlineStr">
        <is>
          <t>meta</t>
        </is>
      </c>
      <c r="D1133" t="n">
        <v>8831</v>
      </c>
      <c r="E1133" t="n">
        <v>6307</v>
      </c>
      <c r="F1133" t="n">
        <v>78</v>
      </c>
      <c r="G1133" t="n">
        <v>4</v>
      </c>
      <c r="H1133" t="n">
        <v>0</v>
      </c>
      <c r="I1133" t="n">
        <v>0</v>
      </c>
      <c r="J1133" t="n">
        <v>0</v>
      </c>
    </row>
    <row r="1134">
      <c r="A1134" s="5" t="n">
        <v>46043</v>
      </c>
      <c r="B1134" t="inlineStr">
        <is>
          <t>FB-Broad</t>
        </is>
      </c>
      <c r="C1134" t="inlineStr">
        <is>
          <t>meta</t>
        </is>
      </c>
      <c r="D1134" t="n">
        <v>17244</v>
      </c>
      <c r="E1134" t="n">
        <v>12317</v>
      </c>
      <c r="F1134" t="n">
        <v>135</v>
      </c>
      <c r="G1134" t="n">
        <v>8</v>
      </c>
      <c r="H1134" t="n">
        <v>0</v>
      </c>
      <c r="I1134" t="n">
        <v>0</v>
      </c>
      <c r="J1134" t="n">
        <v>0</v>
      </c>
    </row>
    <row r="1135">
      <c r="A1135" s="5" t="n">
        <v>46043</v>
      </c>
      <c r="B1135" t="inlineStr">
        <is>
          <t>google_brand_search</t>
        </is>
      </c>
      <c r="C1135" t="inlineStr">
        <is>
          <t>google</t>
        </is>
      </c>
      <c r="D1135" t="n">
        <v>6342</v>
      </c>
      <c r="E1135" t="n">
        <v>1321</v>
      </c>
      <c r="F1135" t="n">
        <v>66</v>
      </c>
      <c r="G1135" t="n">
        <v>4</v>
      </c>
      <c r="H1135" t="n">
        <v>1</v>
      </c>
      <c r="I1135" t="n">
        <v>0</v>
      </c>
      <c r="J1135" t="n">
        <v>0</v>
      </c>
    </row>
    <row r="1136">
      <c r="A1136" s="5" t="n">
        <v>46043</v>
      </c>
      <c r="B1136" t="inlineStr">
        <is>
          <t>google_nonbrand_growth</t>
        </is>
      </c>
      <c r="C1136" t="inlineStr">
        <is>
          <t>google</t>
        </is>
      </c>
      <c r="D1136" t="n">
        <v>22686</v>
      </c>
      <c r="E1136" t="n">
        <v>4726</v>
      </c>
      <c r="F1136" t="n">
        <v>252</v>
      </c>
      <c r="G1136" t="n">
        <v>2</v>
      </c>
      <c r="H1136" t="n">
        <v>0</v>
      </c>
      <c r="I1136" t="n">
        <v>1</v>
      </c>
      <c r="J1136" t="n">
        <v>0</v>
      </c>
    </row>
    <row r="1137">
      <c r="A1137" s="5" t="n">
        <v>46043</v>
      </c>
      <c r="B1137" t="inlineStr">
        <is>
          <t>linkedin_ceo_abm</t>
        </is>
      </c>
      <c r="C1137" t="inlineStr">
        <is>
          <t>linkedin</t>
        </is>
      </c>
      <c r="D1137" t="n">
        <v>25828</v>
      </c>
      <c r="E1137" t="n">
        <v>4966</v>
      </c>
      <c r="F1137" t="n">
        <v>34</v>
      </c>
      <c r="G1137" t="n">
        <v>3</v>
      </c>
      <c r="H1137" t="n">
        <v>1</v>
      </c>
      <c r="I1137" t="n">
        <v>0</v>
      </c>
      <c r="J1137" t="n">
        <v>0</v>
      </c>
    </row>
    <row r="1138">
      <c r="A1138" s="5" t="n">
        <v>46043</v>
      </c>
      <c r="B1138" t="inlineStr">
        <is>
          <t>meta_prospecting_founder</t>
        </is>
      </c>
      <c r="C1138" t="inlineStr">
        <is>
          <t>meta</t>
        </is>
      </c>
      <c r="D1138" t="n">
        <v>31870</v>
      </c>
      <c r="E1138" t="n">
        <v>22764</v>
      </c>
      <c r="F1138" t="n">
        <v>273</v>
      </c>
      <c r="G1138" t="n">
        <v>7</v>
      </c>
      <c r="H1138" t="n">
        <v>5</v>
      </c>
      <c r="I1138" t="n">
        <v>0</v>
      </c>
      <c r="J1138" t="n">
        <v>0</v>
      </c>
    </row>
    <row r="1139">
      <c r="A1139" s="5" t="n">
        <v>46043</v>
      </c>
      <c r="B1139" t="inlineStr">
        <is>
          <t>meta_retargeting_webinar</t>
        </is>
      </c>
      <c r="C1139" t="inlineStr">
        <is>
          <t>meta</t>
        </is>
      </c>
      <c r="D1139" t="n">
        <v>10153</v>
      </c>
      <c r="E1139" t="n">
        <v>7252</v>
      </c>
      <c r="F1139" t="n">
        <v>81</v>
      </c>
      <c r="G1139" t="n">
        <v>7</v>
      </c>
      <c r="H1139" t="n">
        <v>2</v>
      </c>
      <c r="I1139" t="n">
        <v>1</v>
      </c>
      <c r="J1139" t="n">
        <v>0</v>
      </c>
    </row>
    <row r="1140">
      <c r="A1140" s="5" t="n">
        <v>46044</v>
      </c>
      <c r="B1140" t="inlineStr">
        <is>
          <t>FB-Broad</t>
        </is>
      </c>
      <c r="C1140" t="inlineStr">
        <is>
          <t>meta</t>
        </is>
      </c>
      <c r="D1140" t="n">
        <v>17145</v>
      </c>
      <c r="E1140" t="n">
        <v>12246</v>
      </c>
      <c r="F1140" t="n">
        <v>143</v>
      </c>
      <c r="G1140" t="n">
        <v>6</v>
      </c>
      <c r="H1140" t="n">
        <v>0</v>
      </c>
      <c r="I1140" t="n">
        <v>1</v>
      </c>
      <c r="J1140" t="n">
        <v>1</v>
      </c>
    </row>
    <row r="1141">
      <c r="A1141" s="5" t="n">
        <v>46044</v>
      </c>
      <c r="B1141" t="inlineStr">
        <is>
          <t>google_brand_search</t>
        </is>
      </c>
      <c r="C1141" t="inlineStr">
        <is>
          <t>google</t>
        </is>
      </c>
      <c r="D1141" t="n">
        <v>6847</v>
      </c>
      <c r="E1141" t="n">
        <v>1426</v>
      </c>
      <c r="F1141" t="n">
        <v>79</v>
      </c>
      <c r="G1141" t="n">
        <v>3</v>
      </c>
      <c r="H1141" t="n">
        <v>1</v>
      </c>
      <c r="I1141" t="n">
        <v>0</v>
      </c>
      <c r="J1141" t="n">
        <v>0</v>
      </c>
    </row>
    <row r="1142">
      <c r="A1142" s="5" t="n">
        <v>46044</v>
      </c>
      <c r="B1142" t="inlineStr">
        <is>
          <t>google_nonbrand_growth</t>
        </is>
      </c>
      <c r="C1142" t="inlineStr">
        <is>
          <t>google</t>
        </is>
      </c>
      <c r="D1142" t="n">
        <v>23432</v>
      </c>
      <c r="E1142" t="n">
        <v>4881</v>
      </c>
      <c r="F1142" t="n">
        <v>220</v>
      </c>
      <c r="G1142" t="n">
        <v>1</v>
      </c>
      <c r="H1142" t="n">
        <v>0</v>
      </c>
      <c r="I1142" t="n">
        <v>0</v>
      </c>
      <c r="J1142" t="n">
        <v>0</v>
      </c>
    </row>
    <row r="1143">
      <c r="A1143" s="5" t="n">
        <v>46044</v>
      </c>
      <c r="B1143" t="inlineStr">
        <is>
          <t>linkedin_ceo_abm</t>
        </is>
      </c>
      <c r="C1143" t="inlineStr">
        <is>
          <t>linkedin</t>
        </is>
      </c>
      <c r="D1143" t="n">
        <v>25600</v>
      </c>
      <c r="E1143" t="n">
        <v>4923</v>
      </c>
      <c r="F1143" t="n">
        <v>29</v>
      </c>
      <c r="G1143" t="n">
        <v>4</v>
      </c>
      <c r="H1143" t="n">
        <v>2</v>
      </c>
      <c r="I1143" t="n">
        <v>0</v>
      </c>
      <c r="J1143" t="n">
        <v>0</v>
      </c>
    </row>
    <row r="1144">
      <c r="A1144" s="5" t="n">
        <v>46044</v>
      </c>
      <c r="B1144" t="inlineStr">
        <is>
          <t>meta_prospecting_founder</t>
        </is>
      </c>
      <c r="C1144" t="inlineStr">
        <is>
          <t>meta</t>
        </is>
      </c>
      <c r="D1144" t="n">
        <v>31658</v>
      </c>
      <c r="E1144" t="n">
        <v>22612</v>
      </c>
      <c r="F1144" t="n">
        <v>285</v>
      </c>
      <c r="G1144" t="n">
        <v>10</v>
      </c>
      <c r="H1144" t="n">
        <v>4</v>
      </c>
      <c r="I1144" t="n">
        <v>3</v>
      </c>
      <c r="J1144" t="n">
        <v>0</v>
      </c>
    </row>
    <row r="1145">
      <c r="A1145" s="5" t="n">
        <v>46044</v>
      </c>
      <c r="B1145" t="inlineStr">
        <is>
          <t>meta_retargeting_webinar</t>
        </is>
      </c>
      <c r="C1145" t="inlineStr">
        <is>
          <t>meta</t>
        </is>
      </c>
      <c r="D1145" t="n">
        <v>8619</v>
      </c>
      <c r="E1145" t="n">
        <v>6156</v>
      </c>
      <c r="F1145" t="n">
        <v>63</v>
      </c>
      <c r="G1145" t="n">
        <v>0</v>
      </c>
      <c r="H1145" t="n">
        <v>2</v>
      </c>
      <c r="I1145" t="n">
        <v>1</v>
      </c>
      <c r="J1145" t="n">
        <v>0</v>
      </c>
    </row>
    <row r="1146">
      <c r="A1146" s="5" t="n">
        <v>46045</v>
      </c>
      <c r="B1146" t="inlineStr">
        <is>
          <t>FB-Broad</t>
        </is>
      </c>
      <c r="C1146" t="inlineStr">
        <is>
          <t>meta</t>
        </is>
      </c>
      <c r="D1146" t="n">
        <v>15678</v>
      </c>
      <c r="E1146" t="n">
        <v>11198</v>
      </c>
      <c r="F1146" t="n">
        <v>133</v>
      </c>
      <c r="G1146" t="n">
        <v>4</v>
      </c>
      <c r="H1146" t="n">
        <v>3</v>
      </c>
      <c r="I1146" t="n">
        <v>0</v>
      </c>
      <c r="J1146" t="n">
        <v>1</v>
      </c>
    </row>
    <row r="1147">
      <c r="A1147" s="5" t="n">
        <v>46045</v>
      </c>
      <c r="B1147" t="inlineStr">
        <is>
          <t>google_brand_search</t>
        </is>
      </c>
      <c r="C1147" t="inlineStr">
        <is>
          <t>google</t>
        </is>
      </c>
      <c r="D1147" t="n">
        <v>6422</v>
      </c>
      <c r="E1147" t="n">
        <v>1337</v>
      </c>
      <c r="F1147" t="n">
        <v>63</v>
      </c>
      <c r="G1147" t="n">
        <v>2</v>
      </c>
      <c r="H1147" t="n">
        <v>2</v>
      </c>
      <c r="I1147" t="n">
        <v>0</v>
      </c>
      <c r="J1147" t="n">
        <v>0</v>
      </c>
    </row>
    <row r="1148">
      <c r="A1148" s="5" t="n">
        <v>46045</v>
      </c>
      <c r="B1148" t="inlineStr">
        <is>
          <t>google_nonbrand_growth</t>
        </is>
      </c>
      <c r="C1148" t="inlineStr">
        <is>
          <t>google</t>
        </is>
      </c>
      <c r="D1148" t="n">
        <v>21356</v>
      </c>
      <c r="E1148" t="n">
        <v>4449</v>
      </c>
      <c r="F1148" t="n">
        <v>249</v>
      </c>
      <c r="G1148" t="n">
        <v>2</v>
      </c>
      <c r="H1148" t="n">
        <v>1</v>
      </c>
      <c r="I1148" t="n">
        <v>0</v>
      </c>
      <c r="J1148" t="n">
        <v>0</v>
      </c>
    </row>
    <row r="1149">
      <c r="A1149" s="5" t="n">
        <v>46045</v>
      </c>
      <c r="B1149" t="inlineStr">
        <is>
          <t>linkedin_ceo_abm</t>
        </is>
      </c>
      <c r="C1149" t="inlineStr">
        <is>
          <t>linkedin</t>
        </is>
      </c>
      <c r="D1149" t="n">
        <v>26736</v>
      </c>
      <c r="E1149" t="n">
        <v>5141</v>
      </c>
      <c r="F1149" t="n">
        <v>30</v>
      </c>
      <c r="G1149" t="n">
        <v>2</v>
      </c>
      <c r="H1149" t="n">
        <v>0</v>
      </c>
      <c r="I1149" t="n">
        <v>0</v>
      </c>
      <c r="J1149" t="n">
        <v>0</v>
      </c>
    </row>
    <row r="1150">
      <c r="A1150" s="5" t="n">
        <v>46045</v>
      </c>
      <c r="B1150" t="inlineStr">
        <is>
          <t>meta_prospecting_founder</t>
        </is>
      </c>
      <c r="C1150" t="inlineStr">
        <is>
          <t>meta</t>
        </is>
      </c>
      <c r="D1150" t="n">
        <v>34321</v>
      </c>
      <c r="E1150" t="n">
        <v>24514</v>
      </c>
      <c r="F1150" t="n">
        <v>290</v>
      </c>
      <c r="G1150" t="n">
        <v>9</v>
      </c>
      <c r="H1150" t="n">
        <v>6</v>
      </c>
      <c r="I1150" t="n">
        <v>1</v>
      </c>
      <c r="J1150" t="n">
        <v>0</v>
      </c>
    </row>
    <row r="1151">
      <c r="A1151" s="5" t="n">
        <v>46045</v>
      </c>
      <c r="B1151" t="inlineStr">
        <is>
          <t>meta_retargeting_webinar</t>
        </is>
      </c>
      <c r="C1151" t="inlineStr">
        <is>
          <t>meta</t>
        </is>
      </c>
      <c r="D1151" t="n">
        <v>8808</v>
      </c>
      <c r="E1151" t="n">
        <v>6291</v>
      </c>
      <c r="F1151" t="n">
        <v>62</v>
      </c>
      <c r="G1151" t="n">
        <v>3</v>
      </c>
      <c r="H1151" t="n">
        <v>1</v>
      </c>
      <c r="I1151" t="n">
        <v>0</v>
      </c>
      <c r="J1151" t="n">
        <v>0</v>
      </c>
    </row>
    <row r="1152">
      <c r="A1152" s="5" t="n">
        <v>46046</v>
      </c>
      <c r="B1152" t="inlineStr">
        <is>
          <t>FB-Broad</t>
        </is>
      </c>
      <c r="C1152" t="inlineStr">
        <is>
          <t>meta</t>
        </is>
      </c>
      <c r="D1152" t="n">
        <v>16095</v>
      </c>
      <c r="E1152" t="n">
        <v>11496</v>
      </c>
      <c r="F1152" t="n">
        <v>141</v>
      </c>
      <c r="G1152" t="n">
        <v>3</v>
      </c>
      <c r="H1152" t="n">
        <v>0</v>
      </c>
      <c r="I1152" t="n">
        <v>0</v>
      </c>
      <c r="J1152" t="n">
        <v>0</v>
      </c>
    </row>
    <row r="1153">
      <c r="A1153" s="5" t="n">
        <v>46046</v>
      </c>
      <c r="B1153" t="inlineStr">
        <is>
          <t>google_brand_search</t>
        </is>
      </c>
      <c r="C1153" t="inlineStr">
        <is>
          <t>google</t>
        </is>
      </c>
      <c r="D1153" t="n">
        <v>7414</v>
      </c>
      <c r="E1153" t="n">
        <v>1544</v>
      </c>
      <c r="F1153" t="n">
        <v>79</v>
      </c>
      <c r="G1153" t="n">
        <v>2</v>
      </c>
      <c r="H1153" t="n">
        <v>0</v>
      </c>
      <c r="I1153" t="n">
        <v>0</v>
      </c>
      <c r="J1153" t="n">
        <v>1</v>
      </c>
    </row>
    <row r="1154">
      <c r="A1154" s="5" t="n">
        <v>46046</v>
      </c>
      <c r="B1154" t="inlineStr">
        <is>
          <t>google_nonbrand_growth</t>
        </is>
      </c>
      <c r="C1154" t="inlineStr">
        <is>
          <t>google</t>
        </is>
      </c>
      <c r="D1154" t="n">
        <v>20248</v>
      </c>
      <c r="E1154" t="n">
        <v>4218</v>
      </c>
      <c r="F1154" t="n">
        <v>187</v>
      </c>
      <c r="G1154" t="n">
        <v>1</v>
      </c>
      <c r="H1154" t="n">
        <v>1</v>
      </c>
      <c r="I1154" t="n">
        <v>3</v>
      </c>
      <c r="J1154" t="n">
        <v>0</v>
      </c>
    </row>
    <row r="1155">
      <c r="A1155" s="5" t="n">
        <v>46046</v>
      </c>
      <c r="B1155" t="inlineStr">
        <is>
          <t>linkedin_ceo_abm</t>
        </is>
      </c>
      <c r="C1155" t="inlineStr">
        <is>
          <t>linkedin</t>
        </is>
      </c>
      <c r="D1155" t="n">
        <v>25703</v>
      </c>
      <c r="E1155" t="n">
        <v>4942</v>
      </c>
      <c r="F1155" t="n">
        <v>35</v>
      </c>
      <c r="G1155" t="n">
        <v>2</v>
      </c>
      <c r="H1155" t="n">
        <v>0</v>
      </c>
      <c r="I1155" t="n">
        <v>1</v>
      </c>
      <c r="J1155" t="n">
        <v>0</v>
      </c>
    </row>
    <row r="1156">
      <c r="A1156" s="5" t="n">
        <v>46046</v>
      </c>
      <c r="B1156" t="inlineStr">
        <is>
          <t>meta_prospecting_founder</t>
        </is>
      </c>
      <c r="C1156" t="inlineStr">
        <is>
          <t>meta</t>
        </is>
      </c>
      <c r="D1156" t="n">
        <v>30248</v>
      </c>
      <c r="E1156" t="n">
        <v>21605</v>
      </c>
      <c r="F1156" t="n">
        <v>249</v>
      </c>
      <c r="G1156" t="n">
        <v>5</v>
      </c>
      <c r="H1156" t="n">
        <v>2</v>
      </c>
      <c r="I1156" t="n">
        <v>3</v>
      </c>
      <c r="J1156" t="n">
        <v>0</v>
      </c>
    </row>
    <row r="1157">
      <c r="A1157" s="5" t="n">
        <v>46046</v>
      </c>
      <c r="B1157" t="inlineStr">
        <is>
          <t>meta_retargeting_webinar</t>
        </is>
      </c>
      <c r="C1157" t="inlineStr">
        <is>
          <t>meta</t>
        </is>
      </c>
      <c r="D1157" t="n">
        <v>9526</v>
      </c>
      <c r="E1157" t="n">
        <v>6804</v>
      </c>
      <c r="F1157" t="n">
        <v>79</v>
      </c>
      <c r="G1157" t="n">
        <v>2</v>
      </c>
      <c r="H1157" t="n">
        <v>1</v>
      </c>
      <c r="I1157" t="n">
        <v>0</v>
      </c>
      <c r="J1157" t="n">
        <v>0</v>
      </c>
    </row>
    <row r="1158">
      <c r="A1158" s="5" t="n">
        <v>46047</v>
      </c>
      <c r="B1158" t="inlineStr">
        <is>
          <t>FB-Broad</t>
        </is>
      </c>
      <c r="C1158" t="inlineStr">
        <is>
          <t>meta</t>
        </is>
      </c>
      <c r="D1158" t="n">
        <v>16942</v>
      </c>
      <c r="E1158" t="n">
        <v>12101</v>
      </c>
      <c r="F1158" t="n">
        <v>134</v>
      </c>
      <c r="G1158" t="n">
        <v>2</v>
      </c>
      <c r="H1158" t="n">
        <v>0</v>
      </c>
      <c r="I1158" t="n">
        <v>0</v>
      </c>
      <c r="J1158" t="n">
        <v>0</v>
      </c>
    </row>
    <row r="1159">
      <c r="A1159" s="5" t="n">
        <v>46047</v>
      </c>
      <c r="B1159" t="inlineStr">
        <is>
          <t>google_brand_search</t>
        </is>
      </c>
      <c r="C1159" t="inlineStr">
        <is>
          <t>google</t>
        </is>
      </c>
      <c r="D1159" t="n">
        <v>6652</v>
      </c>
      <c r="E1159" t="n">
        <v>1385</v>
      </c>
      <c r="F1159" t="n">
        <v>73</v>
      </c>
      <c r="G1159" t="n">
        <v>1</v>
      </c>
      <c r="H1159" t="n">
        <v>2</v>
      </c>
      <c r="I1159" t="n">
        <v>0</v>
      </c>
      <c r="J1159" t="n">
        <v>1</v>
      </c>
    </row>
    <row r="1160">
      <c r="A1160" s="5" t="n">
        <v>46047</v>
      </c>
      <c r="B1160" t="inlineStr">
        <is>
          <t>google_nonbrand_growth</t>
        </is>
      </c>
      <c r="C1160" t="inlineStr">
        <is>
          <t>google</t>
        </is>
      </c>
      <c r="D1160" t="n">
        <v>22033</v>
      </c>
      <c r="E1160" t="n">
        <v>4590</v>
      </c>
      <c r="F1160" t="n">
        <v>207</v>
      </c>
      <c r="G1160" t="n">
        <v>4</v>
      </c>
      <c r="H1160" t="n">
        <v>0</v>
      </c>
      <c r="I1160" t="n">
        <v>0</v>
      </c>
      <c r="J1160" t="n">
        <v>0</v>
      </c>
    </row>
    <row r="1161">
      <c r="A1161" s="5" t="n">
        <v>46047</v>
      </c>
      <c r="B1161" t="inlineStr">
        <is>
          <t>linkedin_ceo_abm</t>
        </is>
      </c>
      <c r="C1161" t="inlineStr">
        <is>
          <t>linkedin</t>
        </is>
      </c>
      <c r="D1161" t="n">
        <v>24197</v>
      </c>
      <c r="E1161" t="n">
        <v>4653</v>
      </c>
      <c r="F1161" t="n">
        <v>27</v>
      </c>
      <c r="G1161" t="n">
        <v>1</v>
      </c>
      <c r="H1161" t="n">
        <v>3</v>
      </c>
      <c r="I1161" t="n">
        <v>1</v>
      </c>
      <c r="J1161" t="n">
        <v>0</v>
      </c>
    </row>
    <row r="1162">
      <c r="A1162" s="5" t="n">
        <v>46047</v>
      </c>
      <c r="B1162" t="inlineStr">
        <is>
          <t>meta_prospecting_founder</t>
        </is>
      </c>
      <c r="C1162" t="inlineStr">
        <is>
          <t>meta</t>
        </is>
      </c>
      <c r="D1162" t="n">
        <v>30104</v>
      </c>
      <c r="E1162" t="n">
        <v>21502</v>
      </c>
      <c r="F1162" t="n">
        <v>248</v>
      </c>
      <c r="G1162" t="n">
        <v>4</v>
      </c>
      <c r="H1162" t="n">
        <v>4</v>
      </c>
      <c r="I1162" t="n">
        <v>0</v>
      </c>
      <c r="J1162" t="n">
        <v>0</v>
      </c>
    </row>
    <row r="1163">
      <c r="A1163" s="5" t="n">
        <v>46047</v>
      </c>
      <c r="B1163" t="inlineStr">
        <is>
          <t>meta_retargeting_webinar</t>
        </is>
      </c>
      <c r="C1163" t="inlineStr">
        <is>
          <t>meta</t>
        </is>
      </c>
      <c r="D1163" t="n">
        <v>9163</v>
      </c>
      <c r="E1163" t="n">
        <v>6545</v>
      </c>
      <c r="F1163" t="n">
        <v>79</v>
      </c>
      <c r="G1163" t="n">
        <v>3</v>
      </c>
      <c r="H1163" t="n">
        <v>2</v>
      </c>
      <c r="I1163" t="n">
        <v>0</v>
      </c>
      <c r="J1163" t="n">
        <v>0</v>
      </c>
    </row>
    <row r="1164">
      <c r="A1164" s="5" t="n">
        <v>46048</v>
      </c>
      <c r="B1164" t="inlineStr">
        <is>
          <t>FB-Broad</t>
        </is>
      </c>
      <c r="C1164" t="inlineStr">
        <is>
          <t>meta</t>
        </is>
      </c>
      <c r="D1164" t="n">
        <v>15091</v>
      </c>
      <c r="E1164" t="n">
        <v>10779</v>
      </c>
      <c r="F1164" t="n">
        <v>107</v>
      </c>
      <c r="G1164" t="n">
        <v>2</v>
      </c>
      <c r="H1164" t="n">
        <v>0</v>
      </c>
      <c r="I1164" t="n">
        <v>1</v>
      </c>
      <c r="J1164" t="n">
        <v>0</v>
      </c>
    </row>
    <row r="1165">
      <c r="A1165" s="5" t="n">
        <v>46048</v>
      </c>
      <c r="B1165" t="inlineStr">
        <is>
          <t>google_brand_search</t>
        </is>
      </c>
      <c r="C1165" t="inlineStr">
        <is>
          <t>google</t>
        </is>
      </c>
      <c r="D1165" t="n">
        <v>6308</v>
      </c>
      <c r="E1165" t="n">
        <v>1314</v>
      </c>
      <c r="F1165" t="n">
        <v>66</v>
      </c>
      <c r="G1165" t="n">
        <v>5</v>
      </c>
      <c r="H1165" t="n">
        <v>1</v>
      </c>
      <c r="I1165" t="n">
        <v>0</v>
      </c>
      <c r="J1165" t="n">
        <v>0</v>
      </c>
    </row>
    <row r="1166">
      <c r="A1166" s="5" t="n">
        <v>46048</v>
      </c>
      <c r="B1166" t="inlineStr">
        <is>
          <t>google_nonbrand_growth</t>
        </is>
      </c>
      <c r="C1166" t="inlineStr">
        <is>
          <t>google</t>
        </is>
      </c>
      <c r="D1166" t="n">
        <v>21677</v>
      </c>
      <c r="E1166" t="n">
        <v>4516</v>
      </c>
      <c r="F1166" t="n">
        <v>239</v>
      </c>
      <c r="G1166" t="n">
        <v>1</v>
      </c>
      <c r="H1166" t="n">
        <v>1</v>
      </c>
      <c r="I1166" t="n">
        <v>0</v>
      </c>
      <c r="J1166" t="n">
        <v>0</v>
      </c>
    </row>
    <row r="1167">
      <c r="A1167" s="5" t="n">
        <v>46048</v>
      </c>
      <c r="B1167" t="inlineStr">
        <is>
          <t>linkedin_ceo_abm</t>
        </is>
      </c>
      <c r="C1167" t="inlineStr">
        <is>
          <t>linkedin</t>
        </is>
      </c>
      <c r="D1167" t="n">
        <v>26249</v>
      </c>
      <c r="E1167" t="n">
        <v>5047</v>
      </c>
      <c r="F1167" t="n">
        <v>36</v>
      </c>
      <c r="G1167" t="n">
        <v>2</v>
      </c>
      <c r="H1167" t="n">
        <v>0</v>
      </c>
      <c r="I1167" t="n">
        <v>0</v>
      </c>
      <c r="J1167" t="n">
        <v>0</v>
      </c>
    </row>
    <row r="1168">
      <c r="A1168" s="5" t="n">
        <v>46048</v>
      </c>
      <c r="B1168" t="inlineStr">
        <is>
          <t>meta_prospecting_founder</t>
        </is>
      </c>
      <c r="C1168" t="inlineStr">
        <is>
          <t>meta</t>
        </is>
      </c>
      <c r="D1168" t="n">
        <v>29703</v>
      </c>
      <c r="E1168" t="n">
        <v>21216</v>
      </c>
      <c r="F1168" t="n">
        <v>232</v>
      </c>
      <c r="G1168" t="n">
        <v>8</v>
      </c>
      <c r="H1168" t="n">
        <v>3</v>
      </c>
      <c r="I1168" t="n">
        <v>2</v>
      </c>
      <c r="J1168" t="n">
        <v>0</v>
      </c>
    </row>
    <row r="1169">
      <c r="A1169" s="5" t="n">
        <v>46048</v>
      </c>
      <c r="B1169" t="inlineStr">
        <is>
          <t>meta_retargeting_webinar</t>
        </is>
      </c>
      <c r="C1169" t="inlineStr">
        <is>
          <t>meta</t>
        </is>
      </c>
      <c r="D1169" t="n">
        <v>9616</v>
      </c>
      <c r="E1169" t="n">
        <v>6868</v>
      </c>
      <c r="F1169" t="n">
        <v>83</v>
      </c>
      <c r="G1169" t="n">
        <v>5</v>
      </c>
      <c r="H1169" t="n">
        <v>1</v>
      </c>
      <c r="I1169" t="n">
        <v>1</v>
      </c>
      <c r="J1169" t="n">
        <v>0</v>
      </c>
    </row>
    <row r="1170">
      <c r="A1170" s="5" t="n">
        <v>46049</v>
      </c>
      <c r="B1170" t="inlineStr">
        <is>
          <t>FB-Broad</t>
        </is>
      </c>
      <c r="C1170" t="inlineStr">
        <is>
          <t>meta</t>
        </is>
      </c>
      <c r="D1170" t="n">
        <v>18221</v>
      </c>
      <c r="E1170" t="n">
        <v>13015</v>
      </c>
      <c r="F1170" t="n">
        <v>128</v>
      </c>
      <c r="G1170" t="n">
        <v>5</v>
      </c>
      <c r="H1170" t="n">
        <v>0</v>
      </c>
      <c r="I1170" t="n">
        <v>0</v>
      </c>
      <c r="J1170" t="n">
        <v>0</v>
      </c>
    </row>
    <row r="1171">
      <c r="A1171" s="5" t="n">
        <v>46049</v>
      </c>
      <c r="B1171" t="inlineStr">
        <is>
          <t>google_brand_search</t>
        </is>
      </c>
      <c r="C1171" t="inlineStr">
        <is>
          <t>google</t>
        </is>
      </c>
      <c r="D1171" t="n">
        <v>6188</v>
      </c>
      <c r="E1171" t="n">
        <v>1289</v>
      </c>
      <c r="F1171" t="n">
        <v>68</v>
      </c>
      <c r="G1171" t="n">
        <v>4</v>
      </c>
      <c r="H1171" t="n">
        <v>1</v>
      </c>
      <c r="I1171" t="n">
        <v>0</v>
      </c>
      <c r="J1171" t="n">
        <v>0</v>
      </c>
    </row>
    <row r="1172">
      <c r="A1172" s="5" t="n">
        <v>46049</v>
      </c>
      <c r="B1172" t="inlineStr">
        <is>
          <t>google_nonbrand_growth</t>
        </is>
      </c>
      <c r="C1172" t="inlineStr">
        <is>
          <t>google</t>
        </is>
      </c>
      <c r="D1172" t="n">
        <v>24097</v>
      </c>
      <c r="E1172" t="n">
        <v>5020</v>
      </c>
      <c r="F1172" t="n">
        <v>278</v>
      </c>
      <c r="G1172" t="n">
        <v>4</v>
      </c>
      <c r="H1172" t="n">
        <v>0</v>
      </c>
      <c r="I1172" t="n">
        <v>1</v>
      </c>
      <c r="J1172" t="n">
        <v>0</v>
      </c>
    </row>
    <row r="1173">
      <c r="A1173" s="5" t="n">
        <v>46049</v>
      </c>
      <c r="B1173" t="inlineStr">
        <is>
          <t>linkedin_ceo_abm</t>
        </is>
      </c>
      <c r="C1173" t="inlineStr">
        <is>
          <t>linkedin</t>
        </is>
      </c>
      <c r="D1173" t="n">
        <v>23767</v>
      </c>
      <c r="E1173" t="n">
        <v>4570</v>
      </c>
      <c r="F1173" t="n">
        <v>31</v>
      </c>
      <c r="G1173" t="n">
        <v>1</v>
      </c>
      <c r="H1173" t="n">
        <v>0</v>
      </c>
      <c r="I1173" t="n">
        <v>0</v>
      </c>
      <c r="J1173" t="n">
        <v>0</v>
      </c>
    </row>
    <row r="1174">
      <c r="A1174" s="5" t="n">
        <v>46049</v>
      </c>
      <c r="B1174" t="inlineStr">
        <is>
          <t>meta_prospecting_founder</t>
        </is>
      </c>
      <c r="C1174" t="inlineStr">
        <is>
          <t>meta</t>
        </is>
      </c>
      <c r="D1174" t="n">
        <v>29091</v>
      </c>
      <c r="E1174" t="n">
        <v>20779</v>
      </c>
      <c r="F1174" t="n">
        <v>250</v>
      </c>
      <c r="G1174" t="n">
        <v>14</v>
      </c>
      <c r="H1174" t="n">
        <v>0</v>
      </c>
      <c r="I1174" t="n">
        <v>0</v>
      </c>
      <c r="J1174" t="n">
        <v>0</v>
      </c>
    </row>
    <row r="1175">
      <c r="A1175" s="5" t="n">
        <v>46049</v>
      </c>
      <c r="B1175" t="inlineStr">
        <is>
          <t>meta_retargeting_webinar</t>
        </is>
      </c>
      <c r="C1175" t="inlineStr">
        <is>
          <t>meta</t>
        </is>
      </c>
      <c r="D1175" t="n">
        <v>8865</v>
      </c>
      <c r="E1175" t="n">
        <v>6332</v>
      </c>
      <c r="F1175" t="n">
        <v>75</v>
      </c>
      <c r="G1175" t="n">
        <v>2</v>
      </c>
      <c r="H1175" t="n">
        <v>0</v>
      </c>
      <c r="I1175" t="n">
        <v>0</v>
      </c>
      <c r="J1175" t="n">
        <v>0</v>
      </c>
    </row>
    <row r="1176">
      <c r="A1176" s="5" t="n">
        <v>46050</v>
      </c>
      <c r="B1176" t="inlineStr">
        <is>
          <t>FB-Broad</t>
        </is>
      </c>
      <c r="C1176" t="inlineStr">
        <is>
          <t>meta</t>
        </is>
      </c>
      <c r="D1176" t="n">
        <v>15862</v>
      </c>
      <c r="E1176" t="n">
        <v>11330</v>
      </c>
      <c r="F1176" t="n">
        <v>141</v>
      </c>
      <c r="G1176" t="n">
        <v>2</v>
      </c>
      <c r="H1176" t="n">
        <v>0</v>
      </c>
      <c r="I1176" t="n">
        <v>0</v>
      </c>
      <c r="J1176" t="n">
        <v>0</v>
      </c>
    </row>
    <row r="1177">
      <c r="A1177" s="5" t="n">
        <v>46050</v>
      </c>
      <c r="B1177" t="inlineStr">
        <is>
          <t>google_brand_search</t>
        </is>
      </c>
      <c r="C1177" t="inlineStr">
        <is>
          <t>google</t>
        </is>
      </c>
      <c r="D1177" t="n">
        <v>6266</v>
      </c>
      <c r="E1177" t="n">
        <v>1305</v>
      </c>
      <c r="F1177" t="n">
        <v>65</v>
      </c>
      <c r="G1177" t="n">
        <v>7</v>
      </c>
      <c r="H1177" t="n">
        <v>3</v>
      </c>
      <c r="I1177" t="n">
        <v>0</v>
      </c>
      <c r="J1177" t="n">
        <v>1</v>
      </c>
    </row>
    <row r="1178">
      <c r="A1178" s="5" t="n">
        <v>46050</v>
      </c>
      <c r="B1178" t="inlineStr">
        <is>
          <t>google_nonbrand_growth</t>
        </is>
      </c>
      <c r="C1178" t="inlineStr">
        <is>
          <t>google</t>
        </is>
      </c>
      <c r="D1178" t="n">
        <v>24362</v>
      </c>
      <c r="E1178" t="n">
        <v>5075</v>
      </c>
      <c r="F1178" t="n">
        <v>242</v>
      </c>
      <c r="G1178" t="n">
        <v>9</v>
      </c>
      <c r="H1178" t="n">
        <v>1</v>
      </c>
      <c r="I1178" t="n">
        <v>0</v>
      </c>
      <c r="J1178" t="n">
        <v>1</v>
      </c>
    </row>
    <row r="1179">
      <c r="A1179" s="5" t="n">
        <v>46050</v>
      </c>
      <c r="B1179" t="inlineStr">
        <is>
          <t>linkedin_ceo_abm</t>
        </is>
      </c>
      <c r="C1179" t="inlineStr">
        <is>
          <t>linkedin</t>
        </is>
      </c>
      <c r="D1179" t="n">
        <v>24208</v>
      </c>
      <c r="E1179" t="n">
        <v>4655</v>
      </c>
      <c r="F1179" t="n">
        <v>32</v>
      </c>
      <c r="G1179" t="n">
        <v>6</v>
      </c>
      <c r="H1179" t="n">
        <v>1</v>
      </c>
      <c r="I1179" t="n">
        <v>0</v>
      </c>
      <c r="J1179" t="n">
        <v>0</v>
      </c>
    </row>
    <row r="1180">
      <c r="A1180" s="5" t="n">
        <v>46050</v>
      </c>
      <c r="B1180" t="inlineStr">
        <is>
          <t>meta_prospecting_founder</t>
        </is>
      </c>
      <c r="C1180" t="inlineStr">
        <is>
          <t>meta</t>
        </is>
      </c>
      <c r="D1180" t="n">
        <v>29724</v>
      </c>
      <c r="E1180" t="n">
        <v>21231</v>
      </c>
      <c r="F1180" t="n">
        <v>240</v>
      </c>
      <c r="G1180" t="n">
        <v>8</v>
      </c>
      <c r="H1180" t="n">
        <v>4</v>
      </c>
      <c r="I1180" t="n">
        <v>2</v>
      </c>
      <c r="J1180" t="n">
        <v>0</v>
      </c>
    </row>
    <row r="1181">
      <c r="A1181" s="5" t="n">
        <v>46050</v>
      </c>
      <c r="B1181" t="inlineStr">
        <is>
          <t>meta_retargeting_webinar</t>
        </is>
      </c>
      <c r="C1181" t="inlineStr">
        <is>
          <t>meta</t>
        </is>
      </c>
      <c r="D1181" t="n">
        <v>9712</v>
      </c>
      <c r="E1181" t="n">
        <v>6937</v>
      </c>
      <c r="F1181" t="n">
        <v>84</v>
      </c>
      <c r="G1181" t="n">
        <v>5</v>
      </c>
      <c r="H1181" t="n">
        <v>2</v>
      </c>
      <c r="I1181" t="n">
        <v>0</v>
      </c>
      <c r="J1181" t="n">
        <v>0</v>
      </c>
    </row>
    <row r="1182">
      <c r="A1182" s="5" t="n">
        <v>46051</v>
      </c>
      <c r="B1182" t="inlineStr">
        <is>
          <t>FB-Broad</t>
        </is>
      </c>
      <c r="C1182" t="inlineStr">
        <is>
          <t>meta</t>
        </is>
      </c>
      <c r="D1182" t="n">
        <v>15187</v>
      </c>
      <c r="E1182" t="n">
        <v>10847</v>
      </c>
      <c r="F1182" t="n">
        <v>105</v>
      </c>
      <c r="G1182" t="n">
        <v>9</v>
      </c>
      <c r="H1182" t="n">
        <v>1</v>
      </c>
      <c r="I1182" t="n">
        <v>0</v>
      </c>
      <c r="J1182" t="n">
        <v>0</v>
      </c>
    </row>
    <row r="1183">
      <c r="A1183" s="5" t="n">
        <v>46051</v>
      </c>
      <c r="B1183" t="inlineStr">
        <is>
          <t>google_brand_search</t>
        </is>
      </c>
      <c r="C1183" t="inlineStr">
        <is>
          <t>google</t>
        </is>
      </c>
      <c r="D1183" t="n">
        <v>6903</v>
      </c>
      <c r="E1183" t="n">
        <v>1438</v>
      </c>
      <c r="F1183" t="n">
        <v>82</v>
      </c>
      <c r="G1183" t="n">
        <v>4</v>
      </c>
      <c r="H1183" t="n">
        <v>3</v>
      </c>
      <c r="I1183" t="n">
        <v>1</v>
      </c>
      <c r="J1183" t="n">
        <v>0</v>
      </c>
    </row>
    <row r="1184">
      <c r="A1184" s="5" t="n">
        <v>46051</v>
      </c>
      <c r="B1184" t="inlineStr">
        <is>
          <t>google_nonbrand_growth</t>
        </is>
      </c>
      <c r="C1184" t="inlineStr">
        <is>
          <t>google</t>
        </is>
      </c>
      <c r="D1184" t="n">
        <v>21169</v>
      </c>
      <c r="E1184" t="n">
        <v>4410</v>
      </c>
      <c r="F1184" t="n">
        <v>198</v>
      </c>
      <c r="G1184" t="n">
        <v>1</v>
      </c>
      <c r="H1184" t="n">
        <v>2</v>
      </c>
      <c r="I1184" t="n">
        <v>0</v>
      </c>
      <c r="J1184" t="n">
        <v>0</v>
      </c>
    </row>
    <row r="1185">
      <c r="A1185" s="5" t="n">
        <v>46051</v>
      </c>
      <c r="B1185" t="inlineStr">
        <is>
          <t>linkedin_ceo_abm</t>
        </is>
      </c>
      <c r="C1185" t="inlineStr">
        <is>
          <t>linkedin</t>
        </is>
      </c>
      <c r="D1185" t="n">
        <v>26541</v>
      </c>
      <c r="E1185" t="n">
        <v>5104</v>
      </c>
      <c r="F1185" t="n">
        <v>35</v>
      </c>
      <c r="G1185" t="n">
        <v>1</v>
      </c>
      <c r="H1185" t="n">
        <v>2</v>
      </c>
      <c r="I1185" t="n">
        <v>0</v>
      </c>
      <c r="J1185" t="n">
        <v>0</v>
      </c>
    </row>
    <row r="1186">
      <c r="A1186" s="5" t="n">
        <v>46051</v>
      </c>
      <c r="B1186" t="inlineStr">
        <is>
          <t>meta_prospecting_founder</t>
        </is>
      </c>
      <c r="C1186" t="inlineStr">
        <is>
          <t>meta</t>
        </is>
      </c>
      <c r="D1186" t="n">
        <v>31799</v>
      </c>
      <c r="E1186" t="n">
        <v>22713</v>
      </c>
      <c r="F1186" t="n">
        <v>286</v>
      </c>
      <c r="G1186" t="n">
        <v>8</v>
      </c>
      <c r="H1186" t="n">
        <v>2</v>
      </c>
      <c r="I1186" t="n">
        <v>1</v>
      </c>
      <c r="J1186" t="n">
        <v>0</v>
      </c>
    </row>
    <row r="1187">
      <c r="A1187" s="5" t="n">
        <v>46051</v>
      </c>
      <c r="B1187" t="inlineStr">
        <is>
          <t>meta_retargeting_webinar</t>
        </is>
      </c>
      <c r="C1187" t="inlineStr">
        <is>
          <t>meta</t>
        </is>
      </c>
      <c r="D1187" t="n">
        <v>9064</v>
      </c>
      <c r="E1187" t="n">
        <v>6474</v>
      </c>
      <c r="F1187" t="n">
        <v>69</v>
      </c>
      <c r="G1187" t="n">
        <v>4</v>
      </c>
      <c r="H1187" t="n">
        <v>1</v>
      </c>
      <c r="I1187" t="n">
        <v>0</v>
      </c>
      <c r="J1187" t="n">
        <v>0</v>
      </c>
    </row>
    <row r="1188">
      <c r="A1188" s="5" t="n">
        <v>46052</v>
      </c>
      <c r="B1188" t="inlineStr">
        <is>
          <t>FB-Broad</t>
        </is>
      </c>
      <c r="C1188" t="inlineStr">
        <is>
          <t>meta</t>
        </is>
      </c>
      <c r="D1188" t="n">
        <v>15904</v>
      </c>
      <c r="E1188" t="n">
        <v>11360</v>
      </c>
      <c r="F1188" t="n">
        <v>124</v>
      </c>
      <c r="G1188" t="n">
        <v>3</v>
      </c>
      <c r="H1188" t="n">
        <v>0</v>
      </c>
      <c r="I1188" t="n">
        <v>0</v>
      </c>
      <c r="J1188" t="n">
        <v>0</v>
      </c>
    </row>
    <row r="1189">
      <c r="A1189" s="5" t="n">
        <v>46052</v>
      </c>
      <c r="B1189" t="inlineStr">
        <is>
          <t>google_brand_search</t>
        </is>
      </c>
      <c r="C1189" t="inlineStr">
        <is>
          <t>google</t>
        </is>
      </c>
      <c r="D1189" t="n">
        <v>6499</v>
      </c>
      <c r="E1189" t="n">
        <v>1353</v>
      </c>
      <c r="F1189" t="n">
        <v>62</v>
      </c>
      <c r="G1189" t="n">
        <v>2</v>
      </c>
      <c r="H1189" t="n">
        <v>1</v>
      </c>
      <c r="I1189" t="n">
        <v>1</v>
      </c>
      <c r="J1189" t="n">
        <v>0</v>
      </c>
    </row>
    <row r="1190">
      <c r="A1190" s="5" t="n">
        <v>46052</v>
      </c>
      <c r="B1190" t="inlineStr">
        <is>
          <t>google_nonbrand_growth</t>
        </is>
      </c>
      <c r="C1190" t="inlineStr">
        <is>
          <t>google</t>
        </is>
      </c>
      <c r="D1190" t="n">
        <v>24632</v>
      </c>
      <c r="E1190" t="n">
        <v>5131</v>
      </c>
      <c r="F1190" t="n">
        <v>230</v>
      </c>
      <c r="G1190" t="n">
        <v>2</v>
      </c>
      <c r="H1190" t="n">
        <v>1</v>
      </c>
      <c r="I1190" t="n">
        <v>1</v>
      </c>
      <c r="J1190" t="n">
        <v>0</v>
      </c>
    </row>
    <row r="1191">
      <c r="A1191" s="5" t="n">
        <v>46052</v>
      </c>
      <c r="B1191" t="inlineStr">
        <is>
          <t>linkedin_ceo_abm</t>
        </is>
      </c>
      <c r="C1191" t="inlineStr">
        <is>
          <t>linkedin</t>
        </is>
      </c>
      <c r="D1191" t="n">
        <v>23856</v>
      </c>
      <c r="E1191" t="n">
        <v>4587</v>
      </c>
      <c r="F1191" t="n">
        <v>32</v>
      </c>
      <c r="G1191" t="n">
        <v>2</v>
      </c>
      <c r="H1191" t="n">
        <v>2</v>
      </c>
      <c r="I1191" t="n">
        <v>1</v>
      </c>
      <c r="J1191" t="n">
        <v>1</v>
      </c>
    </row>
    <row r="1192">
      <c r="A1192" s="5" t="n">
        <v>46052</v>
      </c>
      <c r="B1192" t="inlineStr">
        <is>
          <t>meta_prospecting_founder</t>
        </is>
      </c>
      <c r="C1192" t="inlineStr">
        <is>
          <t>meta</t>
        </is>
      </c>
      <c r="D1192" t="n">
        <v>31863</v>
      </c>
      <c r="E1192" t="n">
        <v>22759</v>
      </c>
      <c r="F1192" t="n">
        <v>276</v>
      </c>
      <c r="G1192" t="n">
        <v>8</v>
      </c>
      <c r="H1192" t="n">
        <v>2</v>
      </c>
      <c r="I1192" t="n">
        <v>0</v>
      </c>
      <c r="J1192" t="n">
        <v>0</v>
      </c>
    </row>
    <row r="1193">
      <c r="A1193" s="5" t="n">
        <v>46052</v>
      </c>
      <c r="B1193" t="inlineStr">
        <is>
          <t>meta_retargeting_webinar</t>
        </is>
      </c>
      <c r="C1193" t="inlineStr">
        <is>
          <t>meta</t>
        </is>
      </c>
      <c r="D1193" t="n">
        <v>9156</v>
      </c>
      <c r="E1193" t="n">
        <v>6540</v>
      </c>
      <c r="F1193" t="n">
        <v>76</v>
      </c>
      <c r="G1193" t="n">
        <v>2</v>
      </c>
      <c r="H1193" t="n">
        <v>0</v>
      </c>
      <c r="I1193" t="n">
        <v>0</v>
      </c>
      <c r="J1193" t="n">
        <v>0</v>
      </c>
    </row>
    <row r="1194">
      <c r="A1194" s="5" t="n">
        <v>46053</v>
      </c>
      <c r="B1194" t="inlineStr">
        <is>
          <t>FB-Broad</t>
        </is>
      </c>
      <c r="C1194" t="inlineStr">
        <is>
          <t>meta</t>
        </is>
      </c>
      <c r="D1194" t="n">
        <v>16299</v>
      </c>
      <c r="E1194" t="n">
        <v>11642</v>
      </c>
      <c r="F1194" t="n">
        <v>135</v>
      </c>
      <c r="G1194" t="n">
        <v>4</v>
      </c>
      <c r="H1194" t="n">
        <v>1</v>
      </c>
      <c r="I1194" t="n">
        <v>1</v>
      </c>
      <c r="J1194" t="n">
        <v>0</v>
      </c>
    </row>
    <row r="1195">
      <c r="A1195" s="5" t="n">
        <v>46053</v>
      </c>
      <c r="B1195" t="inlineStr">
        <is>
          <t>google_brand_search</t>
        </is>
      </c>
      <c r="C1195" t="inlineStr">
        <is>
          <t>google</t>
        </is>
      </c>
      <c r="D1195" t="n">
        <v>6593</v>
      </c>
      <c r="E1195" t="n">
        <v>1373</v>
      </c>
      <c r="F1195" t="n">
        <v>62</v>
      </c>
      <c r="G1195" t="n">
        <v>0</v>
      </c>
      <c r="H1195" t="n">
        <v>0</v>
      </c>
      <c r="I1195" t="n">
        <v>1</v>
      </c>
      <c r="J1195" t="n">
        <v>0</v>
      </c>
    </row>
    <row r="1196">
      <c r="A1196" s="5" t="n">
        <v>46053</v>
      </c>
      <c r="B1196" t="inlineStr">
        <is>
          <t>google_nonbrand_growth</t>
        </is>
      </c>
      <c r="C1196" t="inlineStr">
        <is>
          <t>google</t>
        </is>
      </c>
      <c r="D1196" t="n">
        <v>21702</v>
      </c>
      <c r="E1196" t="n">
        <v>4521</v>
      </c>
      <c r="F1196" t="n">
        <v>248</v>
      </c>
      <c r="G1196" t="n">
        <v>1</v>
      </c>
      <c r="H1196" t="n">
        <v>0</v>
      </c>
      <c r="I1196" t="n">
        <v>0</v>
      </c>
      <c r="J1196" t="n">
        <v>0</v>
      </c>
    </row>
    <row r="1197">
      <c r="A1197" s="5" t="n">
        <v>46053</v>
      </c>
      <c r="B1197" t="inlineStr">
        <is>
          <t>linkedin_ceo_abm</t>
        </is>
      </c>
      <c r="C1197" t="inlineStr">
        <is>
          <t>linkedin</t>
        </is>
      </c>
      <c r="D1197" t="n">
        <v>25368</v>
      </c>
      <c r="E1197" t="n">
        <v>4878</v>
      </c>
      <c r="F1197" t="n">
        <v>27</v>
      </c>
      <c r="G1197" t="n">
        <v>0</v>
      </c>
      <c r="H1197" t="n">
        <v>1</v>
      </c>
      <c r="I1197" t="n">
        <v>1</v>
      </c>
      <c r="J1197" t="n">
        <v>0</v>
      </c>
    </row>
    <row r="1198">
      <c r="A1198" s="5" t="n">
        <v>46053</v>
      </c>
      <c r="B1198" t="inlineStr">
        <is>
          <t>meta_prospecting_founder</t>
        </is>
      </c>
      <c r="C1198" t="inlineStr">
        <is>
          <t>meta</t>
        </is>
      </c>
      <c r="D1198" t="n">
        <v>32417</v>
      </c>
      <c r="E1198" t="n">
        <v>23155</v>
      </c>
      <c r="F1198" t="n">
        <v>223</v>
      </c>
      <c r="G1198" t="n">
        <v>6</v>
      </c>
      <c r="H1198" t="n">
        <v>0</v>
      </c>
      <c r="I1198" t="n">
        <v>0</v>
      </c>
      <c r="J1198" t="n">
        <v>0</v>
      </c>
    </row>
    <row r="1199">
      <c r="A1199" s="5" t="n">
        <v>46053</v>
      </c>
      <c r="B1199" t="inlineStr">
        <is>
          <t>meta_retargeting_webinar</t>
        </is>
      </c>
      <c r="C1199" t="inlineStr">
        <is>
          <t>meta</t>
        </is>
      </c>
      <c r="D1199" t="n">
        <v>9820</v>
      </c>
      <c r="E1199" t="n">
        <v>7014</v>
      </c>
      <c r="F1199" t="n">
        <v>66</v>
      </c>
      <c r="G1199" t="n">
        <v>2</v>
      </c>
      <c r="H1199" t="n">
        <v>1</v>
      </c>
      <c r="I1199" t="n">
        <v>1</v>
      </c>
      <c r="J1199" t="n">
        <v>0</v>
      </c>
    </row>
    <row r="1200">
      <c r="A1200" s="5" t="n">
        <v>46054</v>
      </c>
      <c r="B1200" t="inlineStr">
        <is>
          <t>FB-Broad</t>
        </is>
      </c>
      <c r="C1200" t="inlineStr">
        <is>
          <t>meta</t>
        </is>
      </c>
      <c r="D1200" t="n">
        <v>15478</v>
      </c>
      <c r="E1200" t="n">
        <v>11055</v>
      </c>
      <c r="F1200" t="n">
        <v>117</v>
      </c>
      <c r="G1200" t="n">
        <v>5</v>
      </c>
      <c r="H1200" t="n">
        <v>1</v>
      </c>
      <c r="I1200" t="n">
        <v>0</v>
      </c>
      <c r="J1200" t="n">
        <v>0</v>
      </c>
    </row>
    <row r="1201">
      <c r="A1201" s="5" t="n">
        <v>46054</v>
      </c>
      <c r="B1201" t="inlineStr">
        <is>
          <t>google_brand_search</t>
        </is>
      </c>
      <c r="C1201" t="inlineStr">
        <is>
          <t>google</t>
        </is>
      </c>
      <c r="D1201" t="n">
        <v>7294</v>
      </c>
      <c r="E1201" t="n">
        <v>1519</v>
      </c>
      <c r="F1201" t="n">
        <v>89</v>
      </c>
      <c r="G1201" t="n">
        <v>1</v>
      </c>
      <c r="H1201" t="n">
        <v>3</v>
      </c>
      <c r="I1201" t="n">
        <v>1</v>
      </c>
      <c r="J1201" t="n">
        <v>0</v>
      </c>
    </row>
    <row r="1202">
      <c r="A1202" s="5" t="n">
        <v>46054</v>
      </c>
      <c r="B1202" t="inlineStr">
        <is>
          <t>google_nonbrand_growth</t>
        </is>
      </c>
      <c r="C1202" t="inlineStr">
        <is>
          <t>google</t>
        </is>
      </c>
      <c r="D1202" t="n">
        <v>17841</v>
      </c>
      <c r="E1202" t="n">
        <v>3716</v>
      </c>
      <c r="F1202" t="n">
        <v>167</v>
      </c>
      <c r="G1202" t="n">
        <v>1</v>
      </c>
      <c r="H1202" t="n">
        <v>1</v>
      </c>
      <c r="I1202" t="n">
        <v>1</v>
      </c>
      <c r="J1202" t="n">
        <v>0</v>
      </c>
    </row>
    <row r="1203">
      <c r="A1203" s="5" t="n">
        <v>46054</v>
      </c>
      <c r="B1203" t="inlineStr">
        <is>
          <t>linkedin_ceo_abm</t>
        </is>
      </c>
      <c r="C1203" t="inlineStr">
        <is>
          <t>linkedin</t>
        </is>
      </c>
      <c r="D1203" t="n">
        <v>23716</v>
      </c>
      <c r="E1203" t="n">
        <v>4560</v>
      </c>
      <c r="F1203" t="n">
        <v>31</v>
      </c>
      <c r="G1203" t="n">
        <v>3</v>
      </c>
      <c r="H1203" t="n">
        <v>1</v>
      </c>
      <c r="I1203" t="n">
        <v>0</v>
      </c>
      <c r="J1203" t="n">
        <v>0</v>
      </c>
    </row>
    <row r="1204">
      <c r="A1204" s="5" t="n">
        <v>46054</v>
      </c>
      <c r="B1204" t="inlineStr">
        <is>
          <t>meta_prospecting_founder</t>
        </is>
      </c>
      <c r="C1204" t="inlineStr">
        <is>
          <t>meta</t>
        </is>
      </c>
      <c r="D1204" t="n">
        <v>29228</v>
      </c>
      <c r="E1204" t="n">
        <v>20877</v>
      </c>
      <c r="F1204" t="n">
        <v>210</v>
      </c>
      <c r="G1204" t="n">
        <v>4</v>
      </c>
      <c r="H1204" t="n">
        <v>0</v>
      </c>
      <c r="I1204" t="n">
        <v>2</v>
      </c>
      <c r="J1204" t="n">
        <v>0</v>
      </c>
    </row>
    <row r="1205">
      <c r="A1205" s="5" t="n">
        <v>46054</v>
      </c>
      <c r="B1205" t="inlineStr">
        <is>
          <t>meta_retargeting_webinar</t>
        </is>
      </c>
      <c r="C1205" t="inlineStr">
        <is>
          <t>meta</t>
        </is>
      </c>
      <c r="D1205" t="n">
        <v>8596</v>
      </c>
      <c r="E1205" t="n">
        <v>6140</v>
      </c>
      <c r="F1205" t="n">
        <v>64</v>
      </c>
      <c r="G1205" t="n">
        <v>3</v>
      </c>
      <c r="H1205" t="n">
        <v>2</v>
      </c>
      <c r="I1205" t="n">
        <v>1</v>
      </c>
      <c r="J1205" t="n">
        <v>1</v>
      </c>
    </row>
    <row r="1206">
      <c r="A1206" s="5" t="n">
        <v>46055</v>
      </c>
      <c r="B1206" t="inlineStr">
        <is>
          <t>FB-Broad</t>
        </is>
      </c>
      <c r="C1206" t="inlineStr">
        <is>
          <t>meta</t>
        </is>
      </c>
      <c r="D1206" t="n">
        <v>16287</v>
      </c>
      <c r="E1206" t="n">
        <v>11633</v>
      </c>
      <c r="F1206" t="n">
        <v>120</v>
      </c>
      <c r="G1206" t="n">
        <v>4</v>
      </c>
      <c r="H1206" t="n">
        <v>0</v>
      </c>
      <c r="I1206" t="n">
        <v>0</v>
      </c>
      <c r="J1206" t="n">
        <v>0</v>
      </c>
    </row>
    <row r="1207">
      <c r="A1207" s="5" t="n">
        <v>46055</v>
      </c>
      <c r="B1207" t="inlineStr">
        <is>
          <t>google_brand_search</t>
        </is>
      </c>
      <c r="C1207" t="inlineStr">
        <is>
          <t>google</t>
        </is>
      </c>
      <c r="D1207" t="n">
        <v>6802</v>
      </c>
      <c r="E1207" t="n">
        <v>1417</v>
      </c>
      <c r="F1207" t="n">
        <v>78</v>
      </c>
      <c r="G1207" t="n">
        <v>2</v>
      </c>
      <c r="H1207" t="n">
        <v>0</v>
      </c>
      <c r="I1207" t="n">
        <v>1</v>
      </c>
      <c r="J1207" t="n">
        <v>0</v>
      </c>
    </row>
    <row r="1208">
      <c r="A1208" s="5" t="n">
        <v>46055</v>
      </c>
      <c r="B1208" t="inlineStr">
        <is>
          <t>google_nonbrand_growth</t>
        </is>
      </c>
      <c r="C1208" t="inlineStr">
        <is>
          <t>google</t>
        </is>
      </c>
      <c r="D1208" t="n">
        <v>17652</v>
      </c>
      <c r="E1208" t="n">
        <v>3677</v>
      </c>
      <c r="F1208" t="n">
        <v>205</v>
      </c>
      <c r="G1208" t="n">
        <v>4</v>
      </c>
      <c r="H1208" t="n">
        <v>0</v>
      </c>
      <c r="I1208" t="n">
        <v>0</v>
      </c>
      <c r="J1208" t="n">
        <v>1</v>
      </c>
    </row>
    <row r="1209">
      <c r="A1209" s="5" t="n">
        <v>46055</v>
      </c>
      <c r="B1209" t="inlineStr">
        <is>
          <t>linkedin_ceo_abm</t>
        </is>
      </c>
      <c r="C1209" t="inlineStr">
        <is>
          <t>linkedin</t>
        </is>
      </c>
      <c r="D1209" t="n">
        <v>23534</v>
      </c>
      <c r="E1209" t="n">
        <v>4525</v>
      </c>
      <c r="F1209" t="n">
        <v>29</v>
      </c>
      <c r="G1209" t="n">
        <v>1</v>
      </c>
      <c r="H1209" t="n">
        <v>0</v>
      </c>
      <c r="I1209" t="n">
        <v>2</v>
      </c>
      <c r="J1209" t="n">
        <v>0</v>
      </c>
    </row>
    <row r="1210">
      <c r="A1210" s="5" t="n">
        <v>46055</v>
      </c>
      <c r="B1210" t="inlineStr">
        <is>
          <t>meta_prospecting_founder</t>
        </is>
      </c>
      <c r="C1210" t="inlineStr">
        <is>
          <t>meta</t>
        </is>
      </c>
      <c r="D1210" t="n">
        <v>29497</v>
      </c>
      <c r="E1210" t="n">
        <v>21069</v>
      </c>
      <c r="F1210" t="n">
        <v>234</v>
      </c>
      <c r="G1210" t="n">
        <v>13</v>
      </c>
      <c r="H1210" t="n">
        <v>2</v>
      </c>
      <c r="I1210" t="n">
        <v>1</v>
      </c>
      <c r="J1210" t="n">
        <v>1</v>
      </c>
    </row>
    <row r="1211">
      <c r="A1211" s="5" t="n">
        <v>46055</v>
      </c>
      <c r="B1211" t="inlineStr">
        <is>
          <t>meta_retargeting_webinar</t>
        </is>
      </c>
      <c r="C1211" t="inlineStr">
        <is>
          <t>meta</t>
        </is>
      </c>
      <c r="D1211" t="n">
        <v>9500</v>
      </c>
      <c r="E1211" t="n">
        <v>6785</v>
      </c>
      <c r="F1211" t="n">
        <v>64</v>
      </c>
      <c r="G1211" t="n">
        <v>3</v>
      </c>
      <c r="H1211" t="n">
        <v>0</v>
      </c>
      <c r="I1211" t="n">
        <v>0</v>
      </c>
      <c r="J1211" t="n">
        <v>0</v>
      </c>
    </row>
    <row r="1212">
      <c r="A1212" s="5" t="n">
        <v>46056</v>
      </c>
      <c r="B1212" t="inlineStr">
        <is>
          <t>FB-Broad</t>
        </is>
      </c>
      <c r="C1212" t="inlineStr">
        <is>
          <t>meta</t>
        </is>
      </c>
      <c r="D1212" t="n">
        <v>15817</v>
      </c>
      <c r="E1212" t="n">
        <v>11297</v>
      </c>
      <c r="F1212" t="n">
        <v>140</v>
      </c>
      <c r="G1212" t="n">
        <v>3</v>
      </c>
      <c r="H1212" t="n">
        <v>1</v>
      </c>
      <c r="I1212" t="n">
        <v>0</v>
      </c>
      <c r="J1212" t="n">
        <v>0</v>
      </c>
    </row>
    <row r="1213">
      <c r="A1213" s="5" t="n">
        <v>46056</v>
      </c>
      <c r="B1213" t="inlineStr">
        <is>
          <t>google_brand_search</t>
        </is>
      </c>
      <c r="C1213" t="inlineStr">
        <is>
          <t>google</t>
        </is>
      </c>
      <c r="D1213" t="n">
        <v>6773</v>
      </c>
      <c r="E1213" t="n">
        <v>1411</v>
      </c>
      <c r="F1213" t="n">
        <v>82</v>
      </c>
      <c r="G1213" t="n">
        <v>2</v>
      </c>
      <c r="H1213" t="n">
        <v>1</v>
      </c>
      <c r="I1213" t="n">
        <v>0</v>
      </c>
      <c r="J1213" t="n">
        <v>0</v>
      </c>
    </row>
    <row r="1214">
      <c r="A1214" s="5" t="n">
        <v>46056</v>
      </c>
      <c r="B1214" t="inlineStr">
        <is>
          <t>google_nonbrand_growth</t>
        </is>
      </c>
      <c r="C1214" t="inlineStr">
        <is>
          <t>google</t>
        </is>
      </c>
      <c r="D1214" t="n">
        <v>17541</v>
      </c>
      <c r="E1214" t="n">
        <v>3654</v>
      </c>
      <c r="F1214" t="n">
        <v>189</v>
      </c>
      <c r="G1214" t="n">
        <v>2</v>
      </c>
      <c r="H1214" t="n">
        <v>1</v>
      </c>
      <c r="I1214" t="n">
        <v>1</v>
      </c>
      <c r="J1214" t="n">
        <v>0</v>
      </c>
    </row>
    <row r="1215">
      <c r="A1215" s="5" t="n">
        <v>46056</v>
      </c>
      <c r="B1215" t="inlineStr">
        <is>
          <t>linkedin_ceo_abm</t>
        </is>
      </c>
      <c r="C1215" t="inlineStr">
        <is>
          <t>linkedin</t>
        </is>
      </c>
      <c r="D1215" t="n">
        <v>26718</v>
      </c>
      <c r="E1215" t="n">
        <v>5138</v>
      </c>
      <c r="F1215" t="n">
        <v>29</v>
      </c>
      <c r="G1215" t="n">
        <v>1</v>
      </c>
      <c r="H1215" t="n">
        <v>1</v>
      </c>
      <c r="I1215" t="n">
        <v>1</v>
      </c>
      <c r="J1215" t="n">
        <v>0</v>
      </c>
    </row>
    <row r="1216">
      <c r="A1216" s="5" t="n">
        <v>46056</v>
      </c>
      <c r="B1216" t="inlineStr">
        <is>
          <t>meta_prospecting_founder</t>
        </is>
      </c>
      <c r="C1216" t="inlineStr">
        <is>
          <t>meta</t>
        </is>
      </c>
      <c r="D1216" t="n">
        <v>35559</v>
      </c>
      <c r="E1216" t="n">
        <v>25399</v>
      </c>
      <c r="F1216" t="n">
        <v>248</v>
      </c>
      <c r="G1216" t="n">
        <v>12</v>
      </c>
      <c r="H1216" t="n">
        <v>2</v>
      </c>
      <c r="I1216" t="n">
        <v>0</v>
      </c>
      <c r="J1216" t="n">
        <v>0</v>
      </c>
    </row>
    <row r="1217">
      <c r="A1217" s="5" t="n">
        <v>46056</v>
      </c>
      <c r="B1217" t="inlineStr">
        <is>
          <t>meta_retargeting_webinar</t>
        </is>
      </c>
      <c r="C1217" t="inlineStr">
        <is>
          <t>meta</t>
        </is>
      </c>
      <c r="D1217" t="n">
        <v>8574</v>
      </c>
      <c r="E1217" t="n">
        <v>6124</v>
      </c>
      <c r="F1217" t="n">
        <v>67</v>
      </c>
      <c r="G1217" t="n">
        <v>4</v>
      </c>
      <c r="H1217" t="n">
        <v>0</v>
      </c>
      <c r="I1217" t="n">
        <v>1</v>
      </c>
      <c r="J1217" t="n">
        <v>0</v>
      </c>
    </row>
    <row r="1218">
      <c r="A1218" s="5" t="n">
        <v>46057</v>
      </c>
      <c r="B1218" t="inlineStr">
        <is>
          <t>FB-Broad</t>
        </is>
      </c>
      <c r="C1218" t="inlineStr">
        <is>
          <t>meta</t>
        </is>
      </c>
      <c r="D1218" t="n">
        <v>16209</v>
      </c>
      <c r="E1218" t="n">
        <v>11577</v>
      </c>
      <c r="F1218" t="n">
        <v>132</v>
      </c>
      <c r="G1218" t="n">
        <v>3</v>
      </c>
      <c r="H1218" t="n">
        <v>1</v>
      </c>
      <c r="I1218" t="n">
        <v>2</v>
      </c>
      <c r="J1218" t="n">
        <v>0</v>
      </c>
    </row>
    <row r="1219">
      <c r="A1219" s="5" t="n">
        <v>46057</v>
      </c>
      <c r="B1219" t="inlineStr">
        <is>
          <t>google_brand_search</t>
        </is>
      </c>
      <c r="C1219" t="inlineStr">
        <is>
          <t>google</t>
        </is>
      </c>
      <c r="D1219" t="n">
        <v>7303</v>
      </c>
      <c r="E1219" t="n">
        <v>1521</v>
      </c>
      <c r="F1219" t="n">
        <v>80</v>
      </c>
      <c r="G1219" t="n">
        <v>3</v>
      </c>
      <c r="H1219" t="n">
        <v>0</v>
      </c>
      <c r="I1219" t="n">
        <v>0</v>
      </c>
      <c r="J1219" t="n">
        <v>0</v>
      </c>
    </row>
    <row r="1220">
      <c r="A1220" s="5" t="n">
        <v>46057</v>
      </c>
      <c r="B1220" t="inlineStr">
        <is>
          <t>google_nonbrand_growth</t>
        </is>
      </c>
      <c r="C1220" t="inlineStr">
        <is>
          <t>google</t>
        </is>
      </c>
      <c r="D1220" t="n">
        <v>20309</v>
      </c>
      <c r="E1220" t="n">
        <v>4231</v>
      </c>
      <c r="F1220" t="n">
        <v>221</v>
      </c>
      <c r="G1220" t="n">
        <v>3</v>
      </c>
      <c r="H1220" t="n">
        <v>1</v>
      </c>
      <c r="I1220" t="n">
        <v>0</v>
      </c>
      <c r="J1220" t="n">
        <v>0</v>
      </c>
    </row>
    <row r="1221">
      <c r="A1221" s="5" t="n">
        <v>46057</v>
      </c>
      <c r="B1221" t="inlineStr">
        <is>
          <t>linkedin_ceo_abm</t>
        </is>
      </c>
      <c r="C1221" t="inlineStr">
        <is>
          <t>linkedin</t>
        </is>
      </c>
      <c r="D1221" t="n">
        <v>26881</v>
      </c>
      <c r="E1221" t="n">
        <v>5169</v>
      </c>
      <c r="F1221" t="n">
        <v>34</v>
      </c>
      <c r="G1221" t="n">
        <v>1</v>
      </c>
      <c r="H1221" t="n">
        <v>1</v>
      </c>
      <c r="I1221" t="n">
        <v>0</v>
      </c>
      <c r="J1221" t="n">
        <v>0</v>
      </c>
    </row>
    <row r="1222">
      <c r="A1222" s="5" t="n">
        <v>46057</v>
      </c>
      <c r="B1222" t="inlineStr">
        <is>
          <t>meta_prospecting_founder</t>
        </is>
      </c>
      <c r="C1222" t="inlineStr">
        <is>
          <t>meta</t>
        </is>
      </c>
      <c r="D1222" t="n">
        <v>29752</v>
      </c>
      <c r="E1222" t="n">
        <v>21251</v>
      </c>
      <c r="F1222" t="n">
        <v>264</v>
      </c>
      <c r="G1222" t="n">
        <v>10</v>
      </c>
      <c r="H1222" t="n">
        <v>3</v>
      </c>
      <c r="I1222" t="n">
        <v>1</v>
      </c>
      <c r="J1222" t="n">
        <v>0</v>
      </c>
    </row>
    <row r="1223">
      <c r="A1223" s="5" t="n">
        <v>46057</v>
      </c>
      <c r="B1223" t="inlineStr">
        <is>
          <t>meta_retargeting_webinar</t>
        </is>
      </c>
      <c r="C1223" t="inlineStr">
        <is>
          <t>meta</t>
        </is>
      </c>
      <c r="D1223" t="n">
        <v>9774</v>
      </c>
      <c r="E1223" t="n">
        <v>6981</v>
      </c>
      <c r="F1223" t="n">
        <v>88</v>
      </c>
      <c r="G1223" t="n">
        <v>5</v>
      </c>
      <c r="H1223" t="n">
        <v>1</v>
      </c>
      <c r="I1223" t="n">
        <v>0</v>
      </c>
      <c r="J1223" t="n">
        <v>0</v>
      </c>
    </row>
    <row r="1224">
      <c r="A1224" s="5" t="n">
        <v>46058</v>
      </c>
      <c r="B1224" t="inlineStr">
        <is>
          <t>FB-Broad</t>
        </is>
      </c>
      <c r="C1224" t="inlineStr">
        <is>
          <t>meta</t>
        </is>
      </c>
      <c r="D1224" t="n">
        <v>17684</v>
      </c>
      <c r="E1224" t="n">
        <v>12631</v>
      </c>
      <c r="F1224" t="n">
        <v>125</v>
      </c>
      <c r="G1224" t="n">
        <v>4</v>
      </c>
      <c r="H1224" t="n">
        <v>1</v>
      </c>
      <c r="I1224" t="n">
        <v>0</v>
      </c>
      <c r="J1224" t="n">
        <v>0</v>
      </c>
    </row>
    <row r="1225">
      <c r="A1225" s="5" t="n">
        <v>46058</v>
      </c>
      <c r="B1225" t="inlineStr">
        <is>
          <t>google_brand_search</t>
        </is>
      </c>
      <c r="C1225" t="inlineStr">
        <is>
          <t>google</t>
        </is>
      </c>
      <c r="D1225" t="n">
        <v>7477</v>
      </c>
      <c r="E1225" t="n">
        <v>1557</v>
      </c>
      <c r="F1225" t="n">
        <v>77</v>
      </c>
      <c r="G1225" t="n">
        <v>1</v>
      </c>
      <c r="H1225" t="n">
        <v>2</v>
      </c>
      <c r="I1225" t="n">
        <v>0</v>
      </c>
      <c r="J1225" t="n">
        <v>0</v>
      </c>
    </row>
    <row r="1226">
      <c r="A1226" s="5" t="n">
        <v>46058</v>
      </c>
      <c r="B1226" t="inlineStr">
        <is>
          <t>google_nonbrand_growth</t>
        </is>
      </c>
      <c r="C1226" t="inlineStr">
        <is>
          <t>google</t>
        </is>
      </c>
      <c r="D1226" t="n">
        <v>17740</v>
      </c>
      <c r="E1226" t="n">
        <v>3695</v>
      </c>
      <c r="F1226" t="n">
        <v>189</v>
      </c>
      <c r="G1226" t="n">
        <v>2</v>
      </c>
      <c r="H1226" t="n">
        <v>2</v>
      </c>
      <c r="I1226" t="n">
        <v>0</v>
      </c>
      <c r="J1226" t="n">
        <v>0</v>
      </c>
    </row>
    <row r="1227">
      <c r="A1227" s="5" t="n">
        <v>46058</v>
      </c>
      <c r="B1227" t="inlineStr">
        <is>
          <t>linkedin_ceo_abm</t>
        </is>
      </c>
      <c r="C1227" t="inlineStr">
        <is>
          <t>linkedin</t>
        </is>
      </c>
      <c r="D1227" t="n">
        <v>28060</v>
      </c>
      <c r="E1227" t="n">
        <v>5396</v>
      </c>
      <c r="F1227" t="n">
        <v>39</v>
      </c>
      <c r="G1227" t="n">
        <v>1</v>
      </c>
      <c r="H1227" t="n">
        <v>2</v>
      </c>
      <c r="I1227" t="n">
        <v>1</v>
      </c>
      <c r="J1227" t="n">
        <v>0</v>
      </c>
    </row>
    <row r="1228">
      <c r="A1228" s="5" t="n">
        <v>46058</v>
      </c>
      <c r="B1228" t="inlineStr">
        <is>
          <t>meta_prospecting_founder</t>
        </is>
      </c>
      <c r="C1228" t="inlineStr">
        <is>
          <t>meta</t>
        </is>
      </c>
      <c r="D1228" t="n">
        <v>29700</v>
      </c>
      <c r="E1228" t="n">
        <v>21214</v>
      </c>
      <c r="F1228" t="n">
        <v>252</v>
      </c>
      <c r="G1228" t="n">
        <v>9</v>
      </c>
      <c r="H1228" t="n">
        <v>1</v>
      </c>
      <c r="I1228" t="n">
        <v>2</v>
      </c>
      <c r="J1228" t="n">
        <v>1</v>
      </c>
    </row>
    <row r="1229">
      <c r="A1229" s="5" t="n">
        <v>46058</v>
      </c>
      <c r="B1229" t="inlineStr">
        <is>
          <t>meta_retargeting_webinar</t>
        </is>
      </c>
      <c r="C1229" t="inlineStr">
        <is>
          <t>meta</t>
        </is>
      </c>
      <c r="D1229" t="n">
        <v>8603</v>
      </c>
      <c r="E1229" t="n">
        <v>6145</v>
      </c>
      <c r="F1229" t="n">
        <v>69</v>
      </c>
      <c r="G1229" t="n">
        <v>1</v>
      </c>
      <c r="H1229" t="n">
        <v>3</v>
      </c>
      <c r="I1229" t="n">
        <v>0</v>
      </c>
      <c r="J1229" t="n">
        <v>0</v>
      </c>
    </row>
    <row r="1230">
      <c r="A1230" s="5" t="n">
        <v>46059</v>
      </c>
      <c r="B1230" t="inlineStr">
        <is>
          <t>FB-Broad</t>
        </is>
      </c>
      <c r="C1230" t="inlineStr">
        <is>
          <t>meta</t>
        </is>
      </c>
      <c r="D1230" t="n">
        <v>16420</v>
      </c>
      <c r="E1230" t="n">
        <v>11728</v>
      </c>
      <c r="F1230" t="n">
        <v>140</v>
      </c>
      <c r="G1230" t="n">
        <v>3</v>
      </c>
      <c r="H1230" t="n">
        <v>1</v>
      </c>
      <c r="I1230" t="n">
        <v>0</v>
      </c>
      <c r="J1230" t="n">
        <v>0</v>
      </c>
    </row>
    <row r="1231">
      <c r="A1231" s="5" t="n">
        <v>46059</v>
      </c>
      <c r="B1231" t="inlineStr">
        <is>
          <t>google_brand_search</t>
        </is>
      </c>
      <c r="C1231" t="inlineStr">
        <is>
          <t>google</t>
        </is>
      </c>
      <c r="D1231" t="n">
        <v>7517</v>
      </c>
      <c r="E1231" t="n">
        <v>1566</v>
      </c>
      <c r="F1231" t="n">
        <v>82</v>
      </c>
      <c r="G1231" t="n">
        <v>2</v>
      </c>
      <c r="H1231" t="n">
        <v>1</v>
      </c>
      <c r="I1231" t="n">
        <v>1</v>
      </c>
      <c r="J1231" t="n">
        <v>0</v>
      </c>
    </row>
    <row r="1232">
      <c r="A1232" s="5" t="n">
        <v>46059</v>
      </c>
      <c r="B1232" t="inlineStr">
        <is>
          <t>google_nonbrand_growth</t>
        </is>
      </c>
      <c r="C1232" t="inlineStr">
        <is>
          <t>google</t>
        </is>
      </c>
      <c r="D1232" t="n">
        <v>17500</v>
      </c>
      <c r="E1232" t="n">
        <v>3645</v>
      </c>
      <c r="F1232" t="n">
        <v>194</v>
      </c>
      <c r="G1232" t="n">
        <v>1</v>
      </c>
      <c r="H1232" t="n">
        <v>1</v>
      </c>
      <c r="I1232" t="n">
        <v>0</v>
      </c>
      <c r="J1232" t="n">
        <v>0</v>
      </c>
    </row>
    <row r="1233">
      <c r="A1233" s="5" t="n">
        <v>46059</v>
      </c>
      <c r="B1233" t="inlineStr">
        <is>
          <t>linkedin_ceo_abm</t>
        </is>
      </c>
      <c r="C1233" t="inlineStr">
        <is>
          <t>linkedin</t>
        </is>
      </c>
      <c r="D1233" t="n">
        <v>24967</v>
      </c>
      <c r="E1233" t="n">
        <v>4801</v>
      </c>
      <c r="F1233" t="n">
        <v>26</v>
      </c>
      <c r="G1233" t="n">
        <v>4</v>
      </c>
      <c r="H1233" t="n">
        <v>1</v>
      </c>
      <c r="I1233" t="n">
        <v>1</v>
      </c>
      <c r="J1233" t="n">
        <v>0</v>
      </c>
    </row>
    <row r="1234">
      <c r="A1234" s="5" t="n">
        <v>46059</v>
      </c>
      <c r="B1234" t="inlineStr">
        <is>
          <t>meta_prospecting_founder</t>
        </is>
      </c>
      <c r="C1234" t="inlineStr">
        <is>
          <t>meta</t>
        </is>
      </c>
      <c r="D1234" t="n">
        <v>30864</v>
      </c>
      <c r="E1234" t="n">
        <v>22045</v>
      </c>
      <c r="F1234" t="n">
        <v>255</v>
      </c>
      <c r="G1234" t="n">
        <v>4</v>
      </c>
      <c r="H1234" t="n">
        <v>2</v>
      </c>
      <c r="I1234" t="n">
        <v>0</v>
      </c>
      <c r="J1234" t="n">
        <v>0</v>
      </c>
    </row>
    <row r="1235">
      <c r="A1235" s="5" t="n">
        <v>46059</v>
      </c>
      <c r="B1235" t="inlineStr">
        <is>
          <t>meta_retargeting_webinar</t>
        </is>
      </c>
      <c r="C1235" t="inlineStr">
        <is>
          <t>meta</t>
        </is>
      </c>
      <c r="D1235" t="n">
        <v>8559</v>
      </c>
      <c r="E1235" t="n">
        <v>6113</v>
      </c>
      <c r="F1235" t="n">
        <v>66</v>
      </c>
      <c r="G1235" t="n">
        <v>2</v>
      </c>
      <c r="H1235" t="n">
        <v>2</v>
      </c>
      <c r="I1235" t="n">
        <v>1</v>
      </c>
      <c r="J1235" t="n">
        <v>0</v>
      </c>
    </row>
    <row r="1236">
      <c r="A1236" s="5" t="n">
        <v>46060</v>
      </c>
      <c r="B1236" t="inlineStr">
        <is>
          <t>FB-Broad</t>
        </is>
      </c>
      <c r="C1236" t="inlineStr">
        <is>
          <t>meta</t>
        </is>
      </c>
      <c r="D1236" t="n">
        <v>18294</v>
      </c>
      <c r="E1236" t="n">
        <v>13067</v>
      </c>
      <c r="F1236" t="n">
        <v>131</v>
      </c>
      <c r="G1236" t="n">
        <v>4</v>
      </c>
      <c r="H1236" t="n">
        <v>1</v>
      </c>
      <c r="I1236" t="n">
        <v>0</v>
      </c>
      <c r="J1236" t="n">
        <v>0</v>
      </c>
    </row>
    <row r="1237">
      <c r="A1237" s="5" t="n">
        <v>46060</v>
      </c>
      <c r="B1237" t="inlineStr">
        <is>
          <t>google_brand_search</t>
        </is>
      </c>
      <c r="C1237" t="inlineStr">
        <is>
          <t>google</t>
        </is>
      </c>
      <c r="D1237" t="n">
        <v>6702</v>
      </c>
      <c r="E1237" t="n">
        <v>1396</v>
      </c>
      <c r="F1237" t="n">
        <v>78</v>
      </c>
      <c r="G1237" t="n">
        <v>4</v>
      </c>
      <c r="H1237" t="n">
        <v>0</v>
      </c>
      <c r="I1237" t="n">
        <v>0</v>
      </c>
      <c r="J1237" t="n">
        <v>0</v>
      </c>
    </row>
    <row r="1238">
      <c r="A1238" s="5" t="n">
        <v>46060</v>
      </c>
      <c r="B1238" t="inlineStr">
        <is>
          <t>google_nonbrand_growth</t>
        </is>
      </c>
      <c r="C1238" t="inlineStr">
        <is>
          <t>google</t>
        </is>
      </c>
      <c r="D1238" t="n">
        <v>20252</v>
      </c>
      <c r="E1238" t="n">
        <v>4219</v>
      </c>
      <c r="F1238" t="n">
        <v>239</v>
      </c>
      <c r="G1238" t="n">
        <v>2</v>
      </c>
      <c r="H1238" t="n">
        <v>0</v>
      </c>
      <c r="I1238" t="n">
        <v>1</v>
      </c>
      <c r="J1238" t="n">
        <v>0</v>
      </c>
    </row>
    <row r="1239">
      <c r="A1239" s="5" t="n">
        <v>46060</v>
      </c>
      <c r="B1239" t="inlineStr">
        <is>
          <t>linkedin_ceo_abm</t>
        </is>
      </c>
      <c r="C1239" t="inlineStr">
        <is>
          <t>linkedin</t>
        </is>
      </c>
      <c r="D1239" t="n">
        <v>27995</v>
      </c>
      <c r="E1239" t="n">
        <v>5383</v>
      </c>
      <c r="F1239" t="n">
        <v>31</v>
      </c>
      <c r="G1239" t="n">
        <v>0</v>
      </c>
      <c r="H1239" t="n">
        <v>0</v>
      </c>
      <c r="I1239" t="n">
        <v>1</v>
      </c>
      <c r="J1239" t="n">
        <v>0</v>
      </c>
    </row>
    <row r="1240">
      <c r="A1240" s="5" t="n">
        <v>46060</v>
      </c>
      <c r="B1240" t="inlineStr">
        <is>
          <t>meta_prospecting_founder</t>
        </is>
      </c>
      <c r="C1240" t="inlineStr">
        <is>
          <t>meta</t>
        </is>
      </c>
      <c r="D1240" t="n">
        <v>35218</v>
      </c>
      <c r="E1240" t="n">
        <v>25155</v>
      </c>
      <c r="F1240" t="n">
        <v>269</v>
      </c>
      <c r="G1240" t="n">
        <v>2</v>
      </c>
      <c r="H1240" t="n">
        <v>0</v>
      </c>
      <c r="I1240" t="n">
        <v>2</v>
      </c>
      <c r="J1240" t="n">
        <v>0</v>
      </c>
    </row>
    <row r="1241">
      <c r="A1241" s="5" t="n">
        <v>46060</v>
      </c>
      <c r="B1241" t="inlineStr">
        <is>
          <t>meta_retargeting_webinar</t>
        </is>
      </c>
      <c r="C1241" t="inlineStr">
        <is>
          <t>meta</t>
        </is>
      </c>
      <c r="D1241" t="n">
        <v>10138</v>
      </c>
      <c r="E1241" t="n">
        <v>7241</v>
      </c>
      <c r="F1241" t="n">
        <v>79</v>
      </c>
      <c r="G1241" t="n">
        <v>2</v>
      </c>
      <c r="H1241" t="n">
        <v>0</v>
      </c>
      <c r="I1241" t="n">
        <v>0</v>
      </c>
      <c r="J1241" t="n">
        <v>0</v>
      </c>
    </row>
    <row r="1242">
      <c r="A1242" s="5" t="n">
        <v>46061</v>
      </c>
      <c r="B1242" t="inlineStr">
        <is>
          <t>FB-Broad</t>
        </is>
      </c>
      <c r="C1242" t="inlineStr">
        <is>
          <t>meta</t>
        </is>
      </c>
      <c r="D1242" t="n">
        <v>15484</v>
      </c>
      <c r="E1242" t="n">
        <v>11060</v>
      </c>
      <c r="F1242" t="n">
        <v>120</v>
      </c>
      <c r="G1242" t="n">
        <v>4</v>
      </c>
      <c r="H1242" t="n">
        <v>0</v>
      </c>
      <c r="I1242" t="n">
        <v>0</v>
      </c>
      <c r="J1242" t="n">
        <v>0</v>
      </c>
    </row>
    <row r="1243">
      <c r="A1243" s="5" t="n">
        <v>46061</v>
      </c>
      <c r="B1243" t="inlineStr">
        <is>
          <t>google_brand_search</t>
        </is>
      </c>
      <c r="C1243" t="inlineStr">
        <is>
          <t>google</t>
        </is>
      </c>
      <c r="D1243" t="n">
        <v>7091</v>
      </c>
      <c r="E1243" t="n">
        <v>1477</v>
      </c>
      <c r="F1243" t="n">
        <v>74</v>
      </c>
      <c r="G1243" t="n">
        <v>2</v>
      </c>
      <c r="H1243" t="n">
        <v>2</v>
      </c>
      <c r="I1243" t="n">
        <v>0</v>
      </c>
      <c r="J1243" t="n">
        <v>0</v>
      </c>
    </row>
    <row r="1244">
      <c r="A1244" s="5" t="n">
        <v>46061</v>
      </c>
      <c r="B1244" t="inlineStr">
        <is>
          <t>google_nonbrand_growth</t>
        </is>
      </c>
      <c r="C1244" t="inlineStr">
        <is>
          <t>google</t>
        </is>
      </c>
      <c r="D1244" t="n">
        <v>18458</v>
      </c>
      <c r="E1244" t="n">
        <v>3845</v>
      </c>
      <c r="F1244" t="n">
        <v>228</v>
      </c>
      <c r="G1244" t="n">
        <v>3</v>
      </c>
      <c r="H1244" t="n">
        <v>1</v>
      </c>
      <c r="I1244" t="n">
        <v>0</v>
      </c>
      <c r="J1244" t="n">
        <v>0</v>
      </c>
    </row>
    <row r="1245">
      <c r="A1245" s="5" t="n">
        <v>46061</v>
      </c>
      <c r="B1245" t="inlineStr">
        <is>
          <t>linkedin_ceo_abm</t>
        </is>
      </c>
      <c r="C1245" t="inlineStr">
        <is>
          <t>linkedin</t>
        </is>
      </c>
      <c r="D1245" t="n">
        <v>26900</v>
      </c>
      <c r="E1245" t="n">
        <v>5173</v>
      </c>
      <c r="F1245" t="n">
        <v>34</v>
      </c>
      <c r="G1245" t="n">
        <v>1</v>
      </c>
      <c r="H1245" t="n">
        <v>2</v>
      </c>
      <c r="I1245" t="n">
        <v>1</v>
      </c>
      <c r="J1245" t="n">
        <v>0</v>
      </c>
    </row>
    <row r="1246">
      <c r="A1246" s="5" t="n">
        <v>46061</v>
      </c>
      <c r="B1246" t="inlineStr">
        <is>
          <t>meta_prospecting_founder</t>
        </is>
      </c>
      <c r="C1246" t="inlineStr">
        <is>
          <t>meta</t>
        </is>
      </c>
      <c r="D1246" t="n">
        <v>35207</v>
      </c>
      <c r="E1246" t="n">
        <v>25147</v>
      </c>
      <c r="F1246" t="n">
        <v>259</v>
      </c>
      <c r="G1246" t="n">
        <v>12</v>
      </c>
      <c r="H1246" t="n">
        <v>0</v>
      </c>
      <c r="I1246" t="n">
        <v>0</v>
      </c>
      <c r="J1246" t="n">
        <v>0</v>
      </c>
    </row>
    <row r="1247">
      <c r="A1247" s="5" t="n">
        <v>46061</v>
      </c>
      <c r="B1247" t="inlineStr">
        <is>
          <t>meta_retargeting_webinar</t>
        </is>
      </c>
      <c r="C1247" t="inlineStr">
        <is>
          <t>meta</t>
        </is>
      </c>
      <c r="D1247" t="n">
        <v>8877</v>
      </c>
      <c r="E1247" t="n">
        <v>6340</v>
      </c>
      <c r="F1247" t="n">
        <v>70</v>
      </c>
      <c r="G1247" t="n">
        <v>1</v>
      </c>
      <c r="H1247" t="n">
        <v>0</v>
      </c>
      <c r="I1247" t="n">
        <v>1</v>
      </c>
      <c r="J1247" t="n">
        <v>0</v>
      </c>
    </row>
    <row r="1248">
      <c r="A1248" s="5" t="n">
        <v>46062</v>
      </c>
      <c r="B1248" t="inlineStr">
        <is>
          <t>FB-Broad</t>
        </is>
      </c>
      <c r="C1248" t="inlineStr">
        <is>
          <t>meta</t>
        </is>
      </c>
      <c r="D1248" t="n">
        <v>18314</v>
      </c>
      <c r="E1248" t="n">
        <v>13081</v>
      </c>
      <c r="F1248" t="n">
        <v>141</v>
      </c>
      <c r="G1248" t="n">
        <v>5</v>
      </c>
      <c r="H1248" t="n">
        <v>0</v>
      </c>
      <c r="I1248" t="n">
        <v>0</v>
      </c>
      <c r="J1248" t="n">
        <v>0</v>
      </c>
    </row>
    <row r="1249">
      <c r="A1249" s="5" t="n">
        <v>46062</v>
      </c>
      <c r="B1249" t="inlineStr">
        <is>
          <t>google_brand_search</t>
        </is>
      </c>
      <c r="C1249" t="inlineStr">
        <is>
          <t>google</t>
        </is>
      </c>
      <c r="D1249" t="n">
        <v>6838</v>
      </c>
      <c r="E1249" t="n">
        <v>1424</v>
      </c>
      <c r="F1249" t="n">
        <v>67</v>
      </c>
      <c r="G1249" t="n">
        <v>5</v>
      </c>
      <c r="H1249" t="n">
        <v>3</v>
      </c>
      <c r="I1249" t="n">
        <v>0</v>
      </c>
      <c r="J1249" t="n">
        <v>0</v>
      </c>
    </row>
    <row r="1250">
      <c r="A1250" s="5" t="n">
        <v>46062</v>
      </c>
      <c r="B1250" t="inlineStr">
        <is>
          <t>google_nonbrand_growth</t>
        </is>
      </c>
      <c r="C1250" t="inlineStr">
        <is>
          <t>google</t>
        </is>
      </c>
      <c r="D1250" t="n">
        <v>20832</v>
      </c>
      <c r="E1250" t="n">
        <v>4340</v>
      </c>
      <c r="F1250" t="n">
        <v>234</v>
      </c>
      <c r="G1250" t="n">
        <v>2</v>
      </c>
      <c r="H1250" t="n">
        <v>0</v>
      </c>
      <c r="I1250" t="n">
        <v>0</v>
      </c>
      <c r="J1250" t="n">
        <v>0</v>
      </c>
    </row>
    <row r="1251">
      <c r="A1251" s="5" t="n">
        <v>46062</v>
      </c>
      <c r="B1251" t="inlineStr">
        <is>
          <t>linkedin_ceo_abm</t>
        </is>
      </c>
      <c r="C1251" t="inlineStr">
        <is>
          <t>linkedin</t>
        </is>
      </c>
      <c r="D1251" t="n">
        <v>25984</v>
      </c>
      <c r="E1251" t="n">
        <v>4996</v>
      </c>
      <c r="F1251" t="n">
        <v>28</v>
      </c>
      <c r="G1251" t="n">
        <v>3</v>
      </c>
      <c r="H1251" t="n">
        <v>0</v>
      </c>
      <c r="I1251" t="n">
        <v>0</v>
      </c>
      <c r="J1251" t="n">
        <v>0</v>
      </c>
    </row>
    <row r="1252">
      <c r="A1252" s="5" t="n">
        <v>46062</v>
      </c>
      <c r="B1252" t="inlineStr">
        <is>
          <t>meta_prospecting_founder</t>
        </is>
      </c>
      <c r="C1252" t="inlineStr">
        <is>
          <t>meta</t>
        </is>
      </c>
      <c r="D1252" t="n">
        <v>31016</v>
      </c>
      <c r="E1252" t="n">
        <v>22154</v>
      </c>
      <c r="F1252" t="n">
        <v>279</v>
      </c>
      <c r="G1252" t="n">
        <v>2</v>
      </c>
      <c r="H1252" t="n">
        <v>1</v>
      </c>
      <c r="I1252" t="n">
        <v>1</v>
      </c>
      <c r="J1252" t="n">
        <v>0</v>
      </c>
    </row>
    <row r="1253">
      <c r="A1253" s="5" t="n">
        <v>46062</v>
      </c>
      <c r="B1253" t="inlineStr">
        <is>
          <t>meta_retargeting_webinar</t>
        </is>
      </c>
      <c r="C1253" t="inlineStr">
        <is>
          <t>meta</t>
        </is>
      </c>
      <c r="D1253" t="n">
        <v>9010</v>
      </c>
      <c r="E1253" t="n">
        <v>6435</v>
      </c>
      <c r="F1253" t="n">
        <v>70</v>
      </c>
      <c r="G1253" t="n">
        <v>5</v>
      </c>
      <c r="H1253" t="n">
        <v>1</v>
      </c>
      <c r="I1253" t="n">
        <v>0</v>
      </c>
      <c r="J1253" t="n">
        <v>0</v>
      </c>
    </row>
    <row r="1254">
      <c r="A1254" s="5" t="n">
        <v>46063</v>
      </c>
      <c r="B1254" t="inlineStr">
        <is>
          <t>FB-Broad</t>
        </is>
      </c>
      <c r="C1254" t="inlineStr">
        <is>
          <t>meta</t>
        </is>
      </c>
      <c r="D1254" t="n">
        <v>17533</v>
      </c>
      <c r="E1254" t="n">
        <v>12523</v>
      </c>
      <c r="F1254" t="n">
        <v>135</v>
      </c>
      <c r="G1254" t="n">
        <v>1</v>
      </c>
      <c r="H1254" t="n">
        <v>1</v>
      </c>
      <c r="I1254" t="n">
        <v>1</v>
      </c>
      <c r="J1254" t="n">
        <v>0</v>
      </c>
    </row>
    <row r="1255">
      <c r="A1255" s="5" t="n">
        <v>46063</v>
      </c>
      <c r="B1255" t="inlineStr">
        <is>
          <t>google_brand_search</t>
        </is>
      </c>
      <c r="C1255" t="inlineStr">
        <is>
          <t>google</t>
        </is>
      </c>
      <c r="D1255" t="n">
        <v>7412</v>
      </c>
      <c r="E1255" t="n">
        <v>1544</v>
      </c>
      <c r="F1255" t="n">
        <v>68</v>
      </c>
      <c r="G1255" t="n">
        <v>3</v>
      </c>
      <c r="H1255" t="n">
        <v>0</v>
      </c>
      <c r="I1255" t="n">
        <v>1</v>
      </c>
      <c r="J1255" t="n">
        <v>0</v>
      </c>
    </row>
    <row r="1256">
      <c r="A1256" s="5" t="n">
        <v>46063</v>
      </c>
      <c r="B1256" t="inlineStr">
        <is>
          <t>google_nonbrand_growth</t>
        </is>
      </c>
      <c r="C1256" t="inlineStr">
        <is>
          <t>google</t>
        </is>
      </c>
      <c r="D1256" t="n">
        <v>17696</v>
      </c>
      <c r="E1256" t="n">
        <v>3686</v>
      </c>
      <c r="F1256" t="n">
        <v>189</v>
      </c>
      <c r="G1256" t="n">
        <v>3</v>
      </c>
      <c r="H1256" t="n">
        <v>0</v>
      </c>
      <c r="I1256" t="n">
        <v>0</v>
      </c>
      <c r="J1256" t="n">
        <v>0</v>
      </c>
    </row>
    <row r="1257">
      <c r="A1257" s="5" t="n">
        <v>46063</v>
      </c>
      <c r="B1257" t="inlineStr">
        <is>
          <t>linkedin_ceo_abm</t>
        </is>
      </c>
      <c r="C1257" t="inlineStr">
        <is>
          <t>linkedin</t>
        </is>
      </c>
      <c r="D1257" t="n">
        <v>25100</v>
      </c>
      <c r="E1257" t="n">
        <v>4826</v>
      </c>
      <c r="F1257" t="n">
        <v>32</v>
      </c>
      <c r="G1257" t="n">
        <v>2</v>
      </c>
      <c r="H1257" t="n">
        <v>0</v>
      </c>
      <c r="I1257" t="n">
        <v>1</v>
      </c>
      <c r="J1257" t="n">
        <v>0</v>
      </c>
    </row>
    <row r="1258">
      <c r="A1258" s="5" t="n">
        <v>46063</v>
      </c>
      <c r="B1258" t="inlineStr">
        <is>
          <t>meta_prospecting_founder</t>
        </is>
      </c>
      <c r="C1258" t="inlineStr">
        <is>
          <t>meta</t>
        </is>
      </c>
      <c r="D1258" t="n">
        <v>35627</v>
      </c>
      <c r="E1258" t="n">
        <v>25447</v>
      </c>
      <c r="F1258" t="n">
        <v>272</v>
      </c>
      <c r="G1258" t="n">
        <v>8</v>
      </c>
      <c r="H1258" t="n">
        <v>1</v>
      </c>
      <c r="I1258" t="n">
        <v>0</v>
      </c>
      <c r="J1258" t="n">
        <v>0</v>
      </c>
    </row>
    <row r="1259">
      <c r="A1259" s="5" t="n">
        <v>46063</v>
      </c>
      <c r="B1259" t="inlineStr">
        <is>
          <t>meta_retargeting_webinar</t>
        </is>
      </c>
      <c r="C1259" t="inlineStr">
        <is>
          <t>meta</t>
        </is>
      </c>
      <c r="D1259" t="n">
        <v>9743</v>
      </c>
      <c r="E1259" t="n">
        <v>6959</v>
      </c>
      <c r="F1259" t="n">
        <v>73</v>
      </c>
      <c r="G1259" t="n">
        <v>5</v>
      </c>
      <c r="H1259" t="n">
        <v>2</v>
      </c>
      <c r="I1259" t="n">
        <v>1</v>
      </c>
      <c r="J1259" t="n">
        <v>0</v>
      </c>
    </row>
    <row r="1260">
      <c r="A1260" s="5" t="n">
        <v>46064</v>
      </c>
      <c r="B1260" t="inlineStr">
        <is>
          <t>FB-Broad</t>
        </is>
      </c>
      <c r="C1260" t="inlineStr">
        <is>
          <t>meta</t>
        </is>
      </c>
      <c r="D1260" t="n">
        <v>16681</v>
      </c>
      <c r="E1260" t="n">
        <v>11915</v>
      </c>
      <c r="F1260" t="n">
        <v>111</v>
      </c>
      <c r="G1260" t="n">
        <v>5</v>
      </c>
      <c r="H1260" t="n">
        <v>0</v>
      </c>
      <c r="I1260" t="n">
        <v>0</v>
      </c>
      <c r="J1260" t="n">
        <v>0</v>
      </c>
    </row>
    <row r="1261">
      <c r="A1261" s="5" t="n">
        <v>46064</v>
      </c>
      <c r="B1261" t="inlineStr">
        <is>
          <t>google_brand_search</t>
        </is>
      </c>
      <c r="C1261" t="inlineStr">
        <is>
          <t>google</t>
        </is>
      </c>
      <c r="D1261" t="n">
        <v>6347</v>
      </c>
      <c r="E1261" t="n">
        <v>1322</v>
      </c>
      <c r="F1261" t="n">
        <v>65</v>
      </c>
      <c r="G1261" t="n">
        <v>3</v>
      </c>
      <c r="H1261" t="n">
        <v>4</v>
      </c>
      <c r="I1261" t="n">
        <v>2</v>
      </c>
      <c r="J1261" t="n">
        <v>0</v>
      </c>
    </row>
    <row r="1262">
      <c r="A1262" s="5" t="n">
        <v>46064</v>
      </c>
      <c r="B1262" t="inlineStr">
        <is>
          <t>google_nonbrand_growth</t>
        </is>
      </c>
      <c r="C1262" t="inlineStr">
        <is>
          <t>google</t>
        </is>
      </c>
      <c r="D1262" t="n">
        <v>20625</v>
      </c>
      <c r="E1262" t="n">
        <v>4296</v>
      </c>
      <c r="F1262" t="n">
        <v>238</v>
      </c>
      <c r="G1262" t="n">
        <v>2</v>
      </c>
      <c r="H1262" t="n">
        <v>1</v>
      </c>
      <c r="I1262" t="n">
        <v>0</v>
      </c>
      <c r="J1262" t="n">
        <v>0</v>
      </c>
    </row>
    <row r="1263">
      <c r="A1263" s="5" t="n">
        <v>46064</v>
      </c>
      <c r="B1263" t="inlineStr">
        <is>
          <t>linkedin_ceo_abm</t>
        </is>
      </c>
      <c r="C1263" t="inlineStr">
        <is>
          <t>linkedin</t>
        </is>
      </c>
      <c r="D1263" t="n">
        <v>25683</v>
      </c>
      <c r="E1263" t="n">
        <v>4939</v>
      </c>
      <c r="F1263" t="n">
        <v>31</v>
      </c>
      <c r="G1263" t="n">
        <v>3</v>
      </c>
      <c r="H1263" t="n">
        <v>0</v>
      </c>
      <c r="I1263" t="n">
        <v>0</v>
      </c>
      <c r="J1263" t="n">
        <v>0</v>
      </c>
    </row>
    <row r="1264">
      <c r="A1264" s="5" t="n">
        <v>46064</v>
      </c>
      <c r="B1264" t="inlineStr">
        <is>
          <t>meta_prospecting_founder</t>
        </is>
      </c>
      <c r="C1264" t="inlineStr">
        <is>
          <t>meta</t>
        </is>
      </c>
      <c r="D1264" t="n">
        <v>29678</v>
      </c>
      <c r="E1264" t="n">
        <v>21198</v>
      </c>
      <c r="F1264" t="n">
        <v>218</v>
      </c>
      <c r="G1264" t="n">
        <v>3</v>
      </c>
      <c r="H1264" t="n">
        <v>2</v>
      </c>
      <c r="I1264" t="n">
        <v>1</v>
      </c>
      <c r="J1264" t="n">
        <v>0</v>
      </c>
    </row>
    <row r="1265">
      <c r="A1265" s="5" t="n">
        <v>46064</v>
      </c>
      <c r="B1265" t="inlineStr">
        <is>
          <t>meta_retargeting_webinar</t>
        </is>
      </c>
      <c r="C1265" t="inlineStr">
        <is>
          <t>meta</t>
        </is>
      </c>
      <c r="D1265" t="n">
        <v>8818</v>
      </c>
      <c r="E1265" t="n">
        <v>6298</v>
      </c>
      <c r="F1265" t="n">
        <v>64</v>
      </c>
      <c r="G1265" t="n">
        <v>3</v>
      </c>
      <c r="H1265" t="n">
        <v>0</v>
      </c>
      <c r="I1265" t="n">
        <v>0</v>
      </c>
      <c r="J1265" t="n">
        <v>0</v>
      </c>
    </row>
    <row r="1266">
      <c r="A1266" s="5" t="n">
        <v>46065</v>
      </c>
      <c r="B1266" t="inlineStr">
        <is>
          <t>FB-Broad</t>
        </is>
      </c>
      <c r="C1266" t="inlineStr">
        <is>
          <t>meta</t>
        </is>
      </c>
      <c r="D1266" t="n">
        <v>15025</v>
      </c>
      <c r="E1266" t="n">
        <v>10732</v>
      </c>
      <c r="F1266" t="n">
        <v>124</v>
      </c>
      <c r="G1266" t="n">
        <v>3</v>
      </c>
      <c r="H1266" t="n">
        <v>2</v>
      </c>
      <c r="I1266" t="n">
        <v>0</v>
      </c>
      <c r="J1266" t="n">
        <v>0</v>
      </c>
    </row>
    <row r="1267">
      <c r="A1267" s="5" t="n">
        <v>46065</v>
      </c>
      <c r="B1267" t="inlineStr">
        <is>
          <t>google_brand_search</t>
        </is>
      </c>
      <c r="C1267" t="inlineStr">
        <is>
          <t>google</t>
        </is>
      </c>
      <c r="D1267" t="n">
        <v>6268</v>
      </c>
      <c r="E1267" t="n">
        <v>1305</v>
      </c>
      <c r="F1267" t="n">
        <v>63</v>
      </c>
      <c r="G1267" t="n">
        <v>3</v>
      </c>
      <c r="H1267" t="n">
        <v>0</v>
      </c>
      <c r="I1267" t="n">
        <v>1</v>
      </c>
      <c r="J1267" t="n">
        <v>0</v>
      </c>
    </row>
    <row r="1268">
      <c r="A1268" s="5" t="n">
        <v>46065</v>
      </c>
      <c r="B1268" t="inlineStr">
        <is>
          <t>google_nonbrand_growth</t>
        </is>
      </c>
      <c r="C1268" t="inlineStr">
        <is>
          <t>google</t>
        </is>
      </c>
      <c r="D1268" t="n">
        <v>17498</v>
      </c>
      <c r="E1268" t="n">
        <v>3645</v>
      </c>
      <c r="F1268" t="n">
        <v>196</v>
      </c>
      <c r="G1268" t="n">
        <v>4</v>
      </c>
      <c r="H1268" t="n">
        <v>0</v>
      </c>
      <c r="I1268" t="n">
        <v>0</v>
      </c>
      <c r="J1268" t="n">
        <v>0</v>
      </c>
    </row>
    <row r="1269">
      <c r="A1269" s="5" t="n">
        <v>46065</v>
      </c>
      <c r="B1269" t="inlineStr">
        <is>
          <t>linkedin_ceo_abm</t>
        </is>
      </c>
      <c r="C1269" t="inlineStr">
        <is>
          <t>linkedin</t>
        </is>
      </c>
      <c r="D1269" t="n">
        <v>23029</v>
      </c>
      <c r="E1269" t="n">
        <v>4428</v>
      </c>
      <c r="F1269" t="n">
        <v>25</v>
      </c>
      <c r="G1269" t="n">
        <v>0</v>
      </c>
      <c r="H1269" t="n">
        <v>2</v>
      </c>
      <c r="I1269" t="n">
        <v>0</v>
      </c>
      <c r="J1269" t="n">
        <v>0</v>
      </c>
    </row>
    <row r="1270">
      <c r="A1270" s="5" t="n">
        <v>46065</v>
      </c>
      <c r="B1270" t="inlineStr">
        <is>
          <t>meta_prospecting_founder</t>
        </is>
      </c>
      <c r="C1270" t="inlineStr">
        <is>
          <t>meta</t>
        </is>
      </c>
      <c r="D1270" t="n">
        <v>31226</v>
      </c>
      <c r="E1270" t="n">
        <v>22304</v>
      </c>
      <c r="F1270" t="n">
        <v>239</v>
      </c>
      <c r="G1270" t="n">
        <v>9</v>
      </c>
      <c r="H1270" t="n">
        <v>2</v>
      </c>
      <c r="I1270" t="n">
        <v>1</v>
      </c>
      <c r="J1270" t="n">
        <v>0</v>
      </c>
    </row>
    <row r="1271">
      <c r="A1271" s="5" t="n">
        <v>46065</v>
      </c>
      <c r="B1271" t="inlineStr">
        <is>
          <t>meta_retargeting_webinar</t>
        </is>
      </c>
      <c r="C1271" t="inlineStr">
        <is>
          <t>meta</t>
        </is>
      </c>
      <c r="D1271" t="n">
        <v>9583</v>
      </c>
      <c r="E1271" t="n">
        <v>6845</v>
      </c>
      <c r="F1271" t="n">
        <v>69</v>
      </c>
      <c r="G1271" t="n">
        <v>2</v>
      </c>
      <c r="H1271" t="n">
        <v>2</v>
      </c>
      <c r="I1271" t="n">
        <v>1</v>
      </c>
      <c r="J1271" t="n">
        <v>0</v>
      </c>
    </row>
    <row r="1272">
      <c r="A1272" s="5" t="n">
        <v>46066</v>
      </c>
      <c r="B1272" t="inlineStr">
        <is>
          <t>FB-Broad</t>
        </is>
      </c>
      <c r="C1272" t="inlineStr">
        <is>
          <t>meta</t>
        </is>
      </c>
      <c r="D1272" t="n">
        <v>15329</v>
      </c>
      <c r="E1272" t="n">
        <v>10949</v>
      </c>
      <c r="F1272" t="n">
        <v>108</v>
      </c>
      <c r="G1272" t="n">
        <v>4</v>
      </c>
      <c r="H1272" t="n">
        <v>0</v>
      </c>
      <c r="I1272" t="n">
        <v>0</v>
      </c>
      <c r="J1272" t="n">
        <v>0</v>
      </c>
    </row>
    <row r="1273">
      <c r="A1273" s="5" t="n">
        <v>46066</v>
      </c>
      <c r="B1273" t="inlineStr">
        <is>
          <t>google_brand_search</t>
        </is>
      </c>
      <c r="C1273" t="inlineStr">
        <is>
          <t>google</t>
        </is>
      </c>
      <c r="D1273" t="n">
        <v>6403</v>
      </c>
      <c r="E1273" t="n">
        <v>1333</v>
      </c>
      <c r="F1273" t="n">
        <v>69</v>
      </c>
      <c r="G1273" t="n">
        <v>3</v>
      </c>
      <c r="H1273" t="n">
        <v>2</v>
      </c>
      <c r="I1273" t="n">
        <v>1</v>
      </c>
      <c r="J1273" t="n">
        <v>0</v>
      </c>
    </row>
    <row r="1274">
      <c r="A1274" s="5" t="n">
        <v>46066</v>
      </c>
      <c r="B1274" t="inlineStr">
        <is>
          <t>google_nonbrand_growth</t>
        </is>
      </c>
      <c r="C1274" t="inlineStr">
        <is>
          <t>google</t>
        </is>
      </c>
      <c r="D1274" t="n">
        <v>19817</v>
      </c>
      <c r="E1274" t="n">
        <v>4128</v>
      </c>
      <c r="F1274" t="n">
        <v>209</v>
      </c>
      <c r="G1274" t="n">
        <v>2</v>
      </c>
      <c r="H1274" t="n">
        <v>0</v>
      </c>
      <c r="I1274" t="n">
        <v>0</v>
      </c>
      <c r="J1274" t="n">
        <v>0</v>
      </c>
    </row>
    <row r="1275">
      <c r="A1275" s="5" t="n">
        <v>46066</v>
      </c>
      <c r="B1275" t="inlineStr">
        <is>
          <t>linkedin_ceo_abm</t>
        </is>
      </c>
      <c r="C1275" t="inlineStr">
        <is>
          <t>linkedin</t>
        </is>
      </c>
      <c r="D1275" t="n">
        <v>25886</v>
      </c>
      <c r="E1275" t="n">
        <v>4978</v>
      </c>
      <c r="F1275" t="n">
        <v>32</v>
      </c>
      <c r="G1275" t="n">
        <v>0</v>
      </c>
      <c r="H1275" t="n">
        <v>0</v>
      </c>
      <c r="I1275" t="n">
        <v>0</v>
      </c>
      <c r="J1275" t="n">
        <v>0</v>
      </c>
    </row>
    <row r="1276">
      <c r="A1276" s="5" t="n">
        <v>46066</v>
      </c>
      <c r="B1276" t="inlineStr">
        <is>
          <t>meta_prospecting_founder</t>
        </is>
      </c>
      <c r="C1276" t="inlineStr">
        <is>
          <t>meta</t>
        </is>
      </c>
      <c r="D1276" t="n">
        <v>32116</v>
      </c>
      <c r="E1276" t="n">
        <v>22940</v>
      </c>
      <c r="F1276" t="n">
        <v>270</v>
      </c>
      <c r="G1276" t="n">
        <v>7</v>
      </c>
      <c r="H1276" t="n">
        <v>1</v>
      </c>
      <c r="I1276" t="n">
        <v>1</v>
      </c>
      <c r="J1276" t="n">
        <v>0</v>
      </c>
    </row>
    <row r="1277">
      <c r="A1277" s="5" t="n">
        <v>46066</v>
      </c>
      <c r="B1277" t="inlineStr">
        <is>
          <t>meta_retargeting_webinar</t>
        </is>
      </c>
      <c r="C1277" t="inlineStr">
        <is>
          <t>meta</t>
        </is>
      </c>
      <c r="D1277" t="n">
        <v>10220</v>
      </c>
      <c r="E1277" t="n">
        <v>7300</v>
      </c>
      <c r="F1277" t="n">
        <v>85</v>
      </c>
      <c r="G1277" t="n">
        <v>7</v>
      </c>
      <c r="H1277" t="n">
        <v>0</v>
      </c>
      <c r="I1277" t="n">
        <v>0</v>
      </c>
      <c r="J1277" t="n">
        <v>0</v>
      </c>
    </row>
    <row r="1278">
      <c r="A1278" s="5" t="n">
        <v>46067</v>
      </c>
      <c r="B1278" t="inlineStr">
        <is>
          <t>FB-Broad</t>
        </is>
      </c>
      <c r="C1278" t="inlineStr">
        <is>
          <t>meta</t>
        </is>
      </c>
      <c r="D1278" t="n">
        <v>17150</v>
      </c>
      <c r="E1278" t="n">
        <v>12250</v>
      </c>
      <c r="F1278" t="n">
        <v>131</v>
      </c>
      <c r="G1278" t="n">
        <v>6</v>
      </c>
      <c r="H1278" t="n">
        <v>2</v>
      </c>
      <c r="I1278" t="n">
        <v>1</v>
      </c>
      <c r="J1278" t="n">
        <v>0</v>
      </c>
    </row>
    <row r="1279">
      <c r="A1279" s="5" t="n">
        <v>46067</v>
      </c>
      <c r="B1279" t="inlineStr">
        <is>
          <t>google_brand_search</t>
        </is>
      </c>
      <c r="C1279" t="inlineStr">
        <is>
          <t>google</t>
        </is>
      </c>
      <c r="D1279" t="n">
        <v>6532</v>
      </c>
      <c r="E1279" t="n">
        <v>1360</v>
      </c>
      <c r="F1279" t="n">
        <v>78</v>
      </c>
      <c r="G1279" t="n">
        <v>0</v>
      </c>
      <c r="H1279" t="n">
        <v>1</v>
      </c>
      <c r="I1279" t="n">
        <v>0</v>
      </c>
      <c r="J1279" t="n">
        <v>0</v>
      </c>
    </row>
    <row r="1280">
      <c r="A1280" s="5" t="n">
        <v>46067</v>
      </c>
      <c r="B1280" t="inlineStr">
        <is>
          <t>google_nonbrand_growth</t>
        </is>
      </c>
      <c r="C1280" t="inlineStr">
        <is>
          <t>google</t>
        </is>
      </c>
      <c r="D1280" t="n">
        <v>17402</v>
      </c>
      <c r="E1280" t="n">
        <v>3625</v>
      </c>
      <c r="F1280" t="n">
        <v>199</v>
      </c>
      <c r="G1280" t="n">
        <v>2</v>
      </c>
      <c r="H1280" t="n">
        <v>1</v>
      </c>
      <c r="I1280" t="n">
        <v>0</v>
      </c>
      <c r="J1280" t="n">
        <v>0</v>
      </c>
    </row>
    <row r="1281">
      <c r="A1281" s="5" t="n">
        <v>46067</v>
      </c>
      <c r="B1281" t="inlineStr">
        <is>
          <t>linkedin_ceo_abm</t>
        </is>
      </c>
      <c r="C1281" t="inlineStr">
        <is>
          <t>linkedin</t>
        </is>
      </c>
      <c r="D1281" t="n">
        <v>27442</v>
      </c>
      <c r="E1281" t="n">
        <v>5277</v>
      </c>
      <c r="F1281" t="n">
        <v>29</v>
      </c>
      <c r="G1281" t="n">
        <v>1</v>
      </c>
      <c r="H1281" t="n">
        <v>0</v>
      </c>
      <c r="I1281" t="n">
        <v>0</v>
      </c>
      <c r="J1281" t="n">
        <v>0</v>
      </c>
    </row>
    <row r="1282">
      <c r="A1282" s="5" t="n">
        <v>46067</v>
      </c>
      <c r="B1282" t="inlineStr">
        <is>
          <t>meta_prospecting_founder</t>
        </is>
      </c>
      <c r="C1282" t="inlineStr">
        <is>
          <t>meta</t>
        </is>
      </c>
      <c r="D1282" t="n">
        <v>35009</v>
      </c>
      <c r="E1282" t="n">
        <v>25006</v>
      </c>
      <c r="F1282" t="n">
        <v>308</v>
      </c>
      <c r="G1282" t="n">
        <v>5</v>
      </c>
      <c r="H1282" t="n">
        <v>2</v>
      </c>
      <c r="I1282" t="n">
        <v>1</v>
      </c>
      <c r="J1282" t="n">
        <v>0</v>
      </c>
    </row>
    <row r="1283">
      <c r="A1283" s="5" t="n">
        <v>46067</v>
      </c>
      <c r="B1283" t="inlineStr">
        <is>
          <t>meta_retargeting_webinar</t>
        </is>
      </c>
      <c r="C1283" t="inlineStr">
        <is>
          <t>meta</t>
        </is>
      </c>
      <c r="D1283" t="n">
        <v>9465</v>
      </c>
      <c r="E1283" t="n">
        <v>6760</v>
      </c>
      <c r="F1283" t="n">
        <v>74</v>
      </c>
      <c r="G1283" t="n">
        <v>3</v>
      </c>
      <c r="H1283" t="n">
        <v>1</v>
      </c>
      <c r="I1283" t="n">
        <v>1</v>
      </c>
      <c r="J1283" t="n">
        <v>0</v>
      </c>
    </row>
    <row r="1284">
      <c r="A1284" s="5" t="n">
        <v>46068</v>
      </c>
      <c r="B1284" t="inlineStr">
        <is>
          <t>FB-Broad</t>
        </is>
      </c>
      <c r="C1284" t="inlineStr">
        <is>
          <t>meta</t>
        </is>
      </c>
      <c r="D1284" t="n">
        <v>16168</v>
      </c>
      <c r="E1284" t="n">
        <v>11548</v>
      </c>
      <c r="F1284" t="n">
        <v>108</v>
      </c>
      <c r="G1284" t="n">
        <v>4</v>
      </c>
      <c r="H1284" t="n">
        <v>2</v>
      </c>
      <c r="I1284" t="n">
        <v>1</v>
      </c>
      <c r="J1284" t="n">
        <v>0</v>
      </c>
    </row>
    <row r="1285">
      <c r="A1285" s="5" t="n">
        <v>46068</v>
      </c>
      <c r="B1285" t="inlineStr">
        <is>
          <t>google_brand_search</t>
        </is>
      </c>
      <c r="C1285" t="inlineStr">
        <is>
          <t>google</t>
        </is>
      </c>
      <c r="D1285" t="n">
        <v>7518</v>
      </c>
      <c r="E1285" t="n">
        <v>1566</v>
      </c>
      <c r="F1285" t="n">
        <v>77</v>
      </c>
      <c r="G1285" t="n">
        <v>1</v>
      </c>
      <c r="H1285" t="n">
        <v>0</v>
      </c>
      <c r="I1285" t="n">
        <v>1</v>
      </c>
      <c r="J1285" t="n">
        <v>0</v>
      </c>
    </row>
    <row r="1286">
      <c r="A1286" s="5" t="n">
        <v>46068</v>
      </c>
      <c r="B1286" t="inlineStr">
        <is>
          <t>google_nonbrand_growth</t>
        </is>
      </c>
      <c r="C1286" t="inlineStr">
        <is>
          <t>google</t>
        </is>
      </c>
      <c r="D1286" t="n">
        <v>20223</v>
      </c>
      <c r="E1286" t="n">
        <v>4213</v>
      </c>
      <c r="F1286" t="n">
        <v>186</v>
      </c>
      <c r="G1286" t="n">
        <v>1</v>
      </c>
      <c r="H1286" t="n">
        <v>1</v>
      </c>
      <c r="I1286" t="n">
        <v>0</v>
      </c>
      <c r="J1286" t="n">
        <v>0</v>
      </c>
    </row>
    <row r="1287">
      <c r="A1287" s="5" t="n">
        <v>46068</v>
      </c>
      <c r="B1287" t="inlineStr">
        <is>
          <t>linkedin_ceo_abm</t>
        </is>
      </c>
      <c r="C1287" t="inlineStr">
        <is>
          <t>linkedin</t>
        </is>
      </c>
      <c r="D1287" t="n">
        <v>25088</v>
      </c>
      <c r="E1287" t="n">
        <v>4824</v>
      </c>
      <c r="F1287" t="n">
        <v>33</v>
      </c>
      <c r="G1287" t="n">
        <v>1</v>
      </c>
      <c r="H1287" t="n">
        <v>1</v>
      </c>
      <c r="I1287" t="n">
        <v>2</v>
      </c>
      <c r="J1287" t="n">
        <v>0</v>
      </c>
    </row>
    <row r="1288">
      <c r="A1288" s="5" t="n">
        <v>46068</v>
      </c>
      <c r="B1288" t="inlineStr">
        <is>
          <t>meta_prospecting_founder</t>
        </is>
      </c>
      <c r="C1288" t="inlineStr">
        <is>
          <t>meta</t>
        </is>
      </c>
      <c r="D1288" t="n">
        <v>32177</v>
      </c>
      <c r="E1288" t="n">
        <v>22983</v>
      </c>
      <c r="F1288" t="n">
        <v>288</v>
      </c>
      <c r="G1288" t="n">
        <v>5</v>
      </c>
      <c r="H1288" t="n">
        <v>4</v>
      </c>
      <c r="I1288" t="n">
        <v>0</v>
      </c>
      <c r="J1288" t="n">
        <v>1</v>
      </c>
    </row>
    <row r="1289">
      <c r="A1289" s="5" t="n">
        <v>46068</v>
      </c>
      <c r="B1289" t="inlineStr">
        <is>
          <t>meta_retargeting_webinar</t>
        </is>
      </c>
      <c r="C1289" t="inlineStr">
        <is>
          <t>meta</t>
        </is>
      </c>
      <c r="D1289" t="n">
        <v>9867</v>
      </c>
      <c r="E1289" t="n">
        <v>7047</v>
      </c>
      <c r="F1289" t="n">
        <v>85</v>
      </c>
      <c r="G1289" t="n">
        <v>0</v>
      </c>
      <c r="H1289" t="n">
        <v>3</v>
      </c>
      <c r="I1289" t="n">
        <v>0</v>
      </c>
      <c r="J1289" t="n">
        <v>0</v>
      </c>
    </row>
    <row r="1290">
      <c r="A1290" s="5" t="n">
        <v>46069</v>
      </c>
      <c r="B1290" t="inlineStr">
        <is>
          <t>FB-Broad</t>
        </is>
      </c>
      <c r="C1290" t="inlineStr">
        <is>
          <t>meta</t>
        </is>
      </c>
      <c r="D1290" t="n">
        <v>15227</v>
      </c>
      <c r="E1290" t="n">
        <v>10876</v>
      </c>
      <c r="F1290" t="n">
        <v>130</v>
      </c>
      <c r="G1290" t="n">
        <v>4</v>
      </c>
      <c r="H1290" t="n">
        <v>4</v>
      </c>
      <c r="I1290" t="n">
        <v>0</v>
      </c>
      <c r="J1290" t="n">
        <v>0</v>
      </c>
    </row>
    <row r="1291">
      <c r="A1291" s="5" t="n">
        <v>46069</v>
      </c>
      <c r="B1291" t="inlineStr">
        <is>
          <t>google_brand_search</t>
        </is>
      </c>
      <c r="C1291" t="inlineStr">
        <is>
          <t>google</t>
        </is>
      </c>
      <c r="D1291" t="n">
        <v>7422</v>
      </c>
      <c r="E1291" t="n">
        <v>1546</v>
      </c>
      <c r="F1291" t="n">
        <v>69</v>
      </c>
      <c r="G1291" t="n">
        <v>8</v>
      </c>
      <c r="H1291" t="n">
        <v>3</v>
      </c>
      <c r="I1291" t="n">
        <v>1</v>
      </c>
      <c r="J1291" t="n">
        <v>0</v>
      </c>
    </row>
    <row r="1292">
      <c r="A1292" s="5" t="n">
        <v>46069</v>
      </c>
      <c r="B1292" t="inlineStr">
        <is>
          <t>google_nonbrand_growth</t>
        </is>
      </c>
      <c r="C1292" t="inlineStr">
        <is>
          <t>google</t>
        </is>
      </c>
      <c r="D1292" t="n">
        <v>20408</v>
      </c>
      <c r="E1292" t="n">
        <v>4251</v>
      </c>
      <c r="F1292" t="n">
        <v>207</v>
      </c>
      <c r="G1292" t="n">
        <v>1</v>
      </c>
      <c r="H1292" t="n">
        <v>0</v>
      </c>
      <c r="I1292" t="n">
        <v>0</v>
      </c>
      <c r="J1292" t="n">
        <v>1</v>
      </c>
    </row>
    <row r="1293">
      <c r="A1293" s="5" t="n">
        <v>46069</v>
      </c>
      <c r="B1293" t="inlineStr">
        <is>
          <t>linkedin_ceo_abm</t>
        </is>
      </c>
      <c r="C1293" t="inlineStr">
        <is>
          <t>linkedin</t>
        </is>
      </c>
      <c r="D1293" t="n">
        <v>26345</v>
      </c>
      <c r="E1293" t="n">
        <v>5066</v>
      </c>
      <c r="F1293" t="n">
        <v>31</v>
      </c>
      <c r="G1293" t="n">
        <v>1</v>
      </c>
      <c r="H1293" t="n">
        <v>0</v>
      </c>
      <c r="I1293" t="n">
        <v>0</v>
      </c>
      <c r="J1293" t="n">
        <v>0</v>
      </c>
    </row>
    <row r="1294">
      <c r="A1294" s="5" t="n">
        <v>46069</v>
      </c>
      <c r="B1294" t="inlineStr">
        <is>
          <t>meta_prospecting_founder</t>
        </is>
      </c>
      <c r="C1294" t="inlineStr">
        <is>
          <t>meta</t>
        </is>
      </c>
      <c r="D1294" t="n">
        <v>34159</v>
      </c>
      <c r="E1294" t="n">
        <v>24399</v>
      </c>
      <c r="F1294" t="n">
        <v>256</v>
      </c>
      <c r="G1294" t="n">
        <v>8</v>
      </c>
      <c r="H1294" t="n">
        <v>1</v>
      </c>
      <c r="I1294" t="n">
        <v>1</v>
      </c>
      <c r="J1294" t="n">
        <v>0</v>
      </c>
    </row>
    <row r="1295">
      <c r="A1295" s="5" t="n">
        <v>46069</v>
      </c>
      <c r="B1295" t="inlineStr">
        <is>
          <t>meta_retargeting_webinar</t>
        </is>
      </c>
      <c r="C1295" t="inlineStr">
        <is>
          <t>meta</t>
        </is>
      </c>
      <c r="D1295" t="n">
        <v>9646</v>
      </c>
      <c r="E1295" t="n">
        <v>6890</v>
      </c>
      <c r="F1295" t="n">
        <v>85</v>
      </c>
      <c r="G1295" t="n">
        <v>6</v>
      </c>
      <c r="H1295" t="n">
        <v>0</v>
      </c>
      <c r="I1295" t="n">
        <v>0</v>
      </c>
      <c r="J1295" t="n">
        <v>0</v>
      </c>
    </row>
    <row r="1296">
      <c r="A1296" s="5" t="n">
        <v>46070</v>
      </c>
      <c r="B1296" t="inlineStr">
        <is>
          <t>FB-Broad</t>
        </is>
      </c>
      <c r="C1296" t="inlineStr">
        <is>
          <t>meta</t>
        </is>
      </c>
      <c r="D1296" t="n">
        <v>15248</v>
      </c>
      <c r="E1296" t="n">
        <v>10891</v>
      </c>
      <c r="F1296" t="n">
        <v>121</v>
      </c>
      <c r="G1296" t="n">
        <v>4</v>
      </c>
      <c r="H1296" t="n">
        <v>0</v>
      </c>
      <c r="I1296" t="n">
        <v>1</v>
      </c>
      <c r="J1296" t="n">
        <v>0</v>
      </c>
    </row>
    <row r="1297">
      <c r="A1297" s="5" t="n">
        <v>46070</v>
      </c>
      <c r="B1297" t="inlineStr">
        <is>
          <t>google_brand_search</t>
        </is>
      </c>
      <c r="C1297" t="inlineStr">
        <is>
          <t>google</t>
        </is>
      </c>
      <c r="D1297" t="n">
        <v>6344</v>
      </c>
      <c r="E1297" t="n">
        <v>1321</v>
      </c>
      <c r="F1297" t="n">
        <v>73</v>
      </c>
      <c r="G1297" t="n">
        <v>1</v>
      </c>
      <c r="H1297" t="n">
        <v>2</v>
      </c>
      <c r="I1297" t="n">
        <v>0</v>
      </c>
      <c r="J1297" t="n">
        <v>0</v>
      </c>
    </row>
    <row r="1298">
      <c r="A1298" s="5" t="n">
        <v>46070</v>
      </c>
      <c r="B1298" t="inlineStr">
        <is>
          <t>google_nonbrand_growth</t>
        </is>
      </c>
      <c r="C1298" t="inlineStr">
        <is>
          <t>google</t>
        </is>
      </c>
      <c r="D1298" t="n">
        <v>19196</v>
      </c>
      <c r="E1298" t="n">
        <v>3999</v>
      </c>
      <c r="F1298" t="n">
        <v>195</v>
      </c>
      <c r="G1298" t="n">
        <v>4</v>
      </c>
      <c r="H1298" t="n">
        <v>0</v>
      </c>
      <c r="I1298" t="n">
        <v>1</v>
      </c>
      <c r="J1298" t="n">
        <v>0</v>
      </c>
    </row>
    <row r="1299">
      <c r="A1299" s="5" t="n">
        <v>46070</v>
      </c>
      <c r="B1299" t="inlineStr">
        <is>
          <t>linkedin_ceo_abm</t>
        </is>
      </c>
      <c r="C1299" t="inlineStr">
        <is>
          <t>linkedin</t>
        </is>
      </c>
      <c r="D1299" t="n">
        <v>23375</v>
      </c>
      <c r="E1299" t="n">
        <v>4495</v>
      </c>
      <c r="F1299" t="n">
        <v>26</v>
      </c>
      <c r="G1299" t="n">
        <v>1</v>
      </c>
      <c r="H1299" t="n">
        <v>0</v>
      </c>
      <c r="I1299" t="n">
        <v>1</v>
      </c>
      <c r="J1299" t="n">
        <v>0</v>
      </c>
    </row>
    <row r="1300">
      <c r="A1300" s="5" t="n">
        <v>46070</v>
      </c>
      <c r="B1300" t="inlineStr">
        <is>
          <t>meta_prospecting_founder</t>
        </is>
      </c>
      <c r="C1300" t="inlineStr">
        <is>
          <t>meta</t>
        </is>
      </c>
      <c r="D1300" t="n">
        <v>35172</v>
      </c>
      <c r="E1300" t="n">
        <v>25122</v>
      </c>
      <c r="F1300" t="n">
        <v>301</v>
      </c>
      <c r="G1300" t="n">
        <v>10</v>
      </c>
      <c r="H1300" t="n">
        <v>3</v>
      </c>
      <c r="I1300" t="n">
        <v>3</v>
      </c>
      <c r="J1300" t="n">
        <v>0</v>
      </c>
    </row>
    <row r="1301">
      <c r="A1301" s="5" t="n">
        <v>46070</v>
      </c>
      <c r="B1301" t="inlineStr">
        <is>
          <t>meta_retargeting_webinar</t>
        </is>
      </c>
      <c r="C1301" t="inlineStr">
        <is>
          <t>meta</t>
        </is>
      </c>
      <c r="D1301" t="n">
        <v>9363</v>
      </c>
      <c r="E1301" t="n">
        <v>6687</v>
      </c>
      <c r="F1301" t="n">
        <v>78</v>
      </c>
      <c r="G1301" t="n">
        <v>4</v>
      </c>
      <c r="H1301" t="n">
        <v>0</v>
      </c>
      <c r="I1301" t="n">
        <v>1</v>
      </c>
      <c r="J1301" t="n">
        <v>0</v>
      </c>
    </row>
    <row r="1302">
      <c r="A1302" s="5" t="n">
        <v>46071</v>
      </c>
      <c r="B1302" t="inlineStr">
        <is>
          <t>FB-Broad</t>
        </is>
      </c>
      <c r="C1302" t="inlineStr">
        <is>
          <t>meta</t>
        </is>
      </c>
      <c r="D1302" t="n">
        <v>16680</v>
      </c>
      <c r="E1302" t="n">
        <v>11914</v>
      </c>
      <c r="F1302" t="n">
        <v>137</v>
      </c>
      <c r="G1302" t="n">
        <v>4</v>
      </c>
      <c r="H1302" t="n">
        <v>3</v>
      </c>
      <c r="I1302" t="n">
        <v>1</v>
      </c>
      <c r="J1302" t="n">
        <v>0</v>
      </c>
    </row>
    <row r="1303">
      <c r="A1303" s="5" t="n">
        <v>46071</v>
      </c>
      <c r="B1303" t="inlineStr">
        <is>
          <t>google_brand_search</t>
        </is>
      </c>
      <c r="C1303" t="inlineStr">
        <is>
          <t>google</t>
        </is>
      </c>
      <c r="D1303" t="n">
        <v>7326</v>
      </c>
      <c r="E1303" t="n">
        <v>1526</v>
      </c>
      <c r="F1303" t="n">
        <v>71</v>
      </c>
      <c r="G1303" t="n">
        <v>1</v>
      </c>
      <c r="H1303" t="n">
        <v>2</v>
      </c>
      <c r="I1303" t="n">
        <v>0</v>
      </c>
      <c r="J1303" t="n">
        <v>0</v>
      </c>
    </row>
    <row r="1304">
      <c r="A1304" s="5" t="n">
        <v>46071</v>
      </c>
      <c r="B1304" t="inlineStr">
        <is>
          <t>google_nonbrand_growth</t>
        </is>
      </c>
      <c r="C1304" t="inlineStr">
        <is>
          <t>google</t>
        </is>
      </c>
      <c r="D1304" t="n">
        <v>18220</v>
      </c>
      <c r="E1304" t="n">
        <v>3795</v>
      </c>
      <c r="F1304" t="n">
        <v>192</v>
      </c>
      <c r="G1304" t="n">
        <v>5</v>
      </c>
      <c r="H1304" t="n">
        <v>1</v>
      </c>
      <c r="I1304" t="n">
        <v>0</v>
      </c>
      <c r="J1304" t="n">
        <v>0</v>
      </c>
    </row>
    <row r="1305">
      <c r="A1305" s="5" t="n">
        <v>46071</v>
      </c>
      <c r="B1305" t="inlineStr">
        <is>
          <t>linkedin_ceo_abm</t>
        </is>
      </c>
      <c r="C1305" t="inlineStr">
        <is>
          <t>linkedin</t>
        </is>
      </c>
      <c r="D1305" t="n">
        <v>26748</v>
      </c>
      <c r="E1305" t="n">
        <v>5143</v>
      </c>
      <c r="F1305" t="n">
        <v>31</v>
      </c>
      <c r="G1305" t="n">
        <v>3</v>
      </c>
      <c r="H1305" t="n">
        <v>0</v>
      </c>
      <c r="I1305" t="n">
        <v>0</v>
      </c>
      <c r="J1305" t="n">
        <v>0</v>
      </c>
    </row>
    <row r="1306">
      <c r="A1306" s="5" t="n">
        <v>46071</v>
      </c>
      <c r="B1306" t="inlineStr">
        <is>
          <t>meta_prospecting_founder</t>
        </is>
      </c>
      <c r="C1306" t="inlineStr">
        <is>
          <t>meta</t>
        </is>
      </c>
      <c r="D1306" t="n">
        <v>30196</v>
      </c>
      <c r="E1306" t="n">
        <v>21568</v>
      </c>
      <c r="F1306" t="n">
        <v>228</v>
      </c>
      <c r="G1306" t="n">
        <v>7</v>
      </c>
      <c r="H1306" t="n">
        <v>2</v>
      </c>
      <c r="I1306" t="n">
        <v>1</v>
      </c>
      <c r="J1306" t="n">
        <v>0</v>
      </c>
    </row>
    <row r="1307">
      <c r="A1307" s="5" t="n">
        <v>46071</v>
      </c>
      <c r="B1307" t="inlineStr">
        <is>
          <t>meta_retargeting_webinar</t>
        </is>
      </c>
      <c r="C1307" t="inlineStr">
        <is>
          <t>meta</t>
        </is>
      </c>
      <c r="D1307" t="n">
        <v>9976</v>
      </c>
      <c r="E1307" t="n">
        <v>7125</v>
      </c>
      <c r="F1307" t="n">
        <v>84</v>
      </c>
      <c r="G1307" t="n">
        <v>1</v>
      </c>
      <c r="H1307" t="n">
        <v>3</v>
      </c>
      <c r="I1307" t="n">
        <v>1</v>
      </c>
      <c r="J1307" t="n">
        <v>0</v>
      </c>
    </row>
    <row r="1308">
      <c r="A1308" s="5" t="n">
        <v>46072</v>
      </c>
      <c r="B1308" t="inlineStr">
        <is>
          <t>FB-Broad</t>
        </is>
      </c>
      <c r="C1308" t="inlineStr">
        <is>
          <t>meta</t>
        </is>
      </c>
      <c r="D1308" t="n">
        <v>15872</v>
      </c>
      <c r="E1308" t="n">
        <v>11337</v>
      </c>
      <c r="F1308" t="n">
        <v>133</v>
      </c>
      <c r="G1308" t="n">
        <v>1</v>
      </c>
      <c r="H1308" t="n">
        <v>0</v>
      </c>
      <c r="I1308" t="n">
        <v>1</v>
      </c>
      <c r="J1308" t="n">
        <v>0</v>
      </c>
    </row>
    <row r="1309">
      <c r="A1309" s="5" t="n">
        <v>46072</v>
      </c>
      <c r="B1309" t="inlineStr">
        <is>
          <t>google_brand_search</t>
        </is>
      </c>
      <c r="C1309" t="inlineStr">
        <is>
          <t>google</t>
        </is>
      </c>
      <c r="D1309" t="n">
        <v>7344</v>
      </c>
      <c r="E1309" t="n">
        <v>1530</v>
      </c>
      <c r="F1309" t="n">
        <v>90</v>
      </c>
      <c r="G1309" t="n">
        <v>1</v>
      </c>
      <c r="H1309" t="n">
        <v>1</v>
      </c>
      <c r="I1309" t="n">
        <v>1</v>
      </c>
      <c r="J1309" t="n">
        <v>0</v>
      </c>
    </row>
    <row r="1310">
      <c r="A1310" s="5" t="n">
        <v>46072</v>
      </c>
      <c r="B1310" t="inlineStr">
        <is>
          <t>google_nonbrand_growth</t>
        </is>
      </c>
      <c r="C1310" t="inlineStr">
        <is>
          <t>google</t>
        </is>
      </c>
      <c r="D1310" t="n">
        <v>18414</v>
      </c>
      <c r="E1310" t="n">
        <v>3836</v>
      </c>
      <c r="F1310" t="n">
        <v>195</v>
      </c>
      <c r="G1310" t="n">
        <v>3</v>
      </c>
      <c r="H1310" t="n">
        <v>0</v>
      </c>
      <c r="I1310" t="n">
        <v>0</v>
      </c>
      <c r="J1310" t="n">
        <v>0</v>
      </c>
    </row>
    <row r="1311">
      <c r="A1311" s="5" t="n">
        <v>46072</v>
      </c>
      <c r="B1311" t="inlineStr">
        <is>
          <t>linkedin_ceo_abm</t>
        </is>
      </c>
      <c r="C1311" t="inlineStr">
        <is>
          <t>linkedin</t>
        </is>
      </c>
      <c r="D1311" t="n">
        <v>24050</v>
      </c>
      <c r="E1311" t="n">
        <v>4625</v>
      </c>
      <c r="F1311" t="n">
        <v>29</v>
      </c>
      <c r="G1311" t="n">
        <v>0</v>
      </c>
      <c r="H1311" t="n">
        <v>1</v>
      </c>
      <c r="I1311" t="n">
        <v>0</v>
      </c>
      <c r="J1311" t="n">
        <v>0</v>
      </c>
    </row>
    <row r="1312">
      <c r="A1312" s="5" t="n">
        <v>46072</v>
      </c>
      <c r="B1312" t="inlineStr">
        <is>
          <t>meta_prospecting_founder</t>
        </is>
      </c>
      <c r="C1312" t="inlineStr">
        <is>
          <t>meta</t>
        </is>
      </c>
      <c r="D1312" t="n">
        <v>33093</v>
      </c>
      <c r="E1312" t="n">
        <v>23637</v>
      </c>
      <c r="F1312" t="n">
        <v>275</v>
      </c>
      <c r="G1312" t="n">
        <v>5</v>
      </c>
      <c r="H1312" t="n">
        <v>2</v>
      </c>
      <c r="I1312" t="n">
        <v>0</v>
      </c>
      <c r="J1312" t="n">
        <v>0</v>
      </c>
    </row>
    <row r="1313">
      <c r="A1313" s="5" t="n">
        <v>46072</v>
      </c>
      <c r="B1313" t="inlineStr">
        <is>
          <t>meta_retargeting_webinar</t>
        </is>
      </c>
      <c r="C1313" t="inlineStr">
        <is>
          <t>meta</t>
        </is>
      </c>
      <c r="D1313" t="n">
        <v>8983</v>
      </c>
      <c r="E1313" t="n">
        <v>6416</v>
      </c>
      <c r="F1313" t="n">
        <v>65</v>
      </c>
      <c r="G1313" t="n">
        <v>2</v>
      </c>
      <c r="H1313" t="n">
        <v>0</v>
      </c>
      <c r="I1313" t="n">
        <v>0</v>
      </c>
      <c r="J1313" t="n">
        <v>0</v>
      </c>
    </row>
    <row r="1314">
      <c r="A1314" s="5" t="n">
        <v>46073</v>
      </c>
      <c r="B1314" t="inlineStr">
        <is>
          <t>FB-Broad</t>
        </is>
      </c>
      <c r="C1314" t="inlineStr">
        <is>
          <t>meta</t>
        </is>
      </c>
      <c r="D1314" t="n">
        <v>15648</v>
      </c>
      <c r="E1314" t="n">
        <v>11177</v>
      </c>
      <c r="F1314" t="n">
        <v>115</v>
      </c>
      <c r="G1314" t="n">
        <v>5</v>
      </c>
      <c r="H1314" t="n">
        <v>2</v>
      </c>
      <c r="I1314" t="n">
        <v>0</v>
      </c>
      <c r="J1314" t="n">
        <v>0</v>
      </c>
    </row>
    <row r="1315">
      <c r="A1315" s="5" t="n">
        <v>46073</v>
      </c>
      <c r="B1315" t="inlineStr">
        <is>
          <t>google_brand_search</t>
        </is>
      </c>
      <c r="C1315" t="inlineStr">
        <is>
          <t>google</t>
        </is>
      </c>
      <c r="D1315" t="n">
        <v>6552</v>
      </c>
      <c r="E1315" t="n">
        <v>1365</v>
      </c>
      <c r="F1315" t="n">
        <v>77</v>
      </c>
      <c r="G1315" t="n">
        <v>6</v>
      </c>
      <c r="H1315" t="n">
        <v>1</v>
      </c>
      <c r="I1315" t="n">
        <v>0</v>
      </c>
      <c r="J1315" t="n">
        <v>0</v>
      </c>
    </row>
    <row r="1316">
      <c r="A1316" s="5" t="n">
        <v>46073</v>
      </c>
      <c r="B1316" t="inlineStr">
        <is>
          <t>google_nonbrand_growth</t>
        </is>
      </c>
      <c r="C1316" t="inlineStr">
        <is>
          <t>google</t>
        </is>
      </c>
      <c r="D1316" t="n">
        <v>19182</v>
      </c>
      <c r="E1316" t="n">
        <v>3996</v>
      </c>
      <c r="F1316" t="n">
        <v>196</v>
      </c>
      <c r="G1316" t="n">
        <v>2</v>
      </c>
      <c r="H1316" t="n">
        <v>0</v>
      </c>
      <c r="I1316" t="n">
        <v>0</v>
      </c>
      <c r="J1316" t="n">
        <v>0</v>
      </c>
    </row>
    <row r="1317">
      <c r="A1317" s="5" t="n">
        <v>46073</v>
      </c>
      <c r="B1317" t="inlineStr">
        <is>
          <t>linkedin_ceo_abm</t>
        </is>
      </c>
      <c r="C1317" t="inlineStr">
        <is>
          <t>linkedin</t>
        </is>
      </c>
      <c r="D1317" t="n">
        <v>25181</v>
      </c>
      <c r="E1317" t="n">
        <v>4842</v>
      </c>
      <c r="F1317" t="n">
        <v>28</v>
      </c>
      <c r="G1317" t="n">
        <v>0</v>
      </c>
      <c r="H1317" t="n">
        <v>0</v>
      </c>
      <c r="I1317" t="n">
        <v>0</v>
      </c>
      <c r="J1317" t="n">
        <v>0</v>
      </c>
    </row>
    <row r="1318">
      <c r="A1318" s="5" t="n">
        <v>46073</v>
      </c>
      <c r="B1318" t="inlineStr">
        <is>
          <t>meta_prospecting_founder</t>
        </is>
      </c>
      <c r="C1318" t="inlineStr">
        <is>
          <t>meta</t>
        </is>
      </c>
      <c r="D1318" t="n">
        <v>29505</v>
      </c>
      <c r="E1318" t="n">
        <v>21075</v>
      </c>
      <c r="F1318" t="n">
        <v>238</v>
      </c>
      <c r="G1318" t="n">
        <v>6</v>
      </c>
      <c r="H1318" t="n">
        <v>1</v>
      </c>
      <c r="I1318" t="n">
        <v>1</v>
      </c>
      <c r="J1318" t="n">
        <v>0</v>
      </c>
    </row>
    <row r="1319">
      <c r="A1319" s="5" t="n">
        <v>46073</v>
      </c>
      <c r="B1319" t="inlineStr">
        <is>
          <t>meta_retargeting_webinar</t>
        </is>
      </c>
      <c r="C1319" t="inlineStr">
        <is>
          <t>meta</t>
        </is>
      </c>
      <c r="D1319" t="n">
        <v>9096</v>
      </c>
      <c r="E1319" t="n">
        <v>6497</v>
      </c>
      <c r="F1319" t="n">
        <v>80</v>
      </c>
      <c r="G1319" t="n">
        <v>1</v>
      </c>
      <c r="H1319" t="n">
        <v>3</v>
      </c>
      <c r="I1319" t="n">
        <v>0</v>
      </c>
      <c r="J1319" t="n">
        <v>0</v>
      </c>
    </row>
    <row r="1320">
      <c r="A1320" s="5" t="n">
        <v>46074</v>
      </c>
      <c r="B1320" t="inlineStr">
        <is>
          <t>FB-Broad</t>
        </is>
      </c>
      <c r="C1320" t="inlineStr">
        <is>
          <t>meta</t>
        </is>
      </c>
      <c r="D1320" t="n">
        <v>17178</v>
      </c>
      <c r="E1320" t="n">
        <v>12270</v>
      </c>
      <c r="F1320" t="n">
        <v>151</v>
      </c>
      <c r="G1320" t="n">
        <v>3</v>
      </c>
      <c r="H1320" t="n">
        <v>0</v>
      </c>
      <c r="I1320" t="n">
        <v>1</v>
      </c>
      <c r="J1320" t="n">
        <v>0</v>
      </c>
    </row>
    <row r="1321">
      <c r="A1321" s="5" t="n">
        <v>46074</v>
      </c>
      <c r="B1321" t="inlineStr">
        <is>
          <t>google_brand_search</t>
        </is>
      </c>
      <c r="C1321" t="inlineStr">
        <is>
          <t>google</t>
        </is>
      </c>
      <c r="D1321" t="n">
        <v>7051</v>
      </c>
      <c r="E1321" t="n">
        <v>1468</v>
      </c>
      <c r="F1321" t="n">
        <v>76</v>
      </c>
      <c r="G1321" t="n">
        <v>0</v>
      </c>
      <c r="H1321" t="n">
        <v>2</v>
      </c>
      <c r="I1321" t="n">
        <v>4</v>
      </c>
      <c r="J1321" t="n">
        <v>0</v>
      </c>
    </row>
    <row r="1322">
      <c r="A1322" s="5" t="n">
        <v>46074</v>
      </c>
      <c r="B1322" t="inlineStr">
        <is>
          <t>google_nonbrand_growth</t>
        </is>
      </c>
      <c r="C1322" t="inlineStr">
        <is>
          <t>google</t>
        </is>
      </c>
      <c r="D1322" t="n">
        <v>18026</v>
      </c>
      <c r="E1322" t="n">
        <v>3755</v>
      </c>
      <c r="F1322" t="n">
        <v>179</v>
      </c>
      <c r="G1322" t="n">
        <v>2</v>
      </c>
      <c r="H1322" t="n">
        <v>0</v>
      </c>
      <c r="I1322" t="n">
        <v>0</v>
      </c>
      <c r="J1322" t="n">
        <v>0</v>
      </c>
    </row>
    <row r="1323">
      <c r="A1323" s="5" t="n">
        <v>46074</v>
      </c>
      <c r="B1323" t="inlineStr">
        <is>
          <t>linkedin_ceo_abm</t>
        </is>
      </c>
      <c r="C1323" t="inlineStr">
        <is>
          <t>linkedin</t>
        </is>
      </c>
      <c r="D1323" t="n">
        <v>23532</v>
      </c>
      <c r="E1323" t="n">
        <v>4525</v>
      </c>
      <c r="F1323" t="n">
        <v>25</v>
      </c>
      <c r="G1323" t="n">
        <v>1</v>
      </c>
      <c r="H1323" t="n">
        <v>1</v>
      </c>
      <c r="I1323" t="n">
        <v>0</v>
      </c>
      <c r="J1323" t="n">
        <v>0</v>
      </c>
    </row>
    <row r="1324">
      <c r="A1324" s="5" t="n">
        <v>46074</v>
      </c>
      <c r="B1324" t="inlineStr">
        <is>
          <t>meta_prospecting_founder</t>
        </is>
      </c>
      <c r="C1324" t="inlineStr">
        <is>
          <t>meta</t>
        </is>
      </c>
      <c r="D1324" t="n">
        <v>29391</v>
      </c>
      <c r="E1324" t="n">
        <v>20993</v>
      </c>
      <c r="F1324" t="n">
        <v>255</v>
      </c>
      <c r="G1324" t="n">
        <v>4</v>
      </c>
      <c r="H1324" t="n">
        <v>0</v>
      </c>
      <c r="I1324" t="n">
        <v>1</v>
      </c>
      <c r="J1324" t="n">
        <v>0</v>
      </c>
    </row>
    <row r="1325">
      <c r="A1325" s="5" t="n">
        <v>46074</v>
      </c>
      <c r="B1325" t="inlineStr">
        <is>
          <t>meta_retargeting_webinar</t>
        </is>
      </c>
      <c r="C1325" t="inlineStr">
        <is>
          <t>meta</t>
        </is>
      </c>
      <c r="D1325" t="n">
        <v>9098</v>
      </c>
      <c r="E1325" t="n">
        <v>6498</v>
      </c>
      <c r="F1325" t="n">
        <v>66</v>
      </c>
      <c r="G1325" t="n">
        <v>4</v>
      </c>
      <c r="H1325" t="n">
        <v>0</v>
      </c>
      <c r="I1325" t="n">
        <v>0</v>
      </c>
      <c r="J1325" t="n">
        <v>0</v>
      </c>
    </row>
    <row r="1326">
      <c r="A1326" s="5" t="n">
        <v>46075</v>
      </c>
      <c r="B1326" t="inlineStr">
        <is>
          <t>FB-Broad</t>
        </is>
      </c>
      <c r="C1326" t="inlineStr">
        <is>
          <t>meta</t>
        </is>
      </c>
      <c r="D1326" t="n">
        <v>17684</v>
      </c>
      <c r="E1326" t="n">
        <v>12631</v>
      </c>
      <c r="F1326" t="n">
        <v>140</v>
      </c>
      <c r="G1326" t="n">
        <v>1</v>
      </c>
      <c r="H1326" t="n">
        <v>0</v>
      </c>
      <c r="I1326" t="n">
        <v>0</v>
      </c>
      <c r="J1326" t="n">
        <v>0</v>
      </c>
    </row>
    <row r="1327">
      <c r="A1327" s="5" t="n">
        <v>46075</v>
      </c>
      <c r="B1327" t="inlineStr">
        <is>
          <t>google_brand_search</t>
        </is>
      </c>
      <c r="C1327" t="inlineStr">
        <is>
          <t>google</t>
        </is>
      </c>
      <c r="D1327" t="n">
        <v>7351</v>
      </c>
      <c r="E1327" t="n">
        <v>1531</v>
      </c>
      <c r="F1327" t="n">
        <v>68</v>
      </c>
      <c r="G1327" t="n">
        <v>4</v>
      </c>
      <c r="H1327" t="n">
        <v>1</v>
      </c>
      <c r="I1327" t="n">
        <v>0</v>
      </c>
      <c r="J1327" t="n">
        <v>0</v>
      </c>
    </row>
    <row r="1328">
      <c r="A1328" s="5" t="n">
        <v>46075</v>
      </c>
      <c r="B1328" t="inlineStr">
        <is>
          <t>google_nonbrand_growth</t>
        </is>
      </c>
      <c r="C1328" t="inlineStr">
        <is>
          <t>google</t>
        </is>
      </c>
      <c r="D1328" t="n">
        <v>19492</v>
      </c>
      <c r="E1328" t="n">
        <v>4060</v>
      </c>
      <c r="F1328" t="n">
        <v>238</v>
      </c>
      <c r="G1328" t="n">
        <v>0</v>
      </c>
      <c r="H1328" t="n">
        <v>0</v>
      </c>
      <c r="I1328" t="n">
        <v>0</v>
      </c>
      <c r="J1328" t="n">
        <v>0</v>
      </c>
    </row>
    <row r="1329">
      <c r="A1329" s="5" t="n">
        <v>46075</v>
      </c>
      <c r="B1329" t="inlineStr">
        <is>
          <t>linkedin_ceo_abm</t>
        </is>
      </c>
      <c r="C1329" t="inlineStr">
        <is>
          <t>linkedin</t>
        </is>
      </c>
      <c r="D1329" t="n">
        <v>27715</v>
      </c>
      <c r="E1329" t="n">
        <v>5329</v>
      </c>
      <c r="F1329" t="n">
        <v>32</v>
      </c>
      <c r="G1329" t="n">
        <v>4</v>
      </c>
      <c r="H1329" t="n">
        <v>2</v>
      </c>
      <c r="I1329" t="n">
        <v>0</v>
      </c>
      <c r="J1329" t="n">
        <v>0</v>
      </c>
    </row>
    <row r="1330">
      <c r="A1330" s="5" t="n">
        <v>46075</v>
      </c>
      <c r="B1330" t="inlineStr">
        <is>
          <t>meta_prospecting_founder</t>
        </is>
      </c>
      <c r="C1330" t="inlineStr">
        <is>
          <t>meta</t>
        </is>
      </c>
      <c r="D1330" t="n">
        <v>32926</v>
      </c>
      <c r="E1330" t="n">
        <v>23518</v>
      </c>
      <c r="F1330" t="n">
        <v>252</v>
      </c>
      <c r="G1330" t="n">
        <v>5</v>
      </c>
      <c r="H1330" t="n">
        <v>1</v>
      </c>
      <c r="I1330" t="n">
        <v>0</v>
      </c>
      <c r="J1330" t="n">
        <v>1</v>
      </c>
    </row>
    <row r="1331">
      <c r="A1331" s="5" t="n">
        <v>46075</v>
      </c>
      <c r="B1331" t="inlineStr">
        <is>
          <t>meta_retargeting_webinar</t>
        </is>
      </c>
      <c r="C1331" t="inlineStr">
        <is>
          <t>meta</t>
        </is>
      </c>
      <c r="D1331" t="n">
        <v>8670</v>
      </c>
      <c r="E1331" t="n">
        <v>6192</v>
      </c>
      <c r="F1331" t="n">
        <v>70</v>
      </c>
      <c r="G1331" t="n">
        <v>1</v>
      </c>
      <c r="H1331" t="n">
        <v>0</v>
      </c>
      <c r="I1331" t="n">
        <v>1</v>
      </c>
      <c r="J1331" t="n">
        <v>0</v>
      </c>
    </row>
    <row r="1332">
      <c r="A1332" s="5" t="n">
        <v>46076</v>
      </c>
      <c r="B1332" t="inlineStr">
        <is>
          <t>FB-Broad</t>
        </is>
      </c>
      <c r="C1332" t="inlineStr">
        <is>
          <t>meta</t>
        </is>
      </c>
      <c r="D1332" t="n">
        <v>14970</v>
      </c>
      <c r="E1332" t="n">
        <v>10692</v>
      </c>
      <c r="F1332" t="n">
        <v>134</v>
      </c>
      <c r="G1332" t="n">
        <v>7</v>
      </c>
      <c r="H1332" t="n">
        <v>1</v>
      </c>
      <c r="I1332" t="n">
        <v>1</v>
      </c>
      <c r="J1332" t="n">
        <v>0</v>
      </c>
    </row>
    <row r="1333">
      <c r="A1333" s="5" t="n">
        <v>46076</v>
      </c>
      <c r="B1333" t="inlineStr">
        <is>
          <t>google_brand_search</t>
        </is>
      </c>
      <c r="C1333" t="inlineStr">
        <is>
          <t>google</t>
        </is>
      </c>
      <c r="D1333" t="n">
        <v>7025</v>
      </c>
      <c r="E1333" t="n">
        <v>1463</v>
      </c>
      <c r="F1333" t="n">
        <v>73</v>
      </c>
      <c r="G1333" t="n">
        <v>1</v>
      </c>
      <c r="H1333" t="n">
        <v>1</v>
      </c>
      <c r="I1333" t="n">
        <v>0</v>
      </c>
      <c r="J1333" t="n">
        <v>1</v>
      </c>
    </row>
    <row r="1334">
      <c r="A1334" s="5" t="n">
        <v>46076</v>
      </c>
      <c r="B1334" t="inlineStr">
        <is>
          <t>google_nonbrand_growth</t>
        </is>
      </c>
      <c r="C1334" t="inlineStr">
        <is>
          <t>google</t>
        </is>
      </c>
      <c r="D1334" t="n">
        <v>17709</v>
      </c>
      <c r="E1334" t="n">
        <v>3689</v>
      </c>
      <c r="F1334" t="n">
        <v>166</v>
      </c>
      <c r="G1334" t="n">
        <v>3</v>
      </c>
      <c r="H1334" t="n">
        <v>0</v>
      </c>
      <c r="I1334" t="n">
        <v>0</v>
      </c>
      <c r="J1334" t="n">
        <v>0</v>
      </c>
    </row>
    <row r="1335">
      <c r="A1335" s="5" t="n">
        <v>46076</v>
      </c>
      <c r="B1335" t="inlineStr">
        <is>
          <t>linkedin_ceo_abm</t>
        </is>
      </c>
      <c r="C1335" t="inlineStr">
        <is>
          <t>linkedin</t>
        </is>
      </c>
      <c r="D1335" t="n">
        <v>25645</v>
      </c>
      <c r="E1335" t="n">
        <v>4931</v>
      </c>
      <c r="F1335" t="n">
        <v>34</v>
      </c>
      <c r="G1335" t="n">
        <v>2</v>
      </c>
      <c r="H1335" t="n">
        <v>1</v>
      </c>
      <c r="I1335" t="n">
        <v>0</v>
      </c>
      <c r="J1335" t="n">
        <v>0</v>
      </c>
    </row>
    <row r="1336">
      <c r="A1336" s="5" t="n">
        <v>46076</v>
      </c>
      <c r="B1336" t="inlineStr">
        <is>
          <t>meta_prospecting_founder</t>
        </is>
      </c>
      <c r="C1336" t="inlineStr">
        <is>
          <t>meta</t>
        </is>
      </c>
      <c r="D1336" t="n">
        <v>30716</v>
      </c>
      <c r="E1336" t="n">
        <v>21940</v>
      </c>
      <c r="F1336" t="n">
        <v>275</v>
      </c>
      <c r="G1336" t="n">
        <v>9</v>
      </c>
      <c r="H1336" t="n">
        <v>1</v>
      </c>
      <c r="I1336" t="n">
        <v>1</v>
      </c>
      <c r="J1336" t="n">
        <v>0</v>
      </c>
    </row>
    <row r="1337">
      <c r="A1337" s="5" t="n">
        <v>46076</v>
      </c>
      <c r="B1337" t="inlineStr">
        <is>
          <t>meta_retargeting_webinar</t>
        </is>
      </c>
      <c r="C1337" t="inlineStr">
        <is>
          <t>meta</t>
        </is>
      </c>
      <c r="D1337" t="n">
        <v>9841</v>
      </c>
      <c r="E1337" t="n">
        <v>7029</v>
      </c>
      <c r="F1337" t="n">
        <v>87</v>
      </c>
      <c r="G1337" t="n">
        <v>5</v>
      </c>
      <c r="H1337" t="n">
        <v>4</v>
      </c>
      <c r="I1337" t="n">
        <v>0</v>
      </c>
      <c r="J1337" t="n">
        <v>0</v>
      </c>
    </row>
    <row r="1338">
      <c r="A1338" s="5" t="n">
        <v>46077</v>
      </c>
      <c r="B1338" t="inlineStr">
        <is>
          <t>FB-Broad</t>
        </is>
      </c>
      <c r="C1338" t="inlineStr">
        <is>
          <t>meta</t>
        </is>
      </c>
      <c r="D1338" t="n">
        <v>16659</v>
      </c>
      <c r="E1338" t="n">
        <v>11899</v>
      </c>
      <c r="F1338" t="n">
        <v>113</v>
      </c>
      <c r="G1338" t="n">
        <v>5</v>
      </c>
      <c r="H1338" t="n">
        <v>1</v>
      </c>
      <c r="I1338" t="n">
        <v>2</v>
      </c>
      <c r="J1338" t="n">
        <v>0</v>
      </c>
    </row>
    <row r="1339">
      <c r="A1339" s="5" t="n">
        <v>46077</v>
      </c>
      <c r="B1339" t="inlineStr">
        <is>
          <t>google_brand_search</t>
        </is>
      </c>
      <c r="C1339" t="inlineStr">
        <is>
          <t>google</t>
        </is>
      </c>
      <c r="D1339" t="n">
        <v>7110</v>
      </c>
      <c r="E1339" t="n">
        <v>1481</v>
      </c>
      <c r="F1339" t="n">
        <v>67</v>
      </c>
      <c r="G1339" t="n">
        <v>2</v>
      </c>
      <c r="H1339" t="n">
        <v>2</v>
      </c>
      <c r="I1339" t="n">
        <v>2</v>
      </c>
      <c r="J1339" t="n">
        <v>0</v>
      </c>
    </row>
    <row r="1340">
      <c r="A1340" s="5" t="n">
        <v>46077</v>
      </c>
      <c r="B1340" t="inlineStr">
        <is>
          <t>google_nonbrand_growth</t>
        </is>
      </c>
      <c r="C1340" t="inlineStr">
        <is>
          <t>google</t>
        </is>
      </c>
      <c r="D1340" t="n">
        <v>19581</v>
      </c>
      <c r="E1340" t="n">
        <v>4079</v>
      </c>
      <c r="F1340" t="n">
        <v>204</v>
      </c>
      <c r="G1340" t="n">
        <v>4</v>
      </c>
      <c r="H1340" t="n">
        <v>1</v>
      </c>
      <c r="I1340" t="n">
        <v>0</v>
      </c>
      <c r="J1340" t="n">
        <v>0</v>
      </c>
    </row>
    <row r="1341">
      <c r="A1341" s="5" t="n">
        <v>46077</v>
      </c>
      <c r="B1341" t="inlineStr">
        <is>
          <t>linkedin_ceo_abm</t>
        </is>
      </c>
      <c r="C1341" t="inlineStr">
        <is>
          <t>linkedin</t>
        </is>
      </c>
      <c r="D1341" t="n">
        <v>27023</v>
      </c>
      <c r="E1341" t="n">
        <v>5196</v>
      </c>
      <c r="F1341" t="n">
        <v>33</v>
      </c>
      <c r="G1341" t="n">
        <v>1</v>
      </c>
      <c r="H1341" t="n">
        <v>0</v>
      </c>
      <c r="I1341" t="n">
        <v>2</v>
      </c>
      <c r="J1341" t="n">
        <v>1</v>
      </c>
    </row>
    <row r="1342">
      <c r="A1342" s="5" t="n">
        <v>46077</v>
      </c>
      <c r="B1342" t="inlineStr">
        <is>
          <t>meta_prospecting_founder</t>
        </is>
      </c>
      <c r="C1342" t="inlineStr">
        <is>
          <t>meta</t>
        </is>
      </c>
      <c r="D1342" t="n">
        <v>32964</v>
      </c>
      <c r="E1342" t="n">
        <v>23545</v>
      </c>
      <c r="F1342" t="n">
        <v>264</v>
      </c>
      <c r="G1342" t="n">
        <v>7</v>
      </c>
      <c r="H1342" t="n">
        <v>2</v>
      </c>
      <c r="I1342" t="n">
        <v>1</v>
      </c>
      <c r="J1342" t="n">
        <v>0</v>
      </c>
    </row>
    <row r="1343">
      <c r="A1343" s="5" t="n">
        <v>46077</v>
      </c>
      <c r="B1343" t="inlineStr">
        <is>
          <t>meta_retargeting_webinar</t>
        </is>
      </c>
      <c r="C1343" t="inlineStr">
        <is>
          <t>meta</t>
        </is>
      </c>
      <c r="D1343" t="n">
        <v>9958</v>
      </c>
      <c r="E1343" t="n">
        <v>7112</v>
      </c>
      <c r="F1343" t="n">
        <v>78</v>
      </c>
      <c r="G1343" t="n">
        <v>3</v>
      </c>
      <c r="H1343" t="n">
        <v>1</v>
      </c>
      <c r="I1343" t="n">
        <v>0</v>
      </c>
      <c r="J1343" t="n">
        <v>0</v>
      </c>
    </row>
    <row r="1344">
      <c r="A1344" s="5" t="n">
        <v>46078</v>
      </c>
      <c r="B1344" t="inlineStr">
        <is>
          <t>FB-Broad</t>
        </is>
      </c>
      <c r="C1344" t="inlineStr">
        <is>
          <t>meta</t>
        </is>
      </c>
      <c r="D1344" t="n">
        <v>15242</v>
      </c>
      <c r="E1344" t="n">
        <v>10887</v>
      </c>
      <c r="F1344" t="n">
        <v>103</v>
      </c>
      <c r="G1344" t="n">
        <v>9</v>
      </c>
      <c r="H1344" t="n">
        <v>1</v>
      </c>
      <c r="I1344" t="n">
        <v>1</v>
      </c>
      <c r="J1344" t="n">
        <v>0</v>
      </c>
    </row>
    <row r="1345">
      <c r="A1345" s="5" t="n">
        <v>46078</v>
      </c>
      <c r="B1345" t="inlineStr">
        <is>
          <t>google_brand_search</t>
        </is>
      </c>
      <c r="C1345" t="inlineStr">
        <is>
          <t>google</t>
        </is>
      </c>
      <c r="D1345" t="n">
        <v>6742</v>
      </c>
      <c r="E1345" t="n">
        <v>1404</v>
      </c>
      <c r="F1345" t="n">
        <v>80</v>
      </c>
      <c r="G1345" t="n">
        <v>4</v>
      </c>
      <c r="H1345" t="n">
        <v>2</v>
      </c>
      <c r="I1345" t="n">
        <v>0</v>
      </c>
      <c r="J1345" t="n">
        <v>0</v>
      </c>
    </row>
    <row r="1346">
      <c r="A1346" s="5" t="n">
        <v>46078</v>
      </c>
      <c r="B1346" t="inlineStr">
        <is>
          <t>google_nonbrand_growth</t>
        </is>
      </c>
      <c r="C1346" t="inlineStr">
        <is>
          <t>google</t>
        </is>
      </c>
      <c r="D1346" t="n">
        <v>20239</v>
      </c>
      <c r="E1346" t="n">
        <v>4216</v>
      </c>
      <c r="F1346" t="n">
        <v>219</v>
      </c>
      <c r="G1346" t="n">
        <v>4</v>
      </c>
      <c r="H1346" t="n">
        <v>1</v>
      </c>
      <c r="I1346" t="n">
        <v>0</v>
      </c>
      <c r="J1346" t="n">
        <v>0</v>
      </c>
    </row>
    <row r="1347">
      <c r="A1347" s="5" t="n">
        <v>46078</v>
      </c>
      <c r="B1347" t="inlineStr">
        <is>
          <t>linkedin_ceo_abm</t>
        </is>
      </c>
      <c r="C1347" t="inlineStr">
        <is>
          <t>linkedin</t>
        </is>
      </c>
      <c r="D1347" t="n">
        <v>23546</v>
      </c>
      <c r="E1347" t="n">
        <v>4528</v>
      </c>
      <c r="F1347" t="n">
        <v>27</v>
      </c>
      <c r="G1347" t="n">
        <v>3</v>
      </c>
      <c r="H1347" t="n">
        <v>1</v>
      </c>
      <c r="I1347" t="n">
        <v>1</v>
      </c>
      <c r="J1347" t="n">
        <v>0</v>
      </c>
    </row>
    <row r="1348">
      <c r="A1348" s="5" t="n">
        <v>46078</v>
      </c>
      <c r="B1348" t="inlineStr">
        <is>
          <t>meta_prospecting_founder</t>
        </is>
      </c>
      <c r="C1348" t="inlineStr">
        <is>
          <t>meta</t>
        </is>
      </c>
      <c r="D1348" t="n">
        <v>31271</v>
      </c>
      <c r="E1348" t="n">
        <v>22336</v>
      </c>
      <c r="F1348" t="n">
        <v>274</v>
      </c>
      <c r="G1348" t="n">
        <v>12</v>
      </c>
      <c r="H1348" t="n">
        <v>0</v>
      </c>
      <c r="I1348" t="n">
        <v>1</v>
      </c>
      <c r="J1348" t="n">
        <v>0</v>
      </c>
    </row>
    <row r="1349">
      <c r="A1349" s="5" t="n">
        <v>46078</v>
      </c>
      <c r="B1349" t="inlineStr">
        <is>
          <t>meta_retargeting_webinar</t>
        </is>
      </c>
      <c r="C1349" t="inlineStr">
        <is>
          <t>meta</t>
        </is>
      </c>
      <c r="D1349" t="n">
        <v>9623</v>
      </c>
      <c r="E1349" t="n">
        <v>6873</v>
      </c>
      <c r="F1349" t="n">
        <v>84</v>
      </c>
      <c r="G1349" t="n">
        <v>1</v>
      </c>
      <c r="H1349" t="n">
        <v>1</v>
      </c>
      <c r="I1349" t="n">
        <v>1</v>
      </c>
      <c r="J1349" t="n">
        <v>2</v>
      </c>
    </row>
    <row r="1350">
      <c r="A1350" s="5" t="n">
        <v>46079</v>
      </c>
      <c r="B1350" t="inlineStr">
        <is>
          <t>FB-Broad</t>
        </is>
      </c>
      <c r="C1350" t="inlineStr">
        <is>
          <t>meta</t>
        </is>
      </c>
      <c r="D1350" t="n">
        <v>17370</v>
      </c>
      <c r="E1350" t="n">
        <v>12407</v>
      </c>
      <c r="F1350" t="n">
        <v>122</v>
      </c>
      <c r="G1350" t="n">
        <v>3</v>
      </c>
      <c r="H1350" t="n">
        <v>2</v>
      </c>
      <c r="I1350" t="n">
        <v>0</v>
      </c>
      <c r="J1350" t="n">
        <v>0</v>
      </c>
    </row>
    <row r="1351">
      <c r="A1351" s="5" t="n">
        <v>46079</v>
      </c>
      <c r="B1351" t="inlineStr">
        <is>
          <t>google_brand_search</t>
        </is>
      </c>
      <c r="C1351" t="inlineStr">
        <is>
          <t>google</t>
        </is>
      </c>
      <c r="D1351" t="n">
        <v>7248</v>
      </c>
      <c r="E1351" t="n">
        <v>1510</v>
      </c>
      <c r="F1351" t="n">
        <v>81</v>
      </c>
      <c r="G1351" t="n">
        <v>2</v>
      </c>
      <c r="H1351" t="n">
        <v>0</v>
      </c>
      <c r="I1351" t="n">
        <v>0</v>
      </c>
      <c r="J1351" t="n">
        <v>0</v>
      </c>
    </row>
    <row r="1352">
      <c r="A1352" s="5" t="n">
        <v>46079</v>
      </c>
      <c r="B1352" t="inlineStr">
        <is>
          <t>google_nonbrand_growth</t>
        </is>
      </c>
      <c r="C1352" t="inlineStr">
        <is>
          <t>google</t>
        </is>
      </c>
      <c r="D1352" t="n">
        <v>18806</v>
      </c>
      <c r="E1352" t="n">
        <v>3917</v>
      </c>
      <c r="F1352" t="n">
        <v>233</v>
      </c>
      <c r="G1352" t="n">
        <v>2</v>
      </c>
      <c r="H1352" t="n">
        <v>2</v>
      </c>
      <c r="I1352" t="n">
        <v>0</v>
      </c>
      <c r="J1352" t="n">
        <v>0</v>
      </c>
    </row>
    <row r="1353">
      <c r="A1353" s="5" t="n">
        <v>46079</v>
      </c>
      <c r="B1353" t="inlineStr">
        <is>
          <t>linkedin_ceo_abm</t>
        </is>
      </c>
      <c r="C1353" t="inlineStr">
        <is>
          <t>linkedin</t>
        </is>
      </c>
      <c r="D1353" t="n">
        <v>22988</v>
      </c>
      <c r="E1353" t="n">
        <v>4420</v>
      </c>
      <c r="F1353" t="n">
        <v>25</v>
      </c>
      <c r="G1353" t="n">
        <v>2</v>
      </c>
      <c r="H1353" t="n">
        <v>1</v>
      </c>
      <c r="I1353" t="n">
        <v>0</v>
      </c>
      <c r="J1353" t="n">
        <v>1</v>
      </c>
    </row>
    <row r="1354">
      <c r="A1354" s="5" t="n">
        <v>46079</v>
      </c>
      <c r="B1354" t="inlineStr">
        <is>
          <t>meta_prospecting_founder</t>
        </is>
      </c>
      <c r="C1354" t="inlineStr">
        <is>
          <t>meta</t>
        </is>
      </c>
      <c r="D1354" t="n">
        <v>34949</v>
      </c>
      <c r="E1354" t="n">
        <v>24963</v>
      </c>
      <c r="F1354" t="n">
        <v>300</v>
      </c>
      <c r="G1354" t="n">
        <v>7</v>
      </c>
      <c r="H1354" t="n">
        <v>2</v>
      </c>
      <c r="I1354" t="n">
        <v>0</v>
      </c>
      <c r="J1354" t="n">
        <v>0</v>
      </c>
    </row>
    <row r="1355">
      <c r="A1355" s="5" t="n">
        <v>46079</v>
      </c>
      <c r="B1355" t="inlineStr">
        <is>
          <t>meta_retargeting_webinar</t>
        </is>
      </c>
      <c r="C1355" t="inlineStr">
        <is>
          <t>meta</t>
        </is>
      </c>
      <c r="D1355" t="n">
        <v>9281</v>
      </c>
      <c r="E1355" t="n">
        <v>6629</v>
      </c>
      <c r="F1355" t="n">
        <v>80</v>
      </c>
      <c r="G1355" t="n">
        <v>2</v>
      </c>
      <c r="H1355" t="n">
        <v>2</v>
      </c>
      <c r="I1355" t="n">
        <v>2</v>
      </c>
      <c r="J1355" t="n">
        <v>0</v>
      </c>
    </row>
    <row r="1356">
      <c r="A1356" s="5" t="n">
        <v>46080</v>
      </c>
      <c r="B1356" t="inlineStr">
        <is>
          <t>FB-Broad</t>
        </is>
      </c>
      <c r="C1356" t="inlineStr">
        <is>
          <t>meta</t>
        </is>
      </c>
      <c r="D1356" t="n">
        <v>16926</v>
      </c>
      <c r="E1356" t="n">
        <v>12090</v>
      </c>
      <c r="F1356" t="n">
        <v>126</v>
      </c>
      <c r="G1356" t="n">
        <v>0</v>
      </c>
      <c r="H1356" t="n">
        <v>0</v>
      </c>
      <c r="I1356" t="n">
        <v>1</v>
      </c>
      <c r="J1356" t="n">
        <v>0</v>
      </c>
    </row>
    <row r="1357">
      <c r="A1357" s="5" t="n">
        <v>46080</v>
      </c>
      <c r="B1357" t="inlineStr">
        <is>
          <t>google_brand_search</t>
        </is>
      </c>
      <c r="C1357" t="inlineStr">
        <is>
          <t>google</t>
        </is>
      </c>
      <c r="D1357" t="n">
        <v>6913</v>
      </c>
      <c r="E1357" t="n">
        <v>1440</v>
      </c>
      <c r="F1357" t="n">
        <v>85</v>
      </c>
      <c r="G1357" t="n">
        <v>4</v>
      </c>
      <c r="H1357" t="n">
        <v>3</v>
      </c>
      <c r="I1357" t="n">
        <v>2</v>
      </c>
      <c r="J1357" t="n">
        <v>1</v>
      </c>
    </row>
    <row r="1358">
      <c r="A1358" s="5" t="n">
        <v>46080</v>
      </c>
      <c r="B1358" t="inlineStr">
        <is>
          <t>google_nonbrand_growth</t>
        </is>
      </c>
      <c r="C1358" t="inlineStr">
        <is>
          <t>google</t>
        </is>
      </c>
      <c r="D1358" t="n">
        <v>20091</v>
      </c>
      <c r="E1358" t="n">
        <v>4185</v>
      </c>
      <c r="F1358" t="n">
        <v>207</v>
      </c>
      <c r="G1358" t="n">
        <v>4</v>
      </c>
      <c r="H1358" t="n">
        <v>1</v>
      </c>
      <c r="I1358" t="n">
        <v>1</v>
      </c>
      <c r="J1358" t="n">
        <v>0</v>
      </c>
    </row>
    <row r="1359">
      <c r="A1359" s="5" t="n">
        <v>46080</v>
      </c>
      <c r="B1359" t="inlineStr">
        <is>
          <t>linkedin_ceo_abm</t>
        </is>
      </c>
      <c r="C1359" t="inlineStr">
        <is>
          <t>linkedin</t>
        </is>
      </c>
      <c r="D1359" t="n">
        <v>23545</v>
      </c>
      <c r="E1359" t="n">
        <v>4527</v>
      </c>
      <c r="F1359" t="n">
        <v>33</v>
      </c>
      <c r="G1359" t="n">
        <v>1</v>
      </c>
      <c r="H1359" t="n">
        <v>2</v>
      </c>
      <c r="I1359" t="n">
        <v>0</v>
      </c>
      <c r="J1359" t="n">
        <v>1</v>
      </c>
    </row>
    <row r="1360">
      <c r="A1360" s="5" t="n">
        <v>46080</v>
      </c>
      <c r="B1360" t="inlineStr">
        <is>
          <t>meta_prospecting_founder</t>
        </is>
      </c>
      <c r="C1360" t="inlineStr">
        <is>
          <t>meta</t>
        </is>
      </c>
      <c r="D1360" t="n">
        <v>34853</v>
      </c>
      <c r="E1360" t="n">
        <v>24895</v>
      </c>
      <c r="F1360" t="n">
        <v>239</v>
      </c>
      <c r="G1360" t="n">
        <v>4</v>
      </c>
      <c r="H1360" t="n">
        <v>4</v>
      </c>
      <c r="I1360" t="n">
        <v>1</v>
      </c>
      <c r="J1360" t="n">
        <v>1</v>
      </c>
    </row>
    <row r="1361">
      <c r="A1361" s="5" t="n">
        <v>46080</v>
      </c>
      <c r="B1361" t="inlineStr">
        <is>
          <t>meta_retargeting_webinar</t>
        </is>
      </c>
      <c r="C1361" t="inlineStr">
        <is>
          <t>meta</t>
        </is>
      </c>
      <c r="D1361" t="n">
        <v>8397</v>
      </c>
      <c r="E1361" t="n">
        <v>5997</v>
      </c>
      <c r="F1361" t="n">
        <v>75</v>
      </c>
      <c r="G1361" t="n">
        <v>2</v>
      </c>
      <c r="H1361" t="n">
        <v>0</v>
      </c>
      <c r="I1361" t="n">
        <v>1</v>
      </c>
      <c r="J1361" t="n">
        <v>0</v>
      </c>
    </row>
    <row r="1362">
      <c r="A1362" s="5" t="n">
        <v>46081</v>
      </c>
      <c r="B1362" t="inlineStr">
        <is>
          <t>FB-Broad</t>
        </is>
      </c>
      <c r="C1362" t="inlineStr">
        <is>
          <t>meta</t>
        </is>
      </c>
      <c r="D1362" t="n">
        <v>16563</v>
      </c>
      <c r="E1362" t="n">
        <v>11830</v>
      </c>
      <c r="F1362" t="n">
        <v>124</v>
      </c>
      <c r="G1362" t="n">
        <v>2</v>
      </c>
      <c r="H1362" t="n">
        <v>2</v>
      </c>
      <c r="I1362" t="n">
        <v>1</v>
      </c>
      <c r="J1362" t="n">
        <v>0</v>
      </c>
    </row>
    <row r="1363">
      <c r="A1363" s="5" t="n">
        <v>46081</v>
      </c>
      <c r="B1363" t="inlineStr">
        <is>
          <t>google_brand_search</t>
        </is>
      </c>
      <c r="C1363" t="inlineStr">
        <is>
          <t>google</t>
        </is>
      </c>
      <c r="D1363" t="n">
        <v>7373</v>
      </c>
      <c r="E1363" t="n">
        <v>1536</v>
      </c>
      <c r="F1363" t="n">
        <v>84</v>
      </c>
      <c r="G1363" t="n">
        <v>1</v>
      </c>
      <c r="H1363" t="n">
        <v>3</v>
      </c>
      <c r="I1363" t="n">
        <v>0</v>
      </c>
      <c r="J1363" t="n">
        <v>0</v>
      </c>
    </row>
    <row r="1364">
      <c r="A1364" s="5" t="n">
        <v>46081</v>
      </c>
      <c r="B1364" t="inlineStr">
        <is>
          <t>google_nonbrand_growth</t>
        </is>
      </c>
      <c r="C1364" t="inlineStr">
        <is>
          <t>google</t>
        </is>
      </c>
      <c r="D1364" t="n">
        <v>18602</v>
      </c>
      <c r="E1364" t="n">
        <v>3875</v>
      </c>
      <c r="F1364" t="n">
        <v>227</v>
      </c>
      <c r="G1364" t="n">
        <v>2</v>
      </c>
      <c r="H1364" t="n">
        <v>0</v>
      </c>
      <c r="I1364" t="n">
        <v>0</v>
      </c>
      <c r="J1364" t="n">
        <v>0</v>
      </c>
    </row>
    <row r="1365">
      <c r="A1365" s="5" t="n">
        <v>46081</v>
      </c>
      <c r="B1365" t="inlineStr">
        <is>
          <t>linkedin_ceo_abm</t>
        </is>
      </c>
      <c r="C1365" t="inlineStr">
        <is>
          <t>linkedin</t>
        </is>
      </c>
      <c r="D1365" t="n">
        <v>24195</v>
      </c>
      <c r="E1365" t="n">
        <v>4652</v>
      </c>
      <c r="F1365" t="n">
        <v>25</v>
      </c>
      <c r="G1365" t="n">
        <v>3</v>
      </c>
      <c r="H1365" t="n">
        <v>0</v>
      </c>
      <c r="I1365" t="n">
        <v>0</v>
      </c>
      <c r="J1365" t="n">
        <v>1</v>
      </c>
    </row>
    <row r="1366">
      <c r="A1366" s="5" t="n">
        <v>46081</v>
      </c>
      <c r="B1366" t="inlineStr">
        <is>
          <t>meta_prospecting_founder</t>
        </is>
      </c>
      <c r="C1366" t="inlineStr">
        <is>
          <t>meta</t>
        </is>
      </c>
      <c r="D1366" t="n">
        <v>29099</v>
      </c>
      <c r="E1366" t="n">
        <v>20785</v>
      </c>
      <c r="F1366" t="n">
        <v>199</v>
      </c>
      <c r="G1366" t="n">
        <v>6</v>
      </c>
      <c r="H1366" t="n">
        <v>3</v>
      </c>
      <c r="I1366" t="n">
        <v>1</v>
      </c>
      <c r="J1366" t="n">
        <v>1</v>
      </c>
    </row>
    <row r="1367">
      <c r="A1367" s="5" t="n">
        <v>46081</v>
      </c>
      <c r="B1367" t="inlineStr">
        <is>
          <t>meta_retargeting_webinar</t>
        </is>
      </c>
      <c r="C1367" t="inlineStr">
        <is>
          <t>meta</t>
        </is>
      </c>
      <c r="D1367" t="n">
        <v>9258</v>
      </c>
      <c r="E1367" t="n">
        <v>6612</v>
      </c>
      <c r="F1367" t="n">
        <v>80</v>
      </c>
      <c r="G1367" t="n">
        <v>1</v>
      </c>
      <c r="H1367" t="n">
        <v>0</v>
      </c>
      <c r="I1367" t="n">
        <v>1</v>
      </c>
      <c r="J1367" t="n">
        <v>0</v>
      </c>
    </row>
    <row r="1368">
      <c r="A1368" s="5" t="n">
        <v>46082</v>
      </c>
      <c r="B1368" t="inlineStr">
        <is>
          <t>FB-Broad</t>
        </is>
      </c>
      <c r="C1368" t="inlineStr">
        <is>
          <t>meta</t>
        </is>
      </c>
      <c r="D1368" t="n">
        <v>17953</v>
      </c>
      <c r="E1368" t="n">
        <v>12823</v>
      </c>
      <c r="F1368" t="n">
        <v>131</v>
      </c>
      <c r="G1368" t="n">
        <v>4</v>
      </c>
      <c r="H1368" t="n">
        <v>0</v>
      </c>
      <c r="I1368" t="n">
        <v>0</v>
      </c>
      <c r="J1368" t="n">
        <v>0</v>
      </c>
    </row>
    <row r="1369">
      <c r="A1369" s="5" t="n">
        <v>46082</v>
      </c>
      <c r="B1369" t="inlineStr">
        <is>
          <t>google_brand_search</t>
        </is>
      </c>
      <c r="C1369" t="inlineStr">
        <is>
          <t>google</t>
        </is>
      </c>
      <c r="D1369" t="n">
        <v>7191</v>
      </c>
      <c r="E1369" t="n">
        <v>1498</v>
      </c>
      <c r="F1369" t="n">
        <v>70</v>
      </c>
      <c r="G1369" t="n">
        <v>1</v>
      </c>
      <c r="H1369" t="n">
        <v>2</v>
      </c>
      <c r="I1369" t="n">
        <v>2</v>
      </c>
      <c r="J1369" t="n">
        <v>0</v>
      </c>
    </row>
    <row r="1370">
      <c r="A1370" s="5" t="n">
        <v>46082</v>
      </c>
      <c r="B1370" t="inlineStr">
        <is>
          <t>google_nonbrand_growth</t>
        </is>
      </c>
      <c r="C1370" t="inlineStr">
        <is>
          <t>google</t>
        </is>
      </c>
      <c r="D1370" t="n">
        <v>20670</v>
      </c>
      <c r="E1370" t="n">
        <v>4306</v>
      </c>
      <c r="F1370" t="n">
        <v>196</v>
      </c>
      <c r="G1370" t="n">
        <v>2</v>
      </c>
      <c r="H1370" t="n">
        <v>1</v>
      </c>
      <c r="I1370" t="n">
        <v>0</v>
      </c>
      <c r="J1370" t="n">
        <v>0</v>
      </c>
    </row>
    <row r="1371">
      <c r="A1371" s="5" t="n">
        <v>46082</v>
      </c>
      <c r="B1371" t="inlineStr">
        <is>
          <t>linkedin_ceo_abm</t>
        </is>
      </c>
      <c r="C1371" t="inlineStr">
        <is>
          <t>linkedin</t>
        </is>
      </c>
      <c r="D1371" t="n">
        <v>27123</v>
      </c>
      <c r="E1371" t="n">
        <v>5215</v>
      </c>
      <c r="F1371" t="n">
        <v>32</v>
      </c>
      <c r="G1371" t="n">
        <v>1</v>
      </c>
      <c r="H1371" t="n">
        <v>0</v>
      </c>
      <c r="I1371" t="n">
        <v>2</v>
      </c>
      <c r="J1371" t="n">
        <v>0</v>
      </c>
    </row>
    <row r="1372">
      <c r="A1372" s="5" t="n">
        <v>46082</v>
      </c>
      <c r="B1372" t="inlineStr">
        <is>
          <t>meta_prospecting_founder</t>
        </is>
      </c>
      <c r="C1372" t="inlineStr">
        <is>
          <t>meta</t>
        </is>
      </c>
      <c r="D1372" t="n">
        <v>32062</v>
      </c>
      <c r="E1372" t="n">
        <v>22901</v>
      </c>
      <c r="F1372" t="n">
        <v>283</v>
      </c>
      <c r="G1372" t="n">
        <v>3</v>
      </c>
      <c r="H1372" t="n">
        <v>2</v>
      </c>
      <c r="I1372" t="n">
        <v>1</v>
      </c>
      <c r="J1372" t="n">
        <v>0</v>
      </c>
    </row>
    <row r="1373">
      <c r="A1373" s="5" t="n">
        <v>46082</v>
      </c>
      <c r="B1373" t="inlineStr">
        <is>
          <t>meta_retargeting_webinar</t>
        </is>
      </c>
      <c r="C1373" t="inlineStr">
        <is>
          <t>meta</t>
        </is>
      </c>
      <c r="D1373" t="n">
        <v>9612</v>
      </c>
      <c r="E1373" t="n">
        <v>6865</v>
      </c>
      <c r="F1373" t="n">
        <v>73</v>
      </c>
      <c r="G1373" t="n">
        <v>3</v>
      </c>
      <c r="H1373" t="n">
        <v>0</v>
      </c>
      <c r="I1373" t="n">
        <v>0</v>
      </c>
      <c r="J1373" t="n">
        <v>0</v>
      </c>
    </row>
    <row r="1374">
      <c r="A1374" s="5" t="n">
        <v>46083</v>
      </c>
      <c r="B1374" t="inlineStr">
        <is>
          <t>FB-Broad</t>
        </is>
      </c>
      <c r="C1374" t="inlineStr">
        <is>
          <t>meta</t>
        </is>
      </c>
      <c r="D1374" t="n">
        <v>16331</v>
      </c>
      <c r="E1374" t="n">
        <v>11665</v>
      </c>
      <c r="F1374" t="n">
        <v>141</v>
      </c>
      <c r="G1374" t="n">
        <v>4</v>
      </c>
      <c r="H1374" t="n">
        <v>0</v>
      </c>
      <c r="I1374" t="n">
        <v>0</v>
      </c>
      <c r="J1374" t="n">
        <v>0</v>
      </c>
    </row>
    <row r="1375">
      <c r="A1375" s="5" t="n">
        <v>46083</v>
      </c>
      <c r="B1375" t="inlineStr">
        <is>
          <t>google_brand_search</t>
        </is>
      </c>
      <c r="C1375" t="inlineStr">
        <is>
          <t>google</t>
        </is>
      </c>
      <c r="D1375" t="n">
        <v>7505</v>
      </c>
      <c r="E1375" t="n">
        <v>1563</v>
      </c>
      <c r="F1375" t="n">
        <v>70</v>
      </c>
      <c r="G1375" t="n">
        <v>7</v>
      </c>
      <c r="H1375" t="n">
        <v>0</v>
      </c>
      <c r="I1375" t="n">
        <v>0</v>
      </c>
      <c r="J1375" t="n">
        <v>1</v>
      </c>
    </row>
    <row r="1376">
      <c r="A1376" s="5" t="n">
        <v>46083</v>
      </c>
      <c r="B1376" t="inlineStr">
        <is>
          <t>google_nonbrand_growth</t>
        </is>
      </c>
      <c r="C1376" t="inlineStr">
        <is>
          <t>google</t>
        </is>
      </c>
      <c r="D1376" t="n">
        <v>20812</v>
      </c>
      <c r="E1376" t="n">
        <v>4335</v>
      </c>
      <c r="F1376" t="n">
        <v>202</v>
      </c>
      <c r="G1376" t="n">
        <v>5</v>
      </c>
      <c r="H1376" t="n">
        <v>0</v>
      </c>
      <c r="I1376" t="n">
        <v>0</v>
      </c>
      <c r="J1376" t="n">
        <v>0</v>
      </c>
    </row>
    <row r="1377">
      <c r="A1377" s="5" t="n">
        <v>46083</v>
      </c>
      <c r="B1377" t="inlineStr">
        <is>
          <t>linkedin_ceo_abm</t>
        </is>
      </c>
      <c r="C1377" t="inlineStr">
        <is>
          <t>linkedin</t>
        </is>
      </c>
      <c r="D1377" t="n">
        <v>25645</v>
      </c>
      <c r="E1377" t="n">
        <v>4931</v>
      </c>
      <c r="F1377" t="n">
        <v>36</v>
      </c>
      <c r="G1377" t="n">
        <v>1</v>
      </c>
      <c r="H1377" t="n">
        <v>0</v>
      </c>
      <c r="I1377" t="n">
        <v>1</v>
      </c>
      <c r="J1377" t="n">
        <v>0</v>
      </c>
    </row>
    <row r="1378">
      <c r="A1378" s="5" t="n">
        <v>46083</v>
      </c>
      <c r="B1378" t="inlineStr">
        <is>
          <t>meta_prospecting_founder</t>
        </is>
      </c>
      <c r="C1378" t="inlineStr">
        <is>
          <t>meta</t>
        </is>
      </c>
      <c r="D1378" t="n">
        <v>29134</v>
      </c>
      <c r="E1378" t="n">
        <v>20810</v>
      </c>
      <c r="F1378" t="n">
        <v>258</v>
      </c>
      <c r="G1378" t="n">
        <v>10</v>
      </c>
      <c r="H1378" t="n">
        <v>3</v>
      </c>
      <c r="I1378" t="n">
        <v>1</v>
      </c>
      <c r="J1378" t="n">
        <v>0</v>
      </c>
    </row>
    <row r="1379">
      <c r="A1379" s="5" t="n">
        <v>46083</v>
      </c>
      <c r="B1379" t="inlineStr">
        <is>
          <t>meta_retargeting_webinar</t>
        </is>
      </c>
      <c r="C1379" t="inlineStr">
        <is>
          <t>meta</t>
        </is>
      </c>
      <c r="D1379" t="n">
        <v>9091</v>
      </c>
      <c r="E1379" t="n">
        <v>6493</v>
      </c>
      <c r="F1379" t="n">
        <v>67</v>
      </c>
      <c r="G1379" t="n">
        <v>4</v>
      </c>
      <c r="H1379" t="n">
        <v>0</v>
      </c>
      <c r="I1379" t="n">
        <v>0</v>
      </c>
      <c r="J1379" t="n">
        <v>0</v>
      </c>
    </row>
    <row r="1380">
      <c r="A1380" s="5" t="n">
        <v>46084</v>
      </c>
      <c r="B1380" t="inlineStr">
        <is>
          <t>FB-Broad</t>
        </is>
      </c>
      <c r="C1380" t="inlineStr">
        <is>
          <t>meta</t>
        </is>
      </c>
      <c r="D1380" t="n">
        <v>15217</v>
      </c>
      <c r="E1380" t="n">
        <v>10869</v>
      </c>
      <c r="F1380" t="n">
        <v>103</v>
      </c>
      <c r="G1380" t="n">
        <v>6</v>
      </c>
      <c r="H1380" t="n">
        <v>0</v>
      </c>
      <c r="I1380" t="n">
        <v>0</v>
      </c>
      <c r="J1380" t="n">
        <v>0</v>
      </c>
    </row>
    <row r="1381">
      <c r="A1381" s="5" t="n">
        <v>46084</v>
      </c>
      <c r="B1381" t="inlineStr">
        <is>
          <t>google_brand_search</t>
        </is>
      </c>
      <c r="C1381" t="inlineStr">
        <is>
          <t>google</t>
        </is>
      </c>
      <c r="D1381" t="n">
        <v>6636</v>
      </c>
      <c r="E1381" t="n">
        <v>1382</v>
      </c>
      <c r="F1381" t="n">
        <v>64</v>
      </c>
      <c r="G1381" t="n">
        <v>4</v>
      </c>
      <c r="H1381" t="n">
        <v>1</v>
      </c>
      <c r="I1381" t="n">
        <v>3</v>
      </c>
      <c r="J1381" t="n">
        <v>0</v>
      </c>
    </row>
    <row r="1382">
      <c r="A1382" s="5" t="n">
        <v>46084</v>
      </c>
      <c r="B1382" t="inlineStr">
        <is>
          <t>google_nonbrand_growth</t>
        </is>
      </c>
      <c r="C1382" t="inlineStr">
        <is>
          <t>google</t>
        </is>
      </c>
      <c r="D1382" t="n">
        <v>20792</v>
      </c>
      <c r="E1382" t="n">
        <v>4331</v>
      </c>
      <c r="F1382" t="n">
        <v>230</v>
      </c>
      <c r="G1382" t="n">
        <v>3</v>
      </c>
      <c r="H1382" t="n">
        <v>2</v>
      </c>
      <c r="I1382" t="n">
        <v>3</v>
      </c>
      <c r="J1382" t="n">
        <v>0</v>
      </c>
    </row>
    <row r="1383">
      <c r="A1383" s="5" t="n">
        <v>46084</v>
      </c>
      <c r="B1383" t="inlineStr">
        <is>
          <t>linkedin_ceo_abm</t>
        </is>
      </c>
      <c r="C1383" t="inlineStr">
        <is>
          <t>linkedin</t>
        </is>
      </c>
      <c r="D1383" t="n">
        <v>26082</v>
      </c>
      <c r="E1383" t="n">
        <v>5015</v>
      </c>
      <c r="F1383" t="n">
        <v>28</v>
      </c>
      <c r="G1383" t="n">
        <v>0</v>
      </c>
      <c r="H1383" t="n">
        <v>0</v>
      </c>
      <c r="I1383" t="n">
        <v>1</v>
      </c>
      <c r="J1383" t="n">
        <v>1</v>
      </c>
    </row>
    <row r="1384">
      <c r="A1384" s="5" t="n">
        <v>46084</v>
      </c>
      <c r="B1384" t="inlineStr">
        <is>
          <t>meta_prospecting_founder</t>
        </is>
      </c>
      <c r="C1384" t="inlineStr">
        <is>
          <t>meta</t>
        </is>
      </c>
      <c r="D1384" t="n">
        <v>29465</v>
      </c>
      <c r="E1384" t="n">
        <v>21046</v>
      </c>
      <c r="F1384" t="n">
        <v>223</v>
      </c>
      <c r="G1384" t="n">
        <v>5</v>
      </c>
      <c r="H1384" t="n">
        <v>3</v>
      </c>
      <c r="I1384" t="n">
        <v>0</v>
      </c>
      <c r="J1384" t="n">
        <v>0</v>
      </c>
    </row>
    <row r="1385">
      <c r="A1385" s="5" t="n">
        <v>46084</v>
      </c>
      <c r="B1385" t="inlineStr">
        <is>
          <t>meta_retargeting_webinar</t>
        </is>
      </c>
      <c r="C1385" t="inlineStr">
        <is>
          <t>meta</t>
        </is>
      </c>
      <c r="D1385" t="n">
        <v>8766</v>
      </c>
      <c r="E1385" t="n">
        <v>6261</v>
      </c>
      <c r="F1385" t="n">
        <v>63</v>
      </c>
      <c r="G1385" t="n">
        <v>1</v>
      </c>
      <c r="H1385" t="n">
        <v>3</v>
      </c>
      <c r="I1385" t="n">
        <v>1</v>
      </c>
      <c r="J1385" t="n">
        <v>0</v>
      </c>
    </row>
    <row r="1386">
      <c r="A1386" s="5" t="n">
        <v>46085</v>
      </c>
      <c r="B1386" t="inlineStr">
        <is>
          <t>FB-Broad</t>
        </is>
      </c>
      <c r="C1386" t="inlineStr">
        <is>
          <t>meta</t>
        </is>
      </c>
      <c r="D1386" t="n">
        <v>15180</v>
      </c>
      <c r="E1386" t="n">
        <v>10842</v>
      </c>
      <c r="F1386" t="n">
        <v>107</v>
      </c>
      <c r="G1386" t="n">
        <v>4</v>
      </c>
      <c r="H1386" t="n">
        <v>0</v>
      </c>
      <c r="I1386" t="n">
        <v>1</v>
      </c>
      <c r="J1386" t="n">
        <v>0</v>
      </c>
    </row>
    <row r="1387">
      <c r="A1387" s="5" t="n">
        <v>46085</v>
      </c>
      <c r="B1387" t="inlineStr">
        <is>
          <t>google_brand_search</t>
        </is>
      </c>
      <c r="C1387" t="inlineStr">
        <is>
          <t>google</t>
        </is>
      </c>
      <c r="D1387" t="n">
        <v>6274</v>
      </c>
      <c r="E1387" t="n">
        <v>1307</v>
      </c>
      <c r="F1387" t="n">
        <v>58</v>
      </c>
      <c r="G1387" t="n">
        <v>4</v>
      </c>
      <c r="H1387" t="n">
        <v>3</v>
      </c>
      <c r="I1387" t="n">
        <v>1</v>
      </c>
      <c r="J1387" t="n">
        <v>0</v>
      </c>
    </row>
    <row r="1388">
      <c r="A1388" s="5" t="n">
        <v>46085</v>
      </c>
      <c r="B1388" t="inlineStr">
        <is>
          <t>google_nonbrand_growth</t>
        </is>
      </c>
      <c r="C1388" t="inlineStr">
        <is>
          <t>google</t>
        </is>
      </c>
      <c r="D1388" t="n">
        <v>20761</v>
      </c>
      <c r="E1388" t="n">
        <v>4325</v>
      </c>
      <c r="F1388" t="n">
        <v>241</v>
      </c>
      <c r="G1388" t="n">
        <v>1</v>
      </c>
      <c r="H1388" t="n">
        <v>1</v>
      </c>
      <c r="I1388" t="n">
        <v>0</v>
      </c>
      <c r="J1388" t="n">
        <v>0</v>
      </c>
    </row>
    <row r="1389">
      <c r="A1389" s="5" t="n">
        <v>46085</v>
      </c>
      <c r="B1389" t="inlineStr">
        <is>
          <t>linkedin_ceo_abm</t>
        </is>
      </c>
      <c r="C1389" t="inlineStr">
        <is>
          <t>linkedin</t>
        </is>
      </c>
      <c r="D1389" t="n">
        <v>26061</v>
      </c>
      <c r="E1389" t="n">
        <v>5011</v>
      </c>
      <c r="F1389" t="n">
        <v>32</v>
      </c>
      <c r="G1389" t="n">
        <v>0</v>
      </c>
      <c r="H1389" t="n">
        <v>0</v>
      </c>
      <c r="I1389" t="n">
        <v>0</v>
      </c>
      <c r="J1389" t="n">
        <v>0</v>
      </c>
    </row>
    <row r="1390">
      <c r="A1390" s="5" t="n">
        <v>46085</v>
      </c>
      <c r="B1390" t="inlineStr">
        <is>
          <t>meta_prospecting_founder</t>
        </is>
      </c>
      <c r="C1390" t="inlineStr">
        <is>
          <t>meta</t>
        </is>
      </c>
      <c r="D1390" t="n">
        <v>29241</v>
      </c>
      <c r="E1390" t="n">
        <v>20886</v>
      </c>
      <c r="F1390" t="n">
        <v>220</v>
      </c>
      <c r="G1390" t="n">
        <v>9</v>
      </c>
      <c r="H1390" t="n">
        <v>2</v>
      </c>
      <c r="I1390" t="n">
        <v>0</v>
      </c>
      <c r="J1390" t="n">
        <v>0</v>
      </c>
    </row>
    <row r="1391">
      <c r="A1391" s="5" t="n">
        <v>46085</v>
      </c>
      <c r="B1391" t="inlineStr">
        <is>
          <t>meta_retargeting_webinar</t>
        </is>
      </c>
      <c r="C1391" t="inlineStr">
        <is>
          <t>meta</t>
        </is>
      </c>
      <c r="D1391" t="n">
        <v>8870</v>
      </c>
      <c r="E1391" t="n">
        <v>6335</v>
      </c>
      <c r="F1391" t="n">
        <v>60</v>
      </c>
      <c r="G1391" t="n">
        <v>3</v>
      </c>
      <c r="H1391" t="n">
        <v>0</v>
      </c>
      <c r="I1391" t="n">
        <v>0</v>
      </c>
      <c r="J1391" t="n">
        <v>0</v>
      </c>
    </row>
    <row r="1392">
      <c r="A1392" s="5" t="n">
        <v>46086</v>
      </c>
      <c r="B1392" t="inlineStr">
        <is>
          <t>FB-Broad</t>
        </is>
      </c>
      <c r="C1392" t="inlineStr">
        <is>
          <t>meta</t>
        </is>
      </c>
      <c r="D1392" t="n">
        <v>16178</v>
      </c>
      <c r="E1392" t="n">
        <v>11555</v>
      </c>
      <c r="F1392" t="n">
        <v>125</v>
      </c>
      <c r="G1392" t="n">
        <v>7</v>
      </c>
      <c r="H1392" t="n">
        <v>1</v>
      </c>
      <c r="I1392" t="n">
        <v>0</v>
      </c>
      <c r="J1392" t="n">
        <v>0</v>
      </c>
    </row>
    <row r="1393">
      <c r="A1393" s="5" t="n">
        <v>46086</v>
      </c>
      <c r="B1393" t="inlineStr">
        <is>
          <t>google_brand_search</t>
        </is>
      </c>
      <c r="C1393" t="inlineStr">
        <is>
          <t>google</t>
        </is>
      </c>
      <c r="D1393" t="n">
        <v>6746</v>
      </c>
      <c r="E1393" t="n">
        <v>1405</v>
      </c>
      <c r="F1393" t="n">
        <v>69</v>
      </c>
      <c r="G1393" t="n">
        <v>3</v>
      </c>
      <c r="H1393" t="n">
        <v>3</v>
      </c>
      <c r="I1393" t="n">
        <v>0</v>
      </c>
      <c r="J1393" t="n">
        <v>0</v>
      </c>
    </row>
    <row r="1394">
      <c r="A1394" s="5" t="n">
        <v>46086</v>
      </c>
      <c r="B1394" t="inlineStr">
        <is>
          <t>google_nonbrand_growth</t>
        </is>
      </c>
      <c r="C1394" t="inlineStr">
        <is>
          <t>google</t>
        </is>
      </c>
      <c r="D1394" t="n">
        <v>20679</v>
      </c>
      <c r="E1394" t="n">
        <v>4308</v>
      </c>
      <c r="F1394" t="n">
        <v>245</v>
      </c>
      <c r="G1394" t="n">
        <v>3</v>
      </c>
      <c r="H1394" t="n">
        <v>0</v>
      </c>
      <c r="I1394" t="n">
        <v>0</v>
      </c>
      <c r="J1394" t="n">
        <v>0</v>
      </c>
    </row>
    <row r="1395">
      <c r="A1395" s="5" t="n">
        <v>46086</v>
      </c>
      <c r="B1395" t="inlineStr">
        <is>
          <t>linkedin_ceo_abm</t>
        </is>
      </c>
      <c r="C1395" t="inlineStr">
        <is>
          <t>linkedin</t>
        </is>
      </c>
      <c r="D1395" t="n">
        <v>26168</v>
      </c>
      <c r="E1395" t="n">
        <v>5032</v>
      </c>
      <c r="F1395" t="n">
        <v>34</v>
      </c>
      <c r="G1395" t="n">
        <v>2</v>
      </c>
      <c r="H1395" t="n">
        <v>0</v>
      </c>
      <c r="I1395" t="n">
        <v>0</v>
      </c>
      <c r="J1395" t="n">
        <v>0</v>
      </c>
    </row>
    <row r="1396">
      <c r="A1396" s="5" t="n">
        <v>46086</v>
      </c>
      <c r="B1396" t="inlineStr">
        <is>
          <t>meta_prospecting_founder</t>
        </is>
      </c>
      <c r="C1396" t="inlineStr">
        <is>
          <t>meta</t>
        </is>
      </c>
      <c r="D1396" t="n">
        <v>33023</v>
      </c>
      <c r="E1396" t="n">
        <v>23587</v>
      </c>
      <c r="F1396" t="n">
        <v>221</v>
      </c>
      <c r="G1396" t="n">
        <v>7</v>
      </c>
      <c r="H1396" t="n">
        <v>0</v>
      </c>
      <c r="I1396" t="n">
        <v>4</v>
      </c>
      <c r="J1396" t="n">
        <v>0</v>
      </c>
    </row>
    <row r="1397">
      <c r="A1397" s="5" t="n">
        <v>46086</v>
      </c>
      <c r="B1397" t="inlineStr">
        <is>
          <t>meta_retargeting_webinar</t>
        </is>
      </c>
      <c r="C1397" t="inlineStr">
        <is>
          <t>meta</t>
        </is>
      </c>
      <c r="D1397" t="n">
        <v>10109</v>
      </c>
      <c r="E1397" t="n">
        <v>7220</v>
      </c>
      <c r="F1397" t="n">
        <v>82</v>
      </c>
      <c r="G1397" t="n">
        <v>5</v>
      </c>
      <c r="H1397" t="n">
        <v>2</v>
      </c>
      <c r="I1397" t="n">
        <v>0</v>
      </c>
      <c r="J1397" t="n">
        <v>1</v>
      </c>
    </row>
    <row r="1398">
      <c r="A1398" s="5" t="n">
        <v>46087</v>
      </c>
      <c r="B1398" t="inlineStr">
        <is>
          <t>FB-Broad</t>
        </is>
      </c>
      <c r="C1398" t="inlineStr">
        <is>
          <t>meta</t>
        </is>
      </c>
      <c r="D1398" t="n">
        <v>15730</v>
      </c>
      <c r="E1398" t="n">
        <v>11235</v>
      </c>
      <c r="F1398" t="n">
        <v>114</v>
      </c>
      <c r="G1398" t="n">
        <v>4</v>
      </c>
      <c r="H1398" t="n">
        <v>0</v>
      </c>
      <c r="I1398" t="n">
        <v>1</v>
      </c>
      <c r="J1398" t="n">
        <v>0</v>
      </c>
    </row>
    <row r="1399">
      <c r="A1399" s="5" t="n">
        <v>46087</v>
      </c>
      <c r="B1399" t="inlineStr">
        <is>
          <t>google_brand_search</t>
        </is>
      </c>
      <c r="C1399" t="inlineStr">
        <is>
          <t>google</t>
        </is>
      </c>
      <c r="D1399" t="n">
        <v>6757</v>
      </c>
      <c r="E1399" t="n">
        <v>1407</v>
      </c>
      <c r="F1399" t="n">
        <v>82</v>
      </c>
      <c r="G1399" t="n">
        <v>2</v>
      </c>
      <c r="H1399" t="n">
        <v>2</v>
      </c>
      <c r="I1399" t="n">
        <v>0</v>
      </c>
      <c r="J1399" t="n">
        <v>0</v>
      </c>
    </row>
    <row r="1400">
      <c r="A1400" s="5" t="n">
        <v>46087</v>
      </c>
      <c r="B1400" t="inlineStr">
        <is>
          <t>google_nonbrand_growth</t>
        </is>
      </c>
      <c r="C1400" t="inlineStr">
        <is>
          <t>google</t>
        </is>
      </c>
      <c r="D1400" t="n">
        <v>18760</v>
      </c>
      <c r="E1400" t="n">
        <v>3908</v>
      </c>
      <c r="F1400" t="n">
        <v>217</v>
      </c>
      <c r="G1400" t="n">
        <v>1</v>
      </c>
      <c r="H1400" t="n">
        <v>0</v>
      </c>
      <c r="I1400" t="n">
        <v>2</v>
      </c>
      <c r="J1400" t="n">
        <v>0</v>
      </c>
    </row>
    <row r="1401">
      <c r="A1401" s="5" t="n">
        <v>46087</v>
      </c>
      <c r="B1401" t="inlineStr">
        <is>
          <t>linkedin_ceo_abm</t>
        </is>
      </c>
      <c r="C1401" t="inlineStr">
        <is>
          <t>linkedin</t>
        </is>
      </c>
      <c r="D1401" t="n">
        <v>23178</v>
      </c>
      <c r="E1401" t="n">
        <v>4457</v>
      </c>
      <c r="F1401" t="n">
        <v>32</v>
      </c>
      <c r="G1401" t="n">
        <v>3</v>
      </c>
      <c r="H1401" t="n">
        <v>3</v>
      </c>
      <c r="I1401" t="n">
        <v>0</v>
      </c>
      <c r="J1401" t="n">
        <v>0</v>
      </c>
    </row>
    <row r="1402">
      <c r="A1402" s="5" t="n">
        <v>46087</v>
      </c>
      <c r="B1402" t="inlineStr">
        <is>
          <t>meta_prospecting_founder</t>
        </is>
      </c>
      <c r="C1402" t="inlineStr">
        <is>
          <t>meta</t>
        </is>
      </c>
      <c r="D1402" t="n">
        <v>34656</v>
      </c>
      <c r="E1402" t="n">
        <v>24754</v>
      </c>
      <c r="F1402" t="n">
        <v>247</v>
      </c>
      <c r="G1402" t="n">
        <v>8</v>
      </c>
      <c r="H1402" t="n">
        <v>3</v>
      </c>
      <c r="I1402" t="n">
        <v>1</v>
      </c>
      <c r="J1402" t="n">
        <v>0</v>
      </c>
    </row>
    <row r="1403">
      <c r="A1403" s="5" t="n">
        <v>46087</v>
      </c>
      <c r="B1403" t="inlineStr">
        <is>
          <t>meta_retargeting_webinar</t>
        </is>
      </c>
      <c r="C1403" t="inlineStr">
        <is>
          <t>meta</t>
        </is>
      </c>
      <c r="D1403" t="n">
        <v>9548</v>
      </c>
      <c r="E1403" t="n">
        <v>6820</v>
      </c>
      <c r="F1403" t="n">
        <v>85</v>
      </c>
      <c r="G1403" t="n">
        <v>3</v>
      </c>
      <c r="H1403" t="n">
        <v>2</v>
      </c>
      <c r="I1403" t="n">
        <v>0</v>
      </c>
      <c r="J1403" t="n">
        <v>0</v>
      </c>
    </row>
    <row r="1404">
      <c r="A1404" s="5" t="n">
        <v>46088</v>
      </c>
      <c r="B1404" t="inlineStr">
        <is>
          <t>FB-Broad</t>
        </is>
      </c>
      <c r="C1404" t="inlineStr">
        <is>
          <t>meta</t>
        </is>
      </c>
      <c r="D1404" t="n">
        <v>15159</v>
      </c>
      <c r="E1404" t="n">
        <v>10827</v>
      </c>
      <c r="F1404" t="n">
        <v>113</v>
      </c>
      <c r="G1404" t="n">
        <v>1</v>
      </c>
      <c r="H1404" t="n">
        <v>1</v>
      </c>
      <c r="I1404" t="n">
        <v>0</v>
      </c>
      <c r="J1404" t="n">
        <v>0</v>
      </c>
    </row>
    <row r="1405">
      <c r="A1405" s="5" t="n">
        <v>46088</v>
      </c>
      <c r="B1405" t="inlineStr">
        <is>
          <t>google_brand_search</t>
        </is>
      </c>
      <c r="C1405" t="inlineStr">
        <is>
          <t>google</t>
        </is>
      </c>
      <c r="D1405" t="n">
        <v>7552</v>
      </c>
      <c r="E1405" t="n">
        <v>1573</v>
      </c>
      <c r="F1405" t="n">
        <v>83</v>
      </c>
      <c r="G1405" t="n">
        <v>3</v>
      </c>
      <c r="H1405" t="n">
        <v>3</v>
      </c>
      <c r="I1405" t="n">
        <v>3</v>
      </c>
      <c r="J1405" t="n">
        <v>0</v>
      </c>
    </row>
    <row r="1406">
      <c r="A1406" s="5" t="n">
        <v>46088</v>
      </c>
      <c r="B1406" t="inlineStr">
        <is>
          <t>google_nonbrand_growth</t>
        </is>
      </c>
      <c r="C1406" t="inlineStr">
        <is>
          <t>google</t>
        </is>
      </c>
      <c r="D1406" t="n">
        <v>19676</v>
      </c>
      <c r="E1406" t="n">
        <v>4099</v>
      </c>
      <c r="F1406" t="n">
        <v>203</v>
      </c>
      <c r="G1406" t="n">
        <v>2</v>
      </c>
      <c r="H1406" t="n">
        <v>0</v>
      </c>
      <c r="I1406" t="n">
        <v>1</v>
      </c>
      <c r="J1406" t="n">
        <v>0</v>
      </c>
    </row>
    <row r="1407">
      <c r="A1407" s="5" t="n">
        <v>46088</v>
      </c>
      <c r="B1407" t="inlineStr">
        <is>
          <t>linkedin_ceo_abm</t>
        </is>
      </c>
      <c r="C1407" t="inlineStr">
        <is>
          <t>linkedin</t>
        </is>
      </c>
      <c r="D1407" t="n">
        <v>25540</v>
      </c>
      <c r="E1407" t="n">
        <v>4911</v>
      </c>
      <c r="F1407" t="n">
        <v>28</v>
      </c>
      <c r="G1407" t="n">
        <v>2</v>
      </c>
      <c r="H1407" t="n">
        <v>2</v>
      </c>
      <c r="I1407" t="n">
        <v>0</v>
      </c>
      <c r="J1407" t="n">
        <v>0</v>
      </c>
    </row>
    <row r="1408">
      <c r="A1408" s="5" t="n">
        <v>46088</v>
      </c>
      <c r="B1408" t="inlineStr">
        <is>
          <t>meta_prospecting_founder</t>
        </is>
      </c>
      <c r="C1408" t="inlineStr">
        <is>
          <t>meta</t>
        </is>
      </c>
      <c r="D1408" t="n">
        <v>33624</v>
      </c>
      <c r="E1408" t="n">
        <v>24017</v>
      </c>
      <c r="F1408" t="n">
        <v>247</v>
      </c>
      <c r="G1408" t="n">
        <v>4</v>
      </c>
      <c r="H1408" t="n">
        <v>1</v>
      </c>
      <c r="I1408" t="n">
        <v>0</v>
      </c>
      <c r="J1408" t="n">
        <v>0</v>
      </c>
    </row>
    <row r="1409">
      <c r="A1409" s="5" t="n">
        <v>46088</v>
      </c>
      <c r="B1409" t="inlineStr">
        <is>
          <t>meta_retargeting_webinar</t>
        </is>
      </c>
      <c r="C1409" t="inlineStr">
        <is>
          <t>meta</t>
        </is>
      </c>
      <c r="D1409" t="n">
        <v>9449</v>
      </c>
      <c r="E1409" t="n">
        <v>6749</v>
      </c>
      <c r="F1409" t="n">
        <v>82</v>
      </c>
      <c r="G1409" t="n">
        <v>3</v>
      </c>
      <c r="H1409" t="n">
        <v>2</v>
      </c>
      <c r="I1409" t="n">
        <v>0</v>
      </c>
      <c r="J1409" t="n">
        <v>0</v>
      </c>
    </row>
    <row r="1410">
      <c r="A1410" s="5" t="n">
        <v>46089</v>
      </c>
      <c r="B1410" t="inlineStr">
        <is>
          <t>FB-Broad</t>
        </is>
      </c>
      <c r="C1410" t="inlineStr">
        <is>
          <t>meta</t>
        </is>
      </c>
      <c r="D1410" t="n">
        <v>17139</v>
      </c>
      <c r="E1410" t="n">
        <v>12242</v>
      </c>
      <c r="F1410" t="n">
        <v>140</v>
      </c>
      <c r="G1410" t="n">
        <v>4</v>
      </c>
      <c r="H1410" t="n">
        <v>1</v>
      </c>
      <c r="I1410" t="n">
        <v>0</v>
      </c>
      <c r="J1410" t="n">
        <v>0</v>
      </c>
    </row>
    <row r="1411">
      <c r="A1411" s="5" t="n">
        <v>46089</v>
      </c>
      <c r="B1411" t="inlineStr">
        <is>
          <t>google_brand_search</t>
        </is>
      </c>
      <c r="C1411" t="inlineStr">
        <is>
          <t>google</t>
        </is>
      </c>
      <c r="D1411" t="n">
        <v>6475</v>
      </c>
      <c r="E1411" t="n">
        <v>1348</v>
      </c>
      <c r="F1411" t="n">
        <v>70</v>
      </c>
      <c r="G1411" t="n">
        <v>2</v>
      </c>
      <c r="H1411" t="n">
        <v>2</v>
      </c>
      <c r="I1411" t="n">
        <v>0</v>
      </c>
      <c r="J1411" t="n">
        <v>1</v>
      </c>
    </row>
    <row r="1412">
      <c r="A1412" s="5" t="n">
        <v>46089</v>
      </c>
      <c r="B1412" t="inlineStr">
        <is>
          <t>google_nonbrand_growth</t>
        </is>
      </c>
      <c r="C1412" t="inlineStr">
        <is>
          <t>google</t>
        </is>
      </c>
      <c r="D1412" t="n">
        <v>18158</v>
      </c>
      <c r="E1412" t="n">
        <v>3782</v>
      </c>
      <c r="F1412" t="n">
        <v>208</v>
      </c>
      <c r="G1412" t="n">
        <v>1</v>
      </c>
      <c r="H1412" t="n">
        <v>1</v>
      </c>
      <c r="I1412" t="n">
        <v>0</v>
      </c>
      <c r="J1412" t="n">
        <v>0</v>
      </c>
    </row>
    <row r="1413">
      <c r="A1413" s="5" t="n">
        <v>46089</v>
      </c>
      <c r="B1413" t="inlineStr">
        <is>
          <t>linkedin_ceo_abm</t>
        </is>
      </c>
      <c r="C1413" t="inlineStr">
        <is>
          <t>linkedin</t>
        </is>
      </c>
      <c r="D1413" t="n">
        <v>26523</v>
      </c>
      <c r="E1413" t="n">
        <v>5100</v>
      </c>
      <c r="F1413" t="n">
        <v>35</v>
      </c>
      <c r="G1413" t="n">
        <v>2</v>
      </c>
      <c r="H1413" t="n">
        <v>2</v>
      </c>
      <c r="I1413" t="n">
        <v>2</v>
      </c>
      <c r="J1413" t="n">
        <v>0</v>
      </c>
    </row>
    <row r="1414">
      <c r="A1414" s="5" t="n">
        <v>46089</v>
      </c>
      <c r="B1414" t="inlineStr">
        <is>
          <t>meta_prospecting_founder</t>
        </is>
      </c>
      <c r="C1414" t="inlineStr">
        <is>
          <t>meta</t>
        </is>
      </c>
      <c r="D1414" t="n">
        <v>35378</v>
      </c>
      <c r="E1414" t="n">
        <v>25270</v>
      </c>
      <c r="F1414" t="n">
        <v>308</v>
      </c>
      <c r="G1414" t="n">
        <v>8</v>
      </c>
      <c r="H1414" t="n">
        <v>3</v>
      </c>
      <c r="I1414" t="n">
        <v>1</v>
      </c>
      <c r="J1414" t="n">
        <v>0</v>
      </c>
    </row>
    <row r="1415">
      <c r="A1415" s="5" t="n">
        <v>46089</v>
      </c>
      <c r="B1415" t="inlineStr">
        <is>
          <t>meta_retargeting_webinar</t>
        </is>
      </c>
      <c r="C1415" t="inlineStr">
        <is>
          <t>meta</t>
        </is>
      </c>
      <c r="D1415" t="n">
        <v>9397</v>
      </c>
      <c r="E1415" t="n">
        <v>6712</v>
      </c>
      <c r="F1415" t="n">
        <v>80</v>
      </c>
      <c r="G1415" t="n">
        <v>2</v>
      </c>
      <c r="H1415" t="n">
        <v>1</v>
      </c>
      <c r="I1415" t="n">
        <v>0</v>
      </c>
      <c r="J1415" t="n">
        <v>0</v>
      </c>
    </row>
    <row r="1416">
      <c r="A1416" s="5" t="n">
        <v>46090</v>
      </c>
      <c r="B1416" t="inlineStr">
        <is>
          <t>FB-Broad</t>
        </is>
      </c>
      <c r="C1416" t="inlineStr">
        <is>
          <t>meta</t>
        </is>
      </c>
      <c r="D1416" t="n">
        <v>15229</v>
      </c>
      <c r="E1416" t="n">
        <v>10877</v>
      </c>
      <c r="F1416" t="n">
        <v>109</v>
      </c>
      <c r="G1416" t="n">
        <v>4</v>
      </c>
      <c r="H1416" t="n">
        <v>2</v>
      </c>
      <c r="I1416" t="n">
        <v>1</v>
      </c>
      <c r="J1416" t="n">
        <v>0</v>
      </c>
    </row>
    <row r="1417">
      <c r="A1417" s="5" t="n">
        <v>46090</v>
      </c>
      <c r="B1417" t="inlineStr">
        <is>
          <t>google_brand_search</t>
        </is>
      </c>
      <c r="C1417" t="inlineStr">
        <is>
          <t>google</t>
        </is>
      </c>
      <c r="D1417" t="n">
        <v>7343</v>
      </c>
      <c r="E1417" t="n">
        <v>1529</v>
      </c>
      <c r="F1417" t="n">
        <v>68</v>
      </c>
      <c r="G1417" t="n">
        <v>4</v>
      </c>
      <c r="H1417" t="n">
        <v>1</v>
      </c>
      <c r="I1417" t="n">
        <v>1</v>
      </c>
      <c r="J1417" t="n">
        <v>0</v>
      </c>
    </row>
    <row r="1418">
      <c r="A1418" s="5" t="n">
        <v>46090</v>
      </c>
      <c r="B1418" t="inlineStr">
        <is>
          <t>google_nonbrand_growth</t>
        </is>
      </c>
      <c r="C1418" t="inlineStr">
        <is>
          <t>google</t>
        </is>
      </c>
      <c r="D1418" t="n">
        <v>20335</v>
      </c>
      <c r="E1418" t="n">
        <v>4236</v>
      </c>
      <c r="F1418" t="n">
        <v>237</v>
      </c>
      <c r="G1418" t="n">
        <v>1</v>
      </c>
      <c r="H1418" t="n">
        <v>0</v>
      </c>
      <c r="I1418" t="n">
        <v>0</v>
      </c>
      <c r="J1418" t="n">
        <v>0</v>
      </c>
    </row>
    <row r="1419">
      <c r="A1419" s="5" t="n">
        <v>46090</v>
      </c>
      <c r="B1419" t="inlineStr">
        <is>
          <t>linkedin_ceo_abm</t>
        </is>
      </c>
      <c r="C1419" t="inlineStr">
        <is>
          <t>linkedin</t>
        </is>
      </c>
      <c r="D1419" t="n">
        <v>26105</v>
      </c>
      <c r="E1419" t="n">
        <v>5020</v>
      </c>
      <c r="F1419" t="n">
        <v>29</v>
      </c>
      <c r="G1419" t="n">
        <v>2</v>
      </c>
      <c r="H1419" t="n">
        <v>0</v>
      </c>
      <c r="I1419" t="n">
        <v>0</v>
      </c>
      <c r="J1419" t="n">
        <v>0</v>
      </c>
    </row>
    <row r="1420">
      <c r="A1420" s="5" t="n">
        <v>46090</v>
      </c>
      <c r="B1420" t="inlineStr">
        <is>
          <t>meta_prospecting_founder</t>
        </is>
      </c>
      <c r="C1420" t="inlineStr">
        <is>
          <t>meta</t>
        </is>
      </c>
      <c r="D1420" t="n">
        <v>32706</v>
      </c>
      <c r="E1420" t="n">
        <v>23361</v>
      </c>
      <c r="F1420" t="n">
        <v>283</v>
      </c>
      <c r="G1420" t="n">
        <v>9</v>
      </c>
      <c r="H1420" t="n">
        <v>3</v>
      </c>
      <c r="I1420" t="n">
        <v>1</v>
      </c>
      <c r="J1420" t="n">
        <v>0</v>
      </c>
    </row>
    <row r="1421">
      <c r="A1421" s="5" t="n">
        <v>46090</v>
      </c>
      <c r="B1421" t="inlineStr">
        <is>
          <t>meta_retargeting_webinar</t>
        </is>
      </c>
      <c r="C1421" t="inlineStr">
        <is>
          <t>meta</t>
        </is>
      </c>
      <c r="D1421" t="n">
        <v>9537</v>
      </c>
      <c r="E1421" t="n">
        <v>6812</v>
      </c>
      <c r="F1421" t="n">
        <v>79</v>
      </c>
      <c r="G1421" t="n">
        <v>2</v>
      </c>
      <c r="H1421" t="n">
        <v>1</v>
      </c>
      <c r="I1421" t="n">
        <v>0</v>
      </c>
      <c r="J1421" t="n">
        <v>0</v>
      </c>
    </row>
    <row r="1422">
      <c r="A1422" s="5" t="n">
        <v>46091</v>
      </c>
      <c r="B1422" t="inlineStr">
        <is>
          <t>FB-Broad</t>
        </is>
      </c>
      <c r="C1422" t="inlineStr">
        <is>
          <t>meta</t>
        </is>
      </c>
      <c r="D1422" t="n">
        <v>15887</v>
      </c>
      <c r="E1422" t="n">
        <v>11347</v>
      </c>
      <c r="F1422" t="n">
        <v>109</v>
      </c>
      <c r="G1422" t="n">
        <v>3</v>
      </c>
      <c r="H1422" t="n">
        <v>0</v>
      </c>
      <c r="I1422" t="n">
        <v>1</v>
      </c>
      <c r="J1422" t="n">
        <v>2</v>
      </c>
    </row>
    <row r="1423">
      <c r="A1423" s="5" t="n">
        <v>46091</v>
      </c>
      <c r="B1423" t="inlineStr">
        <is>
          <t>google_brand_search</t>
        </is>
      </c>
      <c r="C1423" t="inlineStr">
        <is>
          <t>google</t>
        </is>
      </c>
      <c r="D1423" t="n">
        <v>7329</v>
      </c>
      <c r="E1423" t="n">
        <v>1526</v>
      </c>
      <c r="F1423" t="n">
        <v>85</v>
      </c>
      <c r="G1423" t="n">
        <v>2</v>
      </c>
      <c r="H1423" t="n">
        <v>2</v>
      </c>
      <c r="I1423" t="n">
        <v>2</v>
      </c>
      <c r="J1423" t="n">
        <v>1</v>
      </c>
    </row>
    <row r="1424">
      <c r="A1424" s="5" t="n">
        <v>46091</v>
      </c>
      <c r="B1424" t="inlineStr">
        <is>
          <t>google_nonbrand_growth</t>
        </is>
      </c>
      <c r="C1424" t="inlineStr">
        <is>
          <t>google</t>
        </is>
      </c>
      <c r="D1424" t="n">
        <v>20860</v>
      </c>
      <c r="E1424" t="n">
        <v>4345</v>
      </c>
      <c r="F1424" t="n">
        <v>254</v>
      </c>
      <c r="G1424" t="n">
        <v>3</v>
      </c>
      <c r="H1424" t="n">
        <v>0</v>
      </c>
      <c r="I1424" t="n">
        <v>0</v>
      </c>
      <c r="J1424" t="n">
        <v>0</v>
      </c>
    </row>
    <row r="1425">
      <c r="A1425" s="5" t="n">
        <v>46091</v>
      </c>
      <c r="B1425" t="inlineStr">
        <is>
          <t>linkedin_ceo_abm</t>
        </is>
      </c>
      <c r="C1425" t="inlineStr">
        <is>
          <t>linkedin</t>
        </is>
      </c>
      <c r="D1425" t="n">
        <v>25042</v>
      </c>
      <c r="E1425" t="n">
        <v>4815</v>
      </c>
      <c r="F1425" t="n">
        <v>35</v>
      </c>
      <c r="G1425" t="n">
        <v>1</v>
      </c>
      <c r="H1425" t="n">
        <v>0</v>
      </c>
      <c r="I1425" t="n">
        <v>0</v>
      </c>
      <c r="J1425" t="n">
        <v>0</v>
      </c>
    </row>
    <row r="1426">
      <c r="A1426" s="5" t="n">
        <v>46091</v>
      </c>
      <c r="B1426" t="inlineStr">
        <is>
          <t>meta_prospecting_founder</t>
        </is>
      </c>
      <c r="C1426" t="inlineStr">
        <is>
          <t>meta</t>
        </is>
      </c>
      <c r="D1426" t="n">
        <v>35080</v>
      </c>
      <c r="E1426" t="n">
        <v>25057</v>
      </c>
      <c r="F1426" t="n">
        <v>276</v>
      </c>
      <c r="G1426" t="n">
        <v>10</v>
      </c>
      <c r="H1426" t="n">
        <v>0</v>
      </c>
      <c r="I1426" t="n">
        <v>0</v>
      </c>
      <c r="J1426" t="n">
        <v>0</v>
      </c>
    </row>
    <row r="1427">
      <c r="A1427" s="5" t="n">
        <v>46091</v>
      </c>
      <c r="B1427" t="inlineStr">
        <is>
          <t>meta_retargeting_webinar</t>
        </is>
      </c>
      <c r="C1427" t="inlineStr">
        <is>
          <t>meta</t>
        </is>
      </c>
      <c r="D1427" t="n">
        <v>8865</v>
      </c>
      <c r="E1427" t="n">
        <v>6332</v>
      </c>
      <c r="F1427" t="n">
        <v>74</v>
      </c>
      <c r="G1427" t="n">
        <v>1</v>
      </c>
      <c r="H1427" t="n">
        <v>0</v>
      </c>
      <c r="I1427" t="n">
        <v>1</v>
      </c>
      <c r="J1427" t="n">
        <v>0</v>
      </c>
    </row>
    <row r="1428">
      <c r="A1428" s="5" t="n">
        <v>46092</v>
      </c>
      <c r="B1428" t="inlineStr">
        <is>
          <t>FB-Broad</t>
        </is>
      </c>
      <c r="C1428" t="inlineStr">
        <is>
          <t>meta</t>
        </is>
      </c>
      <c r="D1428" t="n">
        <v>17509</v>
      </c>
      <c r="E1428" t="n">
        <v>12506</v>
      </c>
      <c r="F1428" t="n">
        <v>154</v>
      </c>
      <c r="G1428" t="n">
        <v>3</v>
      </c>
      <c r="H1428" t="n">
        <v>0</v>
      </c>
      <c r="I1428" t="n">
        <v>0</v>
      </c>
      <c r="J1428" t="n">
        <v>0</v>
      </c>
    </row>
    <row r="1429">
      <c r="A1429" s="5" t="n">
        <v>46092</v>
      </c>
      <c r="B1429" t="inlineStr">
        <is>
          <t>google_brand_search</t>
        </is>
      </c>
      <c r="C1429" t="inlineStr">
        <is>
          <t>google</t>
        </is>
      </c>
      <c r="D1429" t="n">
        <v>7260</v>
      </c>
      <c r="E1429" t="n">
        <v>1512</v>
      </c>
      <c r="F1429" t="n">
        <v>73</v>
      </c>
      <c r="G1429" t="n">
        <v>3</v>
      </c>
      <c r="H1429" t="n">
        <v>2</v>
      </c>
      <c r="I1429" t="n">
        <v>1</v>
      </c>
      <c r="J1429" t="n">
        <v>1</v>
      </c>
    </row>
    <row r="1430">
      <c r="A1430" s="5" t="n">
        <v>46092</v>
      </c>
      <c r="B1430" t="inlineStr">
        <is>
          <t>google_nonbrand_growth</t>
        </is>
      </c>
      <c r="C1430" t="inlineStr">
        <is>
          <t>google</t>
        </is>
      </c>
      <c r="D1430" t="n">
        <v>19577</v>
      </c>
      <c r="E1430" t="n">
        <v>4078</v>
      </c>
      <c r="F1430" t="n">
        <v>189</v>
      </c>
      <c r="G1430" t="n">
        <v>4</v>
      </c>
      <c r="H1430" t="n">
        <v>2</v>
      </c>
      <c r="I1430" t="n">
        <v>0</v>
      </c>
      <c r="J1430" t="n">
        <v>0</v>
      </c>
    </row>
    <row r="1431">
      <c r="A1431" s="5" t="n">
        <v>46092</v>
      </c>
      <c r="B1431" t="inlineStr">
        <is>
          <t>linkedin_ceo_abm</t>
        </is>
      </c>
      <c r="C1431" t="inlineStr">
        <is>
          <t>linkedin</t>
        </is>
      </c>
      <c r="D1431" t="n">
        <v>23217</v>
      </c>
      <c r="E1431" t="n">
        <v>4464</v>
      </c>
      <c r="F1431" t="n">
        <v>33</v>
      </c>
      <c r="G1431" t="n">
        <v>4</v>
      </c>
      <c r="H1431" t="n">
        <v>0</v>
      </c>
      <c r="I1431" t="n">
        <v>2</v>
      </c>
      <c r="J1431" t="n">
        <v>0</v>
      </c>
    </row>
    <row r="1432">
      <c r="A1432" s="5" t="n">
        <v>46092</v>
      </c>
      <c r="B1432" t="inlineStr">
        <is>
          <t>meta_prospecting_founder</t>
        </is>
      </c>
      <c r="C1432" t="inlineStr">
        <is>
          <t>meta</t>
        </is>
      </c>
      <c r="D1432" t="n">
        <v>31047</v>
      </c>
      <c r="E1432" t="n">
        <v>22176</v>
      </c>
      <c r="F1432" t="n">
        <v>216</v>
      </c>
      <c r="G1432" t="n">
        <v>6</v>
      </c>
      <c r="H1432" t="n">
        <v>1</v>
      </c>
      <c r="I1432" t="n">
        <v>2</v>
      </c>
      <c r="J1432" t="n">
        <v>1</v>
      </c>
    </row>
    <row r="1433">
      <c r="A1433" s="5" t="n">
        <v>46092</v>
      </c>
      <c r="B1433" t="inlineStr">
        <is>
          <t>meta_retargeting_webinar</t>
        </is>
      </c>
      <c r="C1433" t="inlineStr">
        <is>
          <t>meta</t>
        </is>
      </c>
      <c r="D1433" t="n">
        <v>9696</v>
      </c>
      <c r="E1433" t="n">
        <v>6925</v>
      </c>
      <c r="F1433" t="n">
        <v>75</v>
      </c>
      <c r="G1433" t="n">
        <v>4</v>
      </c>
      <c r="H1433" t="n">
        <v>1</v>
      </c>
      <c r="I1433" t="n">
        <v>1</v>
      </c>
      <c r="J1433" t="n">
        <v>0</v>
      </c>
    </row>
    <row r="1434">
      <c r="A1434" s="5" t="n">
        <v>46093</v>
      </c>
      <c r="B1434" t="inlineStr">
        <is>
          <t>FB-Broad</t>
        </is>
      </c>
      <c r="C1434" t="inlineStr">
        <is>
          <t>meta</t>
        </is>
      </c>
      <c r="D1434" t="n">
        <v>17559</v>
      </c>
      <c r="E1434" t="n">
        <v>12542</v>
      </c>
      <c r="F1434" t="n">
        <v>135</v>
      </c>
      <c r="G1434" t="n">
        <v>1</v>
      </c>
      <c r="H1434" t="n">
        <v>1</v>
      </c>
      <c r="I1434" t="n">
        <v>0</v>
      </c>
      <c r="J1434" t="n">
        <v>0</v>
      </c>
    </row>
    <row r="1435">
      <c r="A1435" s="5" t="n">
        <v>46093</v>
      </c>
      <c r="B1435" t="inlineStr">
        <is>
          <t>google_brand_search</t>
        </is>
      </c>
      <c r="C1435" t="inlineStr">
        <is>
          <t>google</t>
        </is>
      </c>
      <c r="D1435" t="n">
        <v>6735</v>
      </c>
      <c r="E1435" t="n">
        <v>1403</v>
      </c>
      <c r="F1435" t="n">
        <v>65</v>
      </c>
      <c r="G1435" t="n">
        <v>0</v>
      </c>
      <c r="H1435" t="n">
        <v>0</v>
      </c>
      <c r="I1435" t="n">
        <v>1</v>
      </c>
      <c r="J1435" t="n">
        <v>1</v>
      </c>
    </row>
    <row r="1436">
      <c r="A1436" s="5" t="n">
        <v>46093</v>
      </c>
      <c r="B1436" t="inlineStr">
        <is>
          <t>google_nonbrand_growth</t>
        </is>
      </c>
      <c r="C1436" t="inlineStr">
        <is>
          <t>google</t>
        </is>
      </c>
      <c r="D1436" t="n">
        <v>20643</v>
      </c>
      <c r="E1436" t="n">
        <v>4300</v>
      </c>
      <c r="F1436" t="n">
        <v>248</v>
      </c>
      <c r="G1436" t="n">
        <v>5</v>
      </c>
      <c r="H1436" t="n">
        <v>0</v>
      </c>
      <c r="I1436" t="n">
        <v>0</v>
      </c>
      <c r="J1436" t="n">
        <v>0</v>
      </c>
    </row>
    <row r="1437">
      <c r="A1437" s="5" t="n">
        <v>46093</v>
      </c>
      <c r="B1437" t="inlineStr">
        <is>
          <t>linkedin_ceo_abm</t>
        </is>
      </c>
      <c r="C1437" t="inlineStr">
        <is>
          <t>linkedin</t>
        </is>
      </c>
      <c r="D1437" t="n">
        <v>27763</v>
      </c>
      <c r="E1437" t="n">
        <v>5339</v>
      </c>
      <c r="F1437" t="n">
        <v>31</v>
      </c>
      <c r="G1437" t="n">
        <v>3</v>
      </c>
      <c r="H1437" t="n">
        <v>1</v>
      </c>
      <c r="I1437" t="n">
        <v>0</v>
      </c>
      <c r="J1437" t="n">
        <v>0</v>
      </c>
    </row>
    <row r="1438">
      <c r="A1438" s="5" t="n">
        <v>46093</v>
      </c>
      <c r="B1438" t="inlineStr">
        <is>
          <t>meta_prospecting_founder</t>
        </is>
      </c>
      <c r="C1438" t="inlineStr">
        <is>
          <t>meta</t>
        </is>
      </c>
      <c r="D1438" t="n">
        <v>35426</v>
      </c>
      <c r="E1438" t="n">
        <v>25304</v>
      </c>
      <c r="F1438" t="n">
        <v>294</v>
      </c>
      <c r="G1438" t="n">
        <v>10</v>
      </c>
      <c r="H1438" t="n">
        <v>1</v>
      </c>
      <c r="I1438" t="n">
        <v>0</v>
      </c>
      <c r="J1438" t="n">
        <v>0</v>
      </c>
    </row>
    <row r="1439">
      <c r="A1439" s="5" t="n">
        <v>46093</v>
      </c>
      <c r="B1439" t="inlineStr">
        <is>
          <t>meta_retargeting_webinar</t>
        </is>
      </c>
      <c r="C1439" t="inlineStr">
        <is>
          <t>meta</t>
        </is>
      </c>
      <c r="D1439" t="n">
        <v>8987</v>
      </c>
      <c r="E1439" t="n">
        <v>6419</v>
      </c>
      <c r="F1439" t="n">
        <v>72</v>
      </c>
      <c r="G1439" t="n">
        <v>3</v>
      </c>
      <c r="H1439" t="n">
        <v>0</v>
      </c>
      <c r="I1439" t="n">
        <v>0</v>
      </c>
      <c r="J1439" t="n">
        <v>0</v>
      </c>
    </row>
    <row r="1440">
      <c r="A1440" s="5" t="n">
        <v>46094</v>
      </c>
      <c r="B1440" t="inlineStr">
        <is>
          <t>FB-Broad</t>
        </is>
      </c>
      <c r="C1440" t="inlineStr">
        <is>
          <t>meta</t>
        </is>
      </c>
      <c r="D1440" t="n">
        <v>16111</v>
      </c>
      <c r="E1440" t="n">
        <v>11507</v>
      </c>
      <c r="F1440" t="n">
        <v>137</v>
      </c>
      <c r="G1440" t="n">
        <v>3</v>
      </c>
      <c r="H1440" t="n">
        <v>0</v>
      </c>
      <c r="I1440" t="n">
        <v>0</v>
      </c>
      <c r="J1440" t="n">
        <v>0</v>
      </c>
    </row>
    <row r="1441">
      <c r="A1441" s="5" t="n">
        <v>46094</v>
      </c>
      <c r="B1441" t="inlineStr">
        <is>
          <t>google_brand_search</t>
        </is>
      </c>
      <c r="C1441" t="inlineStr">
        <is>
          <t>google</t>
        </is>
      </c>
      <c r="D1441" t="n">
        <v>6730</v>
      </c>
      <c r="E1441" t="n">
        <v>1402</v>
      </c>
      <c r="F1441" t="n">
        <v>74</v>
      </c>
      <c r="G1441" t="n">
        <v>3</v>
      </c>
      <c r="H1441" t="n">
        <v>2</v>
      </c>
      <c r="I1441" t="n">
        <v>0</v>
      </c>
      <c r="J1441" t="n">
        <v>0</v>
      </c>
    </row>
    <row r="1442">
      <c r="A1442" s="5" t="n">
        <v>46094</v>
      </c>
      <c r="B1442" t="inlineStr">
        <is>
          <t>google_nonbrand_growth</t>
        </is>
      </c>
      <c r="C1442" t="inlineStr">
        <is>
          <t>google</t>
        </is>
      </c>
      <c r="D1442" t="n">
        <v>20519</v>
      </c>
      <c r="E1442" t="n">
        <v>4274</v>
      </c>
      <c r="F1442" t="n">
        <v>245</v>
      </c>
      <c r="G1442" t="n">
        <v>4</v>
      </c>
      <c r="H1442" t="n">
        <v>1</v>
      </c>
      <c r="I1442" t="n">
        <v>0</v>
      </c>
      <c r="J1442" t="n">
        <v>0</v>
      </c>
    </row>
    <row r="1443">
      <c r="A1443" s="5" t="n">
        <v>46094</v>
      </c>
      <c r="B1443" t="inlineStr">
        <is>
          <t>linkedin_ceo_abm</t>
        </is>
      </c>
      <c r="C1443" t="inlineStr">
        <is>
          <t>linkedin</t>
        </is>
      </c>
      <c r="D1443" t="n">
        <v>24211</v>
      </c>
      <c r="E1443" t="n">
        <v>4655</v>
      </c>
      <c r="F1443" t="n">
        <v>25</v>
      </c>
      <c r="G1443" t="n">
        <v>1</v>
      </c>
      <c r="H1443" t="n">
        <v>2</v>
      </c>
      <c r="I1443" t="n">
        <v>0</v>
      </c>
      <c r="J1443" t="n">
        <v>1</v>
      </c>
    </row>
    <row r="1444">
      <c r="A1444" s="5" t="n">
        <v>46094</v>
      </c>
      <c r="B1444" t="inlineStr">
        <is>
          <t>meta_prospecting_founder</t>
        </is>
      </c>
      <c r="C1444" t="inlineStr">
        <is>
          <t>meta</t>
        </is>
      </c>
      <c r="D1444" t="n">
        <v>33096</v>
      </c>
      <c r="E1444" t="n">
        <v>23639</v>
      </c>
      <c r="F1444" t="n">
        <v>227</v>
      </c>
      <c r="G1444" t="n">
        <v>9</v>
      </c>
      <c r="H1444" t="n">
        <v>4</v>
      </c>
      <c r="I1444" t="n">
        <v>0</v>
      </c>
      <c r="J1444" t="n">
        <v>0</v>
      </c>
    </row>
    <row r="1445">
      <c r="A1445" s="5" t="n">
        <v>46094</v>
      </c>
      <c r="B1445" t="inlineStr">
        <is>
          <t>meta_retargeting_webinar</t>
        </is>
      </c>
      <c r="C1445" t="inlineStr">
        <is>
          <t>meta</t>
        </is>
      </c>
      <c r="D1445" t="n">
        <v>10100</v>
      </c>
      <c r="E1445" t="n">
        <v>7214</v>
      </c>
      <c r="F1445" t="n">
        <v>84</v>
      </c>
      <c r="G1445" t="n">
        <v>4</v>
      </c>
      <c r="H1445" t="n">
        <v>2</v>
      </c>
      <c r="I1445" t="n">
        <v>0</v>
      </c>
      <c r="J1445" t="n">
        <v>0</v>
      </c>
    </row>
    <row r="1446">
      <c r="A1446" s="5" t="n">
        <v>46095</v>
      </c>
      <c r="B1446" t="inlineStr">
        <is>
          <t>FB-Broad</t>
        </is>
      </c>
      <c r="C1446" t="inlineStr">
        <is>
          <t>meta</t>
        </is>
      </c>
      <c r="D1446" t="n">
        <v>17050</v>
      </c>
      <c r="E1446" t="n">
        <v>12178</v>
      </c>
      <c r="F1446" t="n">
        <v>114</v>
      </c>
      <c r="G1446" t="n">
        <v>1</v>
      </c>
      <c r="H1446" t="n">
        <v>0</v>
      </c>
      <c r="I1446" t="n">
        <v>0</v>
      </c>
      <c r="J1446" t="n">
        <v>0</v>
      </c>
    </row>
    <row r="1447">
      <c r="A1447" s="5" t="n">
        <v>46095</v>
      </c>
      <c r="B1447" t="inlineStr">
        <is>
          <t>google_brand_search</t>
        </is>
      </c>
      <c r="C1447" t="inlineStr">
        <is>
          <t>google</t>
        </is>
      </c>
      <c r="D1447" t="n">
        <v>6404</v>
      </c>
      <c r="E1447" t="n">
        <v>1334</v>
      </c>
      <c r="F1447" t="n">
        <v>79</v>
      </c>
      <c r="G1447" t="n">
        <v>1</v>
      </c>
      <c r="H1447" t="n">
        <v>2</v>
      </c>
      <c r="I1447" t="n">
        <v>0</v>
      </c>
      <c r="J1447" t="n">
        <v>0</v>
      </c>
    </row>
    <row r="1448">
      <c r="A1448" s="5" t="n">
        <v>46095</v>
      </c>
      <c r="B1448" t="inlineStr">
        <is>
          <t>google_nonbrand_growth</t>
        </is>
      </c>
      <c r="C1448" t="inlineStr">
        <is>
          <t>google</t>
        </is>
      </c>
      <c r="D1448" t="n">
        <v>18189</v>
      </c>
      <c r="E1448" t="n">
        <v>3789</v>
      </c>
      <c r="F1448" t="n">
        <v>192</v>
      </c>
      <c r="G1448" t="n">
        <v>1</v>
      </c>
      <c r="H1448" t="n">
        <v>0</v>
      </c>
      <c r="I1448" t="n">
        <v>1</v>
      </c>
      <c r="J1448" t="n">
        <v>0</v>
      </c>
    </row>
    <row r="1449">
      <c r="A1449" s="5" t="n">
        <v>46095</v>
      </c>
      <c r="B1449" t="inlineStr">
        <is>
          <t>linkedin_ceo_abm</t>
        </is>
      </c>
      <c r="C1449" t="inlineStr">
        <is>
          <t>linkedin</t>
        </is>
      </c>
      <c r="D1449" t="n">
        <v>27814</v>
      </c>
      <c r="E1449" t="n">
        <v>5348</v>
      </c>
      <c r="F1449" t="n">
        <v>34</v>
      </c>
      <c r="G1449" t="n">
        <v>1</v>
      </c>
      <c r="H1449" t="n">
        <v>0</v>
      </c>
      <c r="I1449" t="n">
        <v>1</v>
      </c>
      <c r="J1449" t="n">
        <v>0</v>
      </c>
    </row>
    <row r="1450">
      <c r="A1450" s="5" t="n">
        <v>46095</v>
      </c>
      <c r="B1450" t="inlineStr">
        <is>
          <t>meta_prospecting_founder</t>
        </is>
      </c>
      <c r="C1450" t="inlineStr">
        <is>
          <t>meta</t>
        </is>
      </c>
      <c r="D1450" t="n">
        <v>30601</v>
      </c>
      <c r="E1450" t="n">
        <v>21857</v>
      </c>
      <c r="F1450" t="n">
        <v>227</v>
      </c>
      <c r="G1450" t="n">
        <v>2</v>
      </c>
      <c r="H1450" t="n">
        <v>1</v>
      </c>
      <c r="I1450" t="n">
        <v>0</v>
      </c>
      <c r="J1450" t="n">
        <v>0</v>
      </c>
    </row>
    <row r="1451">
      <c r="A1451" s="5" t="n">
        <v>46095</v>
      </c>
      <c r="B1451" t="inlineStr">
        <is>
          <t>meta_retargeting_webinar</t>
        </is>
      </c>
      <c r="C1451" t="inlineStr">
        <is>
          <t>meta</t>
        </is>
      </c>
      <c r="D1451" t="n">
        <v>9622</v>
      </c>
      <c r="E1451" t="n">
        <v>6872</v>
      </c>
      <c r="F1451" t="n">
        <v>64</v>
      </c>
      <c r="G1451" t="n">
        <v>3</v>
      </c>
      <c r="H1451" t="n">
        <v>2</v>
      </c>
      <c r="I1451" t="n">
        <v>0</v>
      </c>
      <c r="J1451" t="n">
        <v>0</v>
      </c>
    </row>
    <row r="1452">
      <c r="A1452" s="5" t="n">
        <v>46096</v>
      </c>
      <c r="B1452" t="inlineStr">
        <is>
          <t>FB-Broad</t>
        </is>
      </c>
      <c r="C1452" t="inlineStr">
        <is>
          <t>meta</t>
        </is>
      </c>
      <c r="D1452" t="n">
        <v>0</v>
      </c>
      <c r="E1452" t="n">
        <v>0</v>
      </c>
      <c r="F1452" t="n">
        <v>0</v>
      </c>
      <c r="G1452" t="n">
        <v>0</v>
      </c>
      <c r="H1452" t="n">
        <v>0</v>
      </c>
      <c r="I1452" t="n">
        <v>0</v>
      </c>
      <c r="J1452" t="n">
        <v>1</v>
      </c>
    </row>
    <row r="1453">
      <c r="A1453" s="5" t="n">
        <v>46096</v>
      </c>
      <c r="B1453" t="inlineStr">
        <is>
          <t>google_brand_search</t>
        </is>
      </c>
      <c r="C1453" t="inlineStr">
        <is>
          <t>google</t>
        </is>
      </c>
      <c r="D1453" t="n">
        <v>6829</v>
      </c>
      <c r="E1453" t="n">
        <v>1422</v>
      </c>
      <c r="F1453" t="n">
        <v>70</v>
      </c>
      <c r="G1453" t="n">
        <v>1</v>
      </c>
      <c r="H1453" t="n">
        <v>1</v>
      </c>
      <c r="I1453" t="n">
        <v>1</v>
      </c>
      <c r="J1453" t="n">
        <v>0</v>
      </c>
    </row>
    <row r="1454">
      <c r="A1454" s="5" t="n">
        <v>46096</v>
      </c>
      <c r="B1454" t="inlineStr">
        <is>
          <t>google_nonbrand_growth</t>
        </is>
      </c>
      <c r="C1454" t="inlineStr">
        <is>
          <t>google</t>
        </is>
      </c>
      <c r="D1454" t="n">
        <v>18696</v>
      </c>
      <c r="E1454" t="n">
        <v>3895</v>
      </c>
      <c r="F1454" t="n">
        <v>203</v>
      </c>
      <c r="G1454" t="n">
        <v>2</v>
      </c>
      <c r="H1454" t="n">
        <v>2</v>
      </c>
      <c r="I1454" t="n">
        <v>0</v>
      </c>
      <c r="J1454" t="n">
        <v>0</v>
      </c>
    </row>
    <row r="1455">
      <c r="A1455" s="5" t="n">
        <v>46096</v>
      </c>
      <c r="B1455" t="inlineStr">
        <is>
          <t>linkedin_ceo_abm</t>
        </is>
      </c>
      <c r="C1455" t="inlineStr">
        <is>
          <t>linkedin</t>
        </is>
      </c>
      <c r="D1455" t="n">
        <v>26592</v>
      </c>
      <c r="E1455" t="n">
        <v>5113</v>
      </c>
      <c r="F1455" t="n">
        <v>31</v>
      </c>
      <c r="G1455" t="n">
        <v>0</v>
      </c>
      <c r="H1455" t="n">
        <v>0</v>
      </c>
      <c r="I1455" t="n">
        <v>0</v>
      </c>
      <c r="J1455" t="n">
        <v>1</v>
      </c>
    </row>
    <row r="1456">
      <c r="A1456" s="5" t="n">
        <v>46096</v>
      </c>
      <c r="B1456" t="inlineStr">
        <is>
          <t>meta_prospecting_founder</t>
        </is>
      </c>
      <c r="C1456" t="inlineStr">
        <is>
          <t>meta</t>
        </is>
      </c>
      <c r="D1456" t="n">
        <v>35625</v>
      </c>
      <c r="E1456" t="n">
        <v>25446</v>
      </c>
      <c r="F1456" t="n">
        <v>273</v>
      </c>
      <c r="G1456" t="n">
        <v>4</v>
      </c>
      <c r="H1456" t="n">
        <v>1</v>
      </c>
      <c r="I1456" t="n">
        <v>0</v>
      </c>
      <c r="J1456" t="n">
        <v>1</v>
      </c>
    </row>
    <row r="1457">
      <c r="A1457" s="5" t="n">
        <v>46096</v>
      </c>
      <c r="B1457" t="inlineStr">
        <is>
          <t>meta_retargeting_webinar</t>
        </is>
      </c>
      <c r="C1457" t="inlineStr">
        <is>
          <t>meta</t>
        </is>
      </c>
      <c r="D1457" t="n">
        <v>8474</v>
      </c>
      <c r="E1457" t="n">
        <v>6052</v>
      </c>
      <c r="F1457" t="n">
        <v>65</v>
      </c>
      <c r="G1457" t="n">
        <v>3</v>
      </c>
      <c r="H1457" t="n">
        <v>1</v>
      </c>
      <c r="I1457" t="n">
        <v>0</v>
      </c>
      <c r="J1457" t="n">
        <v>0</v>
      </c>
    </row>
    <row r="1458">
      <c r="A1458" s="5" t="n">
        <v>46097</v>
      </c>
      <c r="B1458" t="inlineStr">
        <is>
          <t>FB-Broad</t>
        </is>
      </c>
      <c r="C1458" t="inlineStr">
        <is>
          <t>meta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1</v>
      </c>
    </row>
    <row r="1459">
      <c r="A1459" s="5" t="n">
        <v>46097</v>
      </c>
      <c r="B1459" t="inlineStr">
        <is>
          <t>google_brand_search</t>
        </is>
      </c>
      <c r="C1459" t="inlineStr">
        <is>
          <t>google</t>
        </is>
      </c>
      <c r="D1459" t="n">
        <v>6247</v>
      </c>
      <c r="E1459" t="n">
        <v>1301</v>
      </c>
      <c r="F1459" t="n">
        <v>59</v>
      </c>
      <c r="G1459" t="n">
        <v>3</v>
      </c>
      <c r="H1459" t="n">
        <v>0</v>
      </c>
      <c r="I1459" t="n">
        <v>1</v>
      </c>
      <c r="J1459" t="n">
        <v>0</v>
      </c>
    </row>
    <row r="1460">
      <c r="A1460" s="5" t="n">
        <v>46097</v>
      </c>
      <c r="B1460" t="inlineStr">
        <is>
          <t>google_nonbrand_growth</t>
        </is>
      </c>
      <c r="C1460" t="inlineStr">
        <is>
          <t>google</t>
        </is>
      </c>
      <c r="D1460" t="n">
        <v>18095</v>
      </c>
      <c r="E1460" t="n">
        <v>3769</v>
      </c>
      <c r="F1460" t="n">
        <v>177</v>
      </c>
      <c r="G1460" t="n">
        <v>1</v>
      </c>
      <c r="H1460" t="n">
        <v>1</v>
      </c>
      <c r="I1460" t="n">
        <v>0</v>
      </c>
      <c r="J1460" t="n">
        <v>0</v>
      </c>
    </row>
    <row r="1461">
      <c r="A1461" s="5" t="n">
        <v>46097</v>
      </c>
      <c r="B1461" t="inlineStr">
        <is>
          <t>linkedin_ceo_abm</t>
        </is>
      </c>
      <c r="C1461" t="inlineStr">
        <is>
          <t>linkedin</t>
        </is>
      </c>
      <c r="D1461" t="n">
        <v>23854</v>
      </c>
      <c r="E1461" t="n">
        <v>4587</v>
      </c>
      <c r="F1461" t="n">
        <v>31</v>
      </c>
      <c r="G1461" t="n">
        <v>2</v>
      </c>
      <c r="H1461" t="n">
        <v>1</v>
      </c>
      <c r="I1461" t="n">
        <v>0</v>
      </c>
      <c r="J1461" t="n">
        <v>0</v>
      </c>
    </row>
    <row r="1462">
      <c r="A1462" s="5" t="n">
        <v>46097</v>
      </c>
      <c r="B1462" t="inlineStr">
        <is>
          <t>meta_prospecting_founder</t>
        </is>
      </c>
      <c r="C1462" t="inlineStr">
        <is>
          <t>meta</t>
        </is>
      </c>
      <c r="D1462" t="n">
        <v>33436</v>
      </c>
      <c r="E1462" t="n">
        <v>23882</v>
      </c>
      <c r="F1462" t="n">
        <v>287</v>
      </c>
      <c r="G1462" t="n">
        <v>9</v>
      </c>
      <c r="H1462" t="n">
        <v>0</v>
      </c>
      <c r="I1462" t="n">
        <v>0</v>
      </c>
      <c r="J1462" t="n">
        <v>1</v>
      </c>
    </row>
    <row r="1463">
      <c r="A1463" s="5" t="n">
        <v>46097</v>
      </c>
      <c r="B1463" t="inlineStr">
        <is>
          <t>meta_retargeting_webinar</t>
        </is>
      </c>
      <c r="C1463" t="inlineStr">
        <is>
          <t>meta</t>
        </is>
      </c>
      <c r="D1463" t="n">
        <v>9675</v>
      </c>
      <c r="E1463" t="n">
        <v>6910</v>
      </c>
      <c r="F1463" t="n">
        <v>76</v>
      </c>
      <c r="G1463" t="n">
        <v>2</v>
      </c>
      <c r="H1463" t="n">
        <v>1</v>
      </c>
      <c r="I1463" t="n">
        <v>1</v>
      </c>
      <c r="J1463" t="n">
        <v>0</v>
      </c>
    </row>
    <row r="1464">
      <c r="A1464" s="5" t="n">
        <v>46098</v>
      </c>
      <c r="B1464" t="inlineStr">
        <is>
          <t>FB-Broad</t>
        </is>
      </c>
      <c r="C1464" t="inlineStr">
        <is>
          <t>meta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</row>
    <row r="1465">
      <c r="A1465" s="5" t="n">
        <v>46098</v>
      </c>
      <c r="B1465" t="inlineStr">
        <is>
          <t>google_brand_search</t>
        </is>
      </c>
      <c r="C1465" t="inlineStr">
        <is>
          <t>google</t>
        </is>
      </c>
      <c r="D1465" t="n">
        <v>6640</v>
      </c>
      <c r="E1465" t="n">
        <v>1383</v>
      </c>
      <c r="F1465" t="n">
        <v>80</v>
      </c>
      <c r="G1465" t="n">
        <v>5</v>
      </c>
      <c r="H1465" t="n">
        <v>1</v>
      </c>
      <c r="I1465" t="n">
        <v>0</v>
      </c>
      <c r="J1465" t="n">
        <v>0</v>
      </c>
    </row>
    <row r="1466">
      <c r="A1466" s="5" t="n">
        <v>46098</v>
      </c>
      <c r="B1466" t="inlineStr">
        <is>
          <t>google_nonbrand_growth</t>
        </is>
      </c>
      <c r="C1466" t="inlineStr">
        <is>
          <t>google</t>
        </is>
      </c>
      <c r="D1466" t="n">
        <v>21054</v>
      </c>
      <c r="E1466" t="n">
        <v>4386</v>
      </c>
      <c r="F1466" t="n">
        <v>199</v>
      </c>
      <c r="G1466" t="n">
        <v>6</v>
      </c>
      <c r="H1466" t="n">
        <v>1</v>
      </c>
      <c r="I1466" t="n">
        <v>1</v>
      </c>
      <c r="J1466" t="n">
        <v>0</v>
      </c>
    </row>
    <row r="1467">
      <c r="A1467" s="5" t="n">
        <v>46098</v>
      </c>
      <c r="B1467" t="inlineStr">
        <is>
          <t>linkedin_ceo_abm</t>
        </is>
      </c>
      <c r="C1467" t="inlineStr">
        <is>
          <t>linkedin</t>
        </is>
      </c>
      <c r="D1467" t="n">
        <v>27899</v>
      </c>
      <c r="E1467" t="n">
        <v>5365</v>
      </c>
      <c r="F1467" t="n">
        <v>35</v>
      </c>
      <c r="G1467" t="n">
        <v>3</v>
      </c>
      <c r="H1467" t="n">
        <v>1</v>
      </c>
      <c r="I1467" t="n">
        <v>2</v>
      </c>
      <c r="J1467" t="n">
        <v>0</v>
      </c>
    </row>
    <row r="1468">
      <c r="A1468" s="5" t="n">
        <v>46098</v>
      </c>
      <c r="B1468" t="inlineStr">
        <is>
          <t>meta_prospecting_founder</t>
        </is>
      </c>
      <c r="C1468" t="inlineStr">
        <is>
          <t>meta</t>
        </is>
      </c>
      <c r="D1468" t="n">
        <v>29241</v>
      </c>
      <c r="E1468" t="n">
        <v>20886</v>
      </c>
      <c r="F1468" t="n">
        <v>203</v>
      </c>
      <c r="G1468" t="n">
        <v>5</v>
      </c>
      <c r="H1468" t="n">
        <v>2</v>
      </c>
      <c r="I1468" t="n">
        <v>0</v>
      </c>
      <c r="J1468" t="n">
        <v>0</v>
      </c>
    </row>
    <row r="1469">
      <c r="A1469" s="5" t="n">
        <v>46098</v>
      </c>
      <c r="B1469" t="inlineStr">
        <is>
          <t>meta_retargeting_webinar</t>
        </is>
      </c>
      <c r="C1469" t="inlineStr">
        <is>
          <t>meta</t>
        </is>
      </c>
      <c r="D1469" t="n">
        <v>9570</v>
      </c>
      <c r="E1469" t="n">
        <v>6835</v>
      </c>
      <c r="F1469" t="n">
        <v>81</v>
      </c>
      <c r="G1469" t="n">
        <v>1</v>
      </c>
      <c r="H1469" t="n">
        <v>1</v>
      </c>
      <c r="I1469" t="n">
        <v>1</v>
      </c>
      <c r="J1469" t="n">
        <v>0</v>
      </c>
    </row>
    <row r="1470">
      <c r="A1470" s="5" t="n">
        <v>46099</v>
      </c>
      <c r="B1470" t="inlineStr">
        <is>
          <t>google_brand_search</t>
        </is>
      </c>
      <c r="C1470" t="inlineStr">
        <is>
          <t>google</t>
        </is>
      </c>
      <c r="D1470" t="n">
        <v>6764</v>
      </c>
      <c r="E1470" t="n">
        <v>1409</v>
      </c>
      <c r="F1470" t="n">
        <v>63</v>
      </c>
      <c r="G1470" t="n">
        <v>2</v>
      </c>
      <c r="H1470" t="n">
        <v>2</v>
      </c>
      <c r="I1470" t="n">
        <v>0</v>
      </c>
      <c r="J1470" t="n">
        <v>0</v>
      </c>
    </row>
    <row r="1471">
      <c r="A1471" s="5" t="n">
        <v>46099</v>
      </c>
      <c r="B1471" t="inlineStr">
        <is>
          <t>google_nonbrand_growth</t>
        </is>
      </c>
      <c r="C1471" t="inlineStr">
        <is>
          <t>google</t>
        </is>
      </c>
      <c r="D1471" t="n">
        <v>19164</v>
      </c>
      <c r="E1471" t="n">
        <v>3992</v>
      </c>
      <c r="F1471" t="n">
        <v>193</v>
      </c>
      <c r="G1471" t="n">
        <v>1</v>
      </c>
      <c r="H1471" t="n">
        <v>2</v>
      </c>
      <c r="I1471" t="n">
        <v>0</v>
      </c>
      <c r="J1471" t="n">
        <v>0</v>
      </c>
    </row>
    <row r="1472">
      <c r="A1472" s="5" t="n">
        <v>46099</v>
      </c>
      <c r="B1472" t="inlineStr">
        <is>
          <t>linkedin_ceo_abm</t>
        </is>
      </c>
      <c r="C1472" t="inlineStr">
        <is>
          <t>linkedin</t>
        </is>
      </c>
      <c r="D1472" t="n">
        <v>24200</v>
      </c>
      <c r="E1472" t="n">
        <v>4653</v>
      </c>
      <c r="F1472" t="n">
        <v>29</v>
      </c>
      <c r="G1472" t="n">
        <v>3</v>
      </c>
      <c r="H1472" t="n">
        <v>0</v>
      </c>
      <c r="I1472" t="n">
        <v>0</v>
      </c>
      <c r="J1472" t="n">
        <v>0</v>
      </c>
    </row>
    <row r="1473">
      <c r="A1473" s="5" t="n">
        <v>46099</v>
      </c>
      <c r="B1473" t="inlineStr">
        <is>
          <t>meta_prospecting_founder</t>
        </is>
      </c>
      <c r="C1473" t="inlineStr">
        <is>
          <t>meta</t>
        </is>
      </c>
      <c r="D1473" t="n">
        <v>34956</v>
      </c>
      <c r="E1473" t="n">
        <v>24968</v>
      </c>
      <c r="F1473" t="n">
        <v>264</v>
      </c>
      <c r="G1473" t="n">
        <v>6</v>
      </c>
      <c r="H1473" t="n">
        <v>1</v>
      </c>
      <c r="I1473" t="n">
        <v>1</v>
      </c>
      <c r="J1473" t="n">
        <v>0</v>
      </c>
    </row>
    <row r="1474">
      <c r="A1474" s="5" t="n">
        <v>46099</v>
      </c>
      <c r="B1474" t="inlineStr">
        <is>
          <t>meta_retargeting_webinar</t>
        </is>
      </c>
      <c r="C1474" t="inlineStr">
        <is>
          <t>meta</t>
        </is>
      </c>
      <c r="D1474" t="n">
        <v>8577</v>
      </c>
      <c r="E1474" t="n">
        <v>6126</v>
      </c>
      <c r="F1474" t="n">
        <v>75</v>
      </c>
      <c r="G1474" t="n">
        <v>3</v>
      </c>
      <c r="H1474" t="n">
        <v>1</v>
      </c>
      <c r="I1474" t="n">
        <v>1</v>
      </c>
      <c r="J1474" t="n">
        <v>0</v>
      </c>
    </row>
    <row r="1475">
      <c r="A1475" s="5" t="n">
        <v>46100</v>
      </c>
      <c r="B1475" t="inlineStr">
        <is>
          <t>FB-Broad</t>
        </is>
      </c>
      <c r="C1475" t="inlineStr">
        <is>
          <t>meta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1</v>
      </c>
    </row>
    <row r="1476">
      <c r="A1476" s="5" t="n">
        <v>46100</v>
      </c>
      <c r="B1476" t="inlineStr">
        <is>
          <t>google_brand_search</t>
        </is>
      </c>
      <c r="C1476" t="inlineStr">
        <is>
          <t>google</t>
        </is>
      </c>
      <c r="D1476" t="n">
        <v>6941</v>
      </c>
      <c r="E1476" t="n">
        <v>1446</v>
      </c>
      <c r="F1476" t="n">
        <v>76</v>
      </c>
      <c r="G1476" t="n">
        <v>2</v>
      </c>
      <c r="H1476" t="n">
        <v>2</v>
      </c>
      <c r="I1476" t="n">
        <v>1</v>
      </c>
      <c r="J1476" t="n">
        <v>0</v>
      </c>
    </row>
    <row r="1477">
      <c r="A1477" s="5" t="n">
        <v>46100</v>
      </c>
      <c r="B1477" t="inlineStr">
        <is>
          <t>google_nonbrand_growth</t>
        </is>
      </c>
      <c r="C1477" t="inlineStr">
        <is>
          <t>google</t>
        </is>
      </c>
      <c r="D1477" t="n">
        <v>17333</v>
      </c>
      <c r="E1477" t="n">
        <v>3611</v>
      </c>
      <c r="F1477" t="n">
        <v>206</v>
      </c>
      <c r="G1477" t="n">
        <v>5</v>
      </c>
      <c r="H1477" t="n">
        <v>1</v>
      </c>
      <c r="I1477" t="n">
        <v>0</v>
      </c>
      <c r="J1477" t="n">
        <v>0</v>
      </c>
    </row>
    <row r="1478">
      <c r="A1478" s="5" t="n">
        <v>46100</v>
      </c>
      <c r="B1478" t="inlineStr">
        <is>
          <t>linkedin_ceo_abm</t>
        </is>
      </c>
      <c r="C1478" t="inlineStr">
        <is>
          <t>linkedin</t>
        </is>
      </c>
      <c r="D1478" t="n">
        <v>25918</v>
      </c>
      <c r="E1478" t="n">
        <v>4984</v>
      </c>
      <c r="F1478" t="n">
        <v>27</v>
      </c>
      <c r="G1478" t="n">
        <v>3</v>
      </c>
      <c r="H1478" t="n">
        <v>4</v>
      </c>
      <c r="I1478" t="n">
        <v>0</v>
      </c>
      <c r="J1478" t="n">
        <v>0</v>
      </c>
    </row>
    <row r="1479">
      <c r="A1479" s="5" t="n">
        <v>46100</v>
      </c>
      <c r="B1479" t="inlineStr">
        <is>
          <t>meta_prospecting_founder</t>
        </is>
      </c>
      <c r="C1479" t="inlineStr">
        <is>
          <t>meta</t>
        </is>
      </c>
      <c r="D1479" t="n">
        <v>32820</v>
      </c>
      <c r="E1479" t="n">
        <v>23442</v>
      </c>
      <c r="F1479" t="n">
        <v>268</v>
      </c>
      <c r="G1479" t="n">
        <v>7</v>
      </c>
      <c r="H1479" t="n">
        <v>2</v>
      </c>
      <c r="I1479" t="n">
        <v>1</v>
      </c>
      <c r="J1479" t="n">
        <v>0</v>
      </c>
    </row>
    <row r="1480">
      <c r="A1480" s="5" t="n">
        <v>46100</v>
      </c>
      <c r="B1480" t="inlineStr">
        <is>
          <t>meta_retargeting_webinar</t>
        </is>
      </c>
      <c r="C1480" t="inlineStr">
        <is>
          <t>meta</t>
        </is>
      </c>
      <c r="D1480" t="n">
        <v>9861</v>
      </c>
      <c r="E1480" t="n">
        <v>7043</v>
      </c>
      <c r="F1480" t="n">
        <v>73</v>
      </c>
      <c r="G1480" t="n">
        <v>3</v>
      </c>
      <c r="H1480" t="n">
        <v>0</v>
      </c>
      <c r="I1480" t="n">
        <v>0</v>
      </c>
      <c r="J1480" t="n">
        <v>0</v>
      </c>
    </row>
    <row r="1481">
      <c r="A1481" s="5" t="n">
        <v>46101</v>
      </c>
      <c r="B1481" t="inlineStr">
        <is>
          <t>FB-Broad</t>
        </is>
      </c>
      <c r="C1481" t="inlineStr">
        <is>
          <t>meta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</row>
    <row r="1482">
      <c r="A1482" s="5" t="n">
        <v>46101</v>
      </c>
      <c r="B1482" t="inlineStr">
        <is>
          <t>google_brand_search</t>
        </is>
      </c>
      <c r="C1482" t="inlineStr">
        <is>
          <t>google</t>
        </is>
      </c>
      <c r="D1482" t="n">
        <v>7008</v>
      </c>
      <c r="E1482" t="n">
        <v>1460</v>
      </c>
      <c r="F1482" t="n">
        <v>74</v>
      </c>
      <c r="G1482" t="n">
        <v>2</v>
      </c>
      <c r="H1482" t="n">
        <v>1</v>
      </c>
      <c r="I1482" t="n">
        <v>0</v>
      </c>
      <c r="J1482" t="n">
        <v>0</v>
      </c>
    </row>
    <row r="1483">
      <c r="A1483" s="5" t="n">
        <v>46101</v>
      </c>
      <c r="B1483" t="inlineStr">
        <is>
          <t>google_nonbrand_growth</t>
        </is>
      </c>
      <c r="C1483" t="inlineStr">
        <is>
          <t>google</t>
        </is>
      </c>
      <c r="D1483" t="n">
        <v>18871</v>
      </c>
      <c r="E1483" t="n">
        <v>3931</v>
      </c>
      <c r="F1483" t="n">
        <v>178</v>
      </c>
      <c r="G1483" t="n">
        <v>4</v>
      </c>
      <c r="H1483" t="n">
        <v>1</v>
      </c>
      <c r="I1483" t="n">
        <v>0</v>
      </c>
      <c r="J1483" t="n">
        <v>0</v>
      </c>
    </row>
    <row r="1484">
      <c r="A1484" s="5" t="n">
        <v>46101</v>
      </c>
      <c r="B1484" t="inlineStr">
        <is>
          <t>linkedin_ceo_abm</t>
        </is>
      </c>
      <c r="C1484" t="inlineStr">
        <is>
          <t>linkedin</t>
        </is>
      </c>
      <c r="D1484" t="n">
        <v>23464</v>
      </c>
      <c r="E1484" t="n">
        <v>4512</v>
      </c>
      <c r="F1484" t="n">
        <v>31</v>
      </c>
      <c r="G1484" t="n">
        <v>0</v>
      </c>
      <c r="H1484" t="n">
        <v>0</v>
      </c>
      <c r="I1484" t="n">
        <v>1</v>
      </c>
      <c r="J1484" t="n">
        <v>0</v>
      </c>
    </row>
    <row r="1485">
      <c r="A1485" s="5" t="n">
        <v>46101</v>
      </c>
      <c r="B1485" t="inlineStr">
        <is>
          <t>meta_prospecting_founder</t>
        </is>
      </c>
      <c r="C1485" t="inlineStr">
        <is>
          <t>meta</t>
        </is>
      </c>
      <c r="D1485" t="n">
        <v>34758</v>
      </c>
      <c r="E1485" t="n">
        <v>24827</v>
      </c>
      <c r="F1485" t="n">
        <v>272</v>
      </c>
      <c r="G1485" t="n">
        <v>9</v>
      </c>
      <c r="H1485" t="n">
        <v>0</v>
      </c>
      <c r="I1485" t="n">
        <v>1</v>
      </c>
      <c r="J1485" t="n">
        <v>0</v>
      </c>
    </row>
    <row r="1486">
      <c r="A1486" s="5" t="n">
        <v>46101</v>
      </c>
      <c r="B1486" t="inlineStr">
        <is>
          <t>meta_retargeting_webinar</t>
        </is>
      </c>
      <c r="C1486" t="inlineStr">
        <is>
          <t>meta</t>
        </is>
      </c>
      <c r="D1486" t="n">
        <v>8833</v>
      </c>
      <c r="E1486" t="n">
        <v>6309</v>
      </c>
      <c r="F1486" t="n">
        <v>78</v>
      </c>
      <c r="G1486" t="n">
        <v>0</v>
      </c>
      <c r="H1486" t="n">
        <v>0</v>
      </c>
      <c r="I1486" t="n">
        <v>0</v>
      </c>
      <c r="J1486" t="n">
        <v>0</v>
      </c>
    </row>
    <row r="1487">
      <c r="A1487" s="5" t="n">
        <v>46102</v>
      </c>
      <c r="B1487" t="inlineStr">
        <is>
          <t>google_brand_search</t>
        </is>
      </c>
      <c r="C1487" t="inlineStr">
        <is>
          <t>google</t>
        </is>
      </c>
      <c r="D1487" t="n">
        <v>6990</v>
      </c>
      <c r="E1487" t="n">
        <v>1456</v>
      </c>
      <c r="F1487" t="n">
        <v>78</v>
      </c>
      <c r="G1487" t="n">
        <v>1</v>
      </c>
      <c r="H1487" t="n">
        <v>4</v>
      </c>
      <c r="I1487" t="n">
        <v>0</v>
      </c>
      <c r="J1487" t="n">
        <v>0</v>
      </c>
    </row>
    <row r="1488">
      <c r="A1488" s="5" t="n">
        <v>46102</v>
      </c>
      <c r="B1488" t="inlineStr">
        <is>
          <t>google_nonbrand_growth</t>
        </is>
      </c>
      <c r="C1488" t="inlineStr">
        <is>
          <t>google</t>
        </is>
      </c>
      <c r="D1488" t="n">
        <v>19101</v>
      </c>
      <c r="E1488" t="n">
        <v>3979</v>
      </c>
      <c r="F1488" t="n">
        <v>201</v>
      </c>
      <c r="G1488" t="n">
        <v>2</v>
      </c>
      <c r="H1488" t="n">
        <v>0</v>
      </c>
      <c r="I1488" t="n">
        <v>0</v>
      </c>
      <c r="J1488" t="n">
        <v>1</v>
      </c>
    </row>
    <row r="1489">
      <c r="A1489" s="5" t="n">
        <v>46102</v>
      </c>
      <c r="B1489" t="inlineStr">
        <is>
          <t>linkedin_ceo_abm</t>
        </is>
      </c>
      <c r="C1489" t="inlineStr">
        <is>
          <t>linkedin</t>
        </is>
      </c>
      <c r="D1489" t="n">
        <v>24589</v>
      </c>
      <c r="E1489" t="n">
        <v>4728</v>
      </c>
      <c r="F1489" t="n">
        <v>26</v>
      </c>
      <c r="G1489" t="n">
        <v>0</v>
      </c>
      <c r="H1489" t="n">
        <v>0</v>
      </c>
      <c r="I1489" t="n">
        <v>0</v>
      </c>
      <c r="J1489" t="n">
        <v>0</v>
      </c>
    </row>
    <row r="1490">
      <c r="A1490" s="5" t="n">
        <v>46102</v>
      </c>
      <c r="B1490" t="inlineStr">
        <is>
          <t>meta_prospecting_founder</t>
        </is>
      </c>
      <c r="C1490" t="inlineStr">
        <is>
          <t>meta</t>
        </is>
      </c>
      <c r="D1490" t="n">
        <v>31467</v>
      </c>
      <c r="E1490" t="n">
        <v>22476</v>
      </c>
      <c r="F1490" t="n">
        <v>211</v>
      </c>
      <c r="G1490" t="n">
        <v>4</v>
      </c>
      <c r="H1490" t="n">
        <v>1</v>
      </c>
      <c r="I1490" t="n">
        <v>0</v>
      </c>
      <c r="J1490" t="n">
        <v>0</v>
      </c>
    </row>
    <row r="1491">
      <c r="A1491" s="5" t="n">
        <v>46102</v>
      </c>
      <c r="B1491" t="inlineStr">
        <is>
          <t>meta_retargeting_webinar</t>
        </is>
      </c>
      <c r="C1491" t="inlineStr">
        <is>
          <t>meta</t>
        </is>
      </c>
      <c r="D1491" t="n">
        <v>8546</v>
      </c>
      <c r="E1491" t="n">
        <v>6104</v>
      </c>
      <c r="F1491" t="n">
        <v>73</v>
      </c>
      <c r="G1491" t="n">
        <v>2</v>
      </c>
      <c r="H1491" t="n">
        <v>0</v>
      </c>
      <c r="I1491" t="n">
        <v>0</v>
      </c>
      <c r="J1491" t="n">
        <v>0</v>
      </c>
    </row>
    <row r="1492">
      <c r="A1492" s="5" t="n">
        <v>46103</v>
      </c>
      <c r="B1492" t="inlineStr">
        <is>
          <t>google_brand_search</t>
        </is>
      </c>
      <c r="C1492" t="inlineStr">
        <is>
          <t>google</t>
        </is>
      </c>
      <c r="D1492" t="n">
        <v>7348</v>
      </c>
      <c r="E1492" t="n">
        <v>1530</v>
      </c>
      <c r="F1492" t="n">
        <v>70</v>
      </c>
      <c r="G1492" t="n">
        <v>5</v>
      </c>
      <c r="H1492" t="n">
        <v>0</v>
      </c>
      <c r="I1492" t="n">
        <v>2</v>
      </c>
      <c r="J1492" t="n">
        <v>0</v>
      </c>
    </row>
    <row r="1493">
      <c r="A1493" s="5" t="n">
        <v>46103</v>
      </c>
      <c r="B1493" t="inlineStr">
        <is>
          <t>google_nonbrand_growth</t>
        </is>
      </c>
      <c r="C1493" t="inlineStr">
        <is>
          <t>google</t>
        </is>
      </c>
      <c r="D1493" t="n">
        <v>20972</v>
      </c>
      <c r="E1493" t="n">
        <v>4369</v>
      </c>
      <c r="F1493" t="n">
        <v>203</v>
      </c>
      <c r="G1493" t="n">
        <v>1</v>
      </c>
      <c r="H1493" t="n">
        <v>2</v>
      </c>
      <c r="I1493" t="n">
        <v>0</v>
      </c>
      <c r="J1493" t="n">
        <v>0</v>
      </c>
    </row>
    <row r="1494">
      <c r="A1494" s="5" t="n">
        <v>46103</v>
      </c>
      <c r="B1494" t="inlineStr">
        <is>
          <t>linkedin_ceo_abm</t>
        </is>
      </c>
      <c r="C1494" t="inlineStr">
        <is>
          <t>linkedin</t>
        </is>
      </c>
      <c r="D1494" t="n">
        <v>28033</v>
      </c>
      <c r="E1494" t="n">
        <v>5390</v>
      </c>
      <c r="F1494" t="n">
        <v>33</v>
      </c>
      <c r="G1494" t="n">
        <v>2</v>
      </c>
      <c r="H1494" t="n">
        <v>1</v>
      </c>
      <c r="I1494" t="n">
        <v>2</v>
      </c>
      <c r="J1494" t="n">
        <v>0</v>
      </c>
    </row>
    <row r="1495">
      <c r="A1495" s="5" t="n">
        <v>46103</v>
      </c>
      <c r="B1495" t="inlineStr">
        <is>
          <t>meta_prospecting_founder</t>
        </is>
      </c>
      <c r="C1495" t="inlineStr">
        <is>
          <t>meta</t>
        </is>
      </c>
      <c r="D1495" t="n">
        <v>35506</v>
      </c>
      <c r="E1495" t="n">
        <v>25361</v>
      </c>
      <c r="F1495" t="n">
        <v>297</v>
      </c>
      <c r="G1495" t="n">
        <v>6</v>
      </c>
      <c r="H1495" t="n">
        <v>0</v>
      </c>
      <c r="I1495" t="n">
        <v>1</v>
      </c>
      <c r="J1495" t="n">
        <v>0</v>
      </c>
    </row>
    <row r="1496">
      <c r="A1496" s="5" t="n">
        <v>46103</v>
      </c>
      <c r="B1496" t="inlineStr">
        <is>
          <t>meta_retargeting_webinar</t>
        </is>
      </c>
      <c r="C1496" t="inlineStr">
        <is>
          <t>meta</t>
        </is>
      </c>
      <c r="D1496" t="n">
        <v>9857</v>
      </c>
      <c r="E1496" t="n">
        <v>7040</v>
      </c>
      <c r="F1496" t="n">
        <v>85</v>
      </c>
      <c r="G1496" t="n">
        <v>1</v>
      </c>
      <c r="H1496" t="n">
        <v>2</v>
      </c>
      <c r="I1496" t="n">
        <v>1</v>
      </c>
      <c r="J1496" t="n">
        <v>0</v>
      </c>
    </row>
    <row r="1497">
      <c r="A1497" s="5" t="n">
        <v>46104</v>
      </c>
      <c r="B1497" t="inlineStr">
        <is>
          <t>google_brand_search</t>
        </is>
      </c>
      <c r="C1497" t="inlineStr">
        <is>
          <t>google</t>
        </is>
      </c>
      <c r="D1497" t="n">
        <v>6945</v>
      </c>
      <c r="E1497" t="n">
        <v>1446</v>
      </c>
      <c r="F1497" t="n">
        <v>76</v>
      </c>
      <c r="G1497" t="n">
        <v>5</v>
      </c>
      <c r="H1497" t="n">
        <v>2</v>
      </c>
      <c r="I1497" t="n">
        <v>1</v>
      </c>
      <c r="J1497" t="n">
        <v>1</v>
      </c>
    </row>
    <row r="1498">
      <c r="A1498" s="5" t="n">
        <v>46104</v>
      </c>
      <c r="B1498" t="inlineStr">
        <is>
          <t>google_nonbrand_growth</t>
        </is>
      </c>
      <c r="C1498" t="inlineStr">
        <is>
          <t>google</t>
        </is>
      </c>
      <c r="D1498" t="n">
        <v>18568</v>
      </c>
      <c r="E1498" t="n">
        <v>3868</v>
      </c>
      <c r="F1498" t="n">
        <v>228</v>
      </c>
      <c r="G1498" t="n">
        <v>5</v>
      </c>
      <c r="H1498" t="n">
        <v>0</v>
      </c>
      <c r="I1498" t="n">
        <v>1</v>
      </c>
      <c r="J1498" t="n">
        <v>0</v>
      </c>
    </row>
    <row r="1499">
      <c r="A1499" s="5" t="n">
        <v>46104</v>
      </c>
      <c r="B1499" t="inlineStr">
        <is>
          <t>linkedin_ceo_abm</t>
        </is>
      </c>
      <c r="C1499" t="inlineStr">
        <is>
          <t>linkedin</t>
        </is>
      </c>
      <c r="D1499" t="n">
        <v>24325</v>
      </c>
      <c r="E1499" t="n">
        <v>4677</v>
      </c>
      <c r="F1499" t="n">
        <v>34</v>
      </c>
      <c r="G1499" t="n">
        <v>2</v>
      </c>
      <c r="H1499" t="n">
        <v>0</v>
      </c>
      <c r="I1499" t="n">
        <v>0</v>
      </c>
      <c r="J1499" t="n">
        <v>0</v>
      </c>
    </row>
    <row r="1500">
      <c r="A1500" s="5" t="n">
        <v>46104</v>
      </c>
      <c r="B1500" t="inlineStr">
        <is>
          <t>meta_prospecting_founder</t>
        </is>
      </c>
      <c r="C1500" t="inlineStr">
        <is>
          <t>meta</t>
        </is>
      </c>
      <c r="D1500" t="n">
        <v>32026</v>
      </c>
      <c r="E1500" t="n">
        <v>22875</v>
      </c>
      <c r="F1500" t="n">
        <v>217</v>
      </c>
      <c r="G1500" t="n">
        <v>6</v>
      </c>
      <c r="H1500" t="n">
        <v>4</v>
      </c>
      <c r="I1500" t="n">
        <v>0</v>
      </c>
      <c r="J1500" t="n">
        <v>2</v>
      </c>
    </row>
    <row r="1501">
      <c r="A1501" s="5" t="n">
        <v>46104</v>
      </c>
      <c r="B1501" t="inlineStr">
        <is>
          <t>meta_retargeting_webinar</t>
        </is>
      </c>
      <c r="C1501" t="inlineStr">
        <is>
          <t>meta</t>
        </is>
      </c>
      <c r="D1501" t="n">
        <v>8759</v>
      </c>
      <c r="E1501" t="n">
        <v>6256</v>
      </c>
      <c r="F1501" t="n">
        <v>73</v>
      </c>
      <c r="G1501" t="n">
        <v>2</v>
      </c>
      <c r="H1501" t="n">
        <v>1</v>
      </c>
      <c r="I1501" t="n">
        <v>0</v>
      </c>
      <c r="J1501" t="n">
        <v>0</v>
      </c>
    </row>
    <row r="1502">
      <c r="A1502" s="5" t="n">
        <v>46105</v>
      </c>
      <c r="B1502" t="inlineStr">
        <is>
          <t>google_brand_search</t>
        </is>
      </c>
      <c r="C1502" t="inlineStr">
        <is>
          <t>google</t>
        </is>
      </c>
      <c r="D1502" t="n">
        <v>7067</v>
      </c>
      <c r="E1502" t="n">
        <v>1472</v>
      </c>
      <c r="F1502" t="n">
        <v>69</v>
      </c>
      <c r="G1502" t="n">
        <v>5</v>
      </c>
      <c r="H1502" t="n">
        <v>2</v>
      </c>
      <c r="I1502" t="n">
        <v>0</v>
      </c>
      <c r="J1502" t="n">
        <v>0</v>
      </c>
    </row>
    <row r="1503">
      <c r="A1503" s="5" t="n">
        <v>46105</v>
      </c>
      <c r="B1503" t="inlineStr">
        <is>
          <t>google_nonbrand_growth</t>
        </is>
      </c>
      <c r="C1503" t="inlineStr">
        <is>
          <t>google</t>
        </is>
      </c>
      <c r="D1503" t="n">
        <v>17695</v>
      </c>
      <c r="E1503" t="n">
        <v>3686</v>
      </c>
      <c r="F1503" t="n">
        <v>216</v>
      </c>
      <c r="G1503" t="n">
        <v>3</v>
      </c>
      <c r="H1503" t="n">
        <v>1</v>
      </c>
      <c r="I1503" t="n">
        <v>1</v>
      </c>
      <c r="J1503" t="n">
        <v>0</v>
      </c>
    </row>
    <row r="1504">
      <c r="A1504" s="5" t="n">
        <v>46105</v>
      </c>
      <c r="B1504" t="inlineStr">
        <is>
          <t>linkedin_ceo_abm</t>
        </is>
      </c>
      <c r="C1504" t="inlineStr">
        <is>
          <t>linkedin</t>
        </is>
      </c>
      <c r="D1504" t="n">
        <v>23529</v>
      </c>
      <c r="E1504" t="n">
        <v>4524</v>
      </c>
      <c r="F1504" t="n">
        <v>28</v>
      </c>
      <c r="G1504" t="n">
        <v>1</v>
      </c>
      <c r="H1504" t="n">
        <v>1</v>
      </c>
      <c r="I1504" t="n">
        <v>0</v>
      </c>
      <c r="J1504" t="n">
        <v>0</v>
      </c>
    </row>
    <row r="1505">
      <c r="A1505" s="5" t="n">
        <v>46105</v>
      </c>
      <c r="B1505" t="inlineStr">
        <is>
          <t>meta_prospecting_founder</t>
        </is>
      </c>
      <c r="C1505" t="inlineStr">
        <is>
          <t>meta</t>
        </is>
      </c>
      <c r="D1505" t="n">
        <v>33960</v>
      </c>
      <c r="E1505" t="n">
        <v>24257</v>
      </c>
      <c r="F1505" t="n">
        <v>294</v>
      </c>
      <c r="G1505" t="n">
        <v>6</v>
      </c>
      <c r="H1505" t="n">
        <v>0</v>
      </c>
      <c r="I1505" t="n">
        <v>2</v>
      </c>
      <c r="J1505" t="n">
        <v>0</v>
      </c>
    </row>
    <row r="1506">
      <c r="A1506" s="5" t="n">
        <v>46105</v>
      </c>
      <c r="B1506" t="inlineStr">
        <is>
          <t>meta_retargeting_webinar</t>
        </is>
      </c>
      <c r="C1506" t="inlineStr">
        <is>
          <t>meta</t>
        </is>
      </c>
      <c r="D1506" t="n">
        <v>10013</v>
      </c>
      <c r="E1506" t="n">
        <v>7152</v>
      </c>
      <c r="F1506" t="n">
        <v>80</v>
      </c>
      <c r="G1506" t="n">
        <v>3</v>
      </c>
      <c r="H1506" t="n">
        <v>0</v>
      </c>
      <c r="I1506" t="n">
        <v>0</v>
      </c>
      <c r="J1506" t="n">
        <v>0</v>
      </c>
    </row>
    <row r="1507">
      <c r="A1507" s="5" t="n">
        <v>46106</v>
      </c>
      <c r="B1507" t="inlineStr">
        <is>
          <t>google_brand_search</t>
        </is>
      </c>
      <c r="C1507" t="inlineStr">
        <is>
          <t>google</t>
        </is>
      </c>
      <c r="D1507" t="n">
        <v>6746</v>
      </c>
      <c r="E1507" t="n">
        <v>1405</v>
      </c>
      <c r="F1507" t="n">
        <v>80</v>
      </c>
      <c r="G1507" t="n">
        <v>3</v>
      </c>
      <c r="H1507" t="n">
        <v>3</v>
      </c>
      <c r="I1507" t="n">
        <v>0</v>
      </c>
      <c r="J1507" t="n">
        <v>0</v>
      </c>
    </row>
    <row r="1508">
      <c r="A1508" s="5" t="n">
        <v>46106</v>
      </c>
      <c r="B1508" t="inlineStr">
        <is>
          <t>google_nonbrand_growth</t>
        </is>
      </c>
      <c r="C1508" t="inlineStr">
        <is>
          <t>google</t>
        </is>
      </c>
      <c r="D1508" t="n">
        <v>20491</v>
      </c>
      <c r="E1508" t="n">
        <v>4268</v>
      </c>
      <c r="F1508" t="n">
        <v>233</v>
      </c>
      <c r="G1508" t="n">
        <v>4</v>
      </c>
      <c r="H1508" t="n">
        <v>1</v>
      </c>
      <c r="I1508" t="n">
        <v>0</v>
      </c>
      <c r="J1508" t="n">
        <v>1</v>
      </c>
    </row>
    <row r="1509">
      <c r="A1509" s="5" t="n">
        <v>46106</v>
      </c>
      <c r="B1509" t="inlineStr">
        <is>
          <t>linkedin_ceo_abm</t>
        </is>
      </c>
      <c r="C1509" t="inlineStr">
        <is>
          <t>linkedin</t>
        </is>
      </c>
      <c r="D1509" t="n">
        <v>27579</v>
      </c>
      <c r="E1509" t="n">
        <v>5303</v>
      </c>
      <c r="F1509" t="n">
        <v>31</v>
      </c>
      <c r="G1509" t="n">
        <v>1</v>
      </c>
      <c r="H1509" t="n">
        <v>0</v>
      </c>
      <c r="I1509" t="n">
        <v>1</v>
      </c>
      <c r="J1509" t="n">
        <v>0</v>
      </c>
    </row>
    <row r="1510">
      <c r="A1510" s="5" t="n">
        <v>46106</v>
      </c>
      <c r="B1510" t="inlineStr">
        <is>
          <t>meta_prospecting_founder</t>
        </is>
      </c>
      <c r="C1510" t="inlineStr">
        <is>
          <t>meta</t>
        </is>
      </c>
      <c r="D1510" t="n">
        <v>29956</v>
      </c>
      <c r="E1510" t="n">
        <v>21397</v>
      </c>
      <c r="F1510" t="n">
        <v>254</v>
      </c>
      <c r="G1510" t="n">
        <v>9</v>
      </c>
      <c r="H1510" t="n">
        <v>3</v>
      </c>
      <c r="I1510" t="n">
        <v>1</v>
      </c>
      <c r="J1510" t="n">
        <v>0</v>
      </c>
    </row>
    <row r="1511">
      <c r="A1511" s="5" t="n">
        <v>46106</v>
      </c>
      <c r="B1511" t="inlineStr">
        <is>
          <t>meta_retargeting_webinar</t>
        </is>
      </c>
      <c r="C1511" t="inlineStr">
        <is>
          <t>meta</t>
        </is>
      </c>
      <c r="D1511" t="n">
        <v>9954</v>
      </c>
      <c r="E1511" t="n">
        <v>7110</v>
      </c>
      <c r="F1511" t="n">
        <v>73</v>
      </c>
      <c r="G1511" t="n">
        <v>3</v>
      </c>
      <c r="H1511" t="n">
        <v>1</v>
      </c>
      <c r="I1511" t="n">
        <v>0</v>
      </c>
      <c r="J1511" t="n">
        <v>1</v>
      </c>
    </row>
    <row r="1512">
      <c r="A1512" s="5" t="n">
        <v>46107</v>
      </c>
      <c r="B1512" t="inlineStr">
        <is>
          <t>google_brand_search</t>
        </is>
      </c>
      <c r="C1512" t="inlineStr">
        <is>
          <t>google</t>
        </is>
      </c>
      <c r="D1512" t="n">
        <v>6446</v>
      </c>
      <c r="E1512" t="n">
        <v>1342</v>
      </c>
      <c r="F1512" t="n">
        <v>70</v>
      </c>
      <c r="G1512" t="n">
        <v>0</v>
      </c>
      <c r="H1512" t="n">
        <v>3</v>
      </c>
      <c r="I1512" t="n">
        <v>1</v>
      </c>
      <c r="J1512" t="n">
        <v>0</v>
      </c>
    </row>
    <row r="1513">
      <c r="A1513" s="5" t="n">
        <v>46107</v>
      </c>
      <c r="B1513" t="inlineStr">
        <is>
          <t>google_nonbrand_growth</t>
        </is>
      </c>
      <c r="C1513" t="inlineStr">
        <is>
          <t>google</t>
        </is>
      </c>
      <c r="D1513" t="n">
        <v>19616</v>
      </c>
      <c r="E1513" t="n">
        <v>4086</v>
      </c>
      <c r="F1513" t="n">
        <v>198</v>
      </c>
      <c r="G1513" t="n">
        <v>4</v>
      </c>
      <c r="H1513" t="n">
        <v>2</v>
      </c>
      <c r="I1513" t="n">
        <v>0</v>
      </c>
      <c r="J1513" t="n">
        <v>0</v>
      </c>
    </row>
    <row r="1514">
      <c r="A1514" s="5" t="n">
        <v>46107</v>
      </c>
      <c r="B1514" t="inlineStr">
        <is>
          <t>linkedin_ceo_abm</t>
        </is>
      </c>
      <c r="C1514" t="inlineStr">
        <is>
          <t>linkedin</t>
        </is>
      </c>
      <c r="D1514" t="n">
        <v>24432</v>
      </c>
      <c r="E1514" t="n">
        <v>4698</v>
      </c>
      <c r="F1514" t="n">
        <v>30</v>
      </c>
      <c r="G1514" t="n">
        <v>2</v>
      </c>
      <c r="H1514" t="n">
        <v>1</v>
      </c>
      <c r="I1514" t="n">
        <v>0</v>
      </c>
      <c r="J1514" t="n">
        <v>0</v>
      </c>
    </row>
    <row r="1515">
      <c r="A1515" s="5" t="n">
        <v>46107</v>
      </c>
      <c r="B1515" t="inlineStr">
        <is>
          <t>meta_prospecting_founder</t>
        </is>
      </c>
      <c r="C1515" t="inlineStr">
        <is>
          <t>meta</t>
        </is>
      </c>
      <c r="D1515" t="n">
        <v>32988</v>
      </c>
      <c r="E1515" t="n">
        <v>23562</v>
      </c>
      <c r="F1515" t="n">
        <v>268</v>
      </c>
      <c r="G1515" t="n">
        <v>9</v>
      </c>
      <c r="H1515" t="n">
        <v>0</v>
      </c>
      <c r="I1515" t="n">
        <v>1</v>
      </c>
      <c r="J1515" t="n">
        <v>0</v>
      </c>
    </row>
    <row r="1516">
      <c r="A1516" s="5" t="n">
        <v>46107</v>
      </c>
      <c r="B1516" t="inlineStr">
        <is>
          <t>meta_retargeting_webinar</t>
        </is>
      </c>
      <c r="C1516" t="inlineStr">
        <is>
          <t>meta</t>
        </is>
      </c>
      <c r="D1516" t="n">
        <v>10145</v>
      </c>
      <c r="E1516" t="n">
        <v>7246</v>
      </c>
      <c r="F1516" t="n">
        <v>75</v>
      </c>
      <c r="G1516" t="n">
        <v>2</v>
      </c>
      <c r="H1516" t="n">
        <v>0</v>
      </c>
      <c r="I1516" t="n">
        <v>0</v>
      </c>
      <c r="J1516" t="n">
        <v>0</v>
      </c>
    </row>
    <row r="1517">
      <c r="A1517" s="5" t="n">
        <v>46108</v>
      </c>
      <c r="B1517" t="inlineStr">
        <is>
          <t>google_brand_search</t>
        </is>
      </c>
      <c r="C1517" t="inlineStr">
        <is>
          <t>google</t>
        </is>
      </c>
      <c r="D1517" t="n">
        <v>6473</v>
      </c>
      <c r="E1517" t="n">
        <v>1348</v>
      </c>
      <c r="F1517" t="n">
        <v>65</v>
      </c>
      <c r="G1517" t="n">
        <v>2</v>
      </c>
      <c r="H1517" t="n">
        <v>0</v>
      </c>
      <c r="I1517" t="n">
        <v>2</v>
      </c>
      <c r="J1517" t="n">
        <v>0</v>
      </c>
    </row>
    <row r="1518">
      <c r="A1518" s="5" t="n">
        <v>46108</v>
      </c>
      <c r="B1518" t="inlineStr">
        <is>
          <t>google_nonbrand_growth</t>
        </is>
      </c>
      <c r="C1518" t="inlineStr">
        <is>
          <t>google</t>
        </is>
      </c>
      <c r="D1518" t="n">
        <v>19336</v>
      </c>
      <c r="E1518" t="n">
        <v>4028</v>
      </c>
      <c r="F1518" t="n">
        <v>212</v>
      </c>
      <c r="G1518" t="n">
        <v>3</v>
      </c>
      <c r="H1518" t="n">
        <v>1</v>
      </c>
      <c r="I1518" t="n">
        <v>1</v>
      </c>
      <c r="J1518" t="n">
        <v>0</v>
      </c>
    </row>
    <row r="1519">
      <c r="A1519" s="5" t="n">
        <v>46108</v>
      </c>
      <c r="B1519" t="inlineStr">
        <is>
          <t>linkedin_ceo_abm</t>
        </is>
      </c>
      <c r="C1519" t="inlineStr">
        <is>
          <t>linkedin</t>
        </is>
      </c>
      <c r="D1519" t="n">
        <v>27493</v>
      </c>
      <c r="E1519" t="n">
        <v>5287</v>
      </c>
      <c r="F1519" t="n">
        <v>36</v>
      </c>
      <c r="G1519" t="n">
        <v>1</v>
      </c>
      <c r="H1519" t="n">
        <v>1</v>
      </c>
      <c r="I1519" t="n">
        <v>0</v>
      </c>
      <c r="J1519" t="n">
        <v>0</v>
      </c>
    </row>
    <row r="1520">
      <c r="A1520" s="5" t="n">
        <v>46108</v>
      </c>
      <c r="B1520" t="inlineStr">
        <is>
          <t>meta_prospecting_founder</t>
        </is>
      </c>
      <c r="C1520" t="inlineStr">
        <is>
          <t>meta</t>
        </is>
      </c>
      <c r="D1520" t="n">
        <v>35428</v>
      </c>
      <c r="E1520" t="n">
        <v>25305</v>
      </c>
      <c r="F1520" t="n">
        <v>274</v>
      </c>
      <c r="G1520" t="n">
        <v>11</v>
      </c>
      <c r="H1520" t="n">
        <v>2</v>
      </c>
      <c r="I1520" t="n">
        <v>0</v>
      </c>
      <c r="J1520" t="n">
        <v>1</v>
      </c>
    </row>
    <row r="1521">
      <c r="A1521" s="5" t="n">
        <v>46108</v>
      </c>
      <c r="B1521" t="inlineStr">
        <is>
          <t>meta_retargeting_webinar</t>
        </is>
      </c>
      <c r="C1521" t="inlineStr">
        <is>
          <t>meta</t>
        </is>
      </c>
      <c r="D1521" t="n">
        <v>8796</v>
      </c>
      <c r="E1521" t="n">
        <v>6282</v>
      </c>
      <c r="F1521" t="n">
        <v>61</v>
      </c>
      <c r="G1521" t="n">
        <v>4</v>
      </c>
      <c r="H1521" t="n">
        <v>1</v>
      </c>
      <c r="I1521" t="n">
        <v>0</v>
      </c>
      <c r="J1521" t="n">
        <v>0</v>
      </c>
    </row>
    <row r="1522">
      <c r="A1522" s="5" t="n">
        <v>46109</v>
      </c>
      <c r="B1522" t="inlineStr">
        <is>
          <t>google_brand_search</t>
        </is>
      </c>
      <c r="C1522" t="inlineStr">
        <is>
          <t>google</t>
        </is>
      </c>
      <c r="D1522" t="n">
        <v>6569</v>
      </c>
      <c r="E1522" t="n">
        <v>1368</v>
      </c>
      <c r="F1522" t="n">
        <v>63</v>
      </c>
      <c r="G1522" t="n">
        <v>4</v>
      </c>
      <c r="H1522" t="n">
        <v>1</v>
      </c>
      <c r="I1522" t="n">
        <v>0</v>
      </c>
      <c r="J1522" t="n">
        <v>0</v>
      </c>
    </row>
    <row r="1523">
      <c r="A1523" s="5" t="n">
        <v>46109</v>
      </c>
      <c r="B1523" t="inlineStr">
        <is>
          <t>google_nonbrand_growth</t>
        </is>
      </c>
      <c r="C1523" t="inlineStr">
        <is>
          <t>google</t>
        </is>
      </c>
      <c r="D1523" t="n">
        <v>17987</v>
      </c>
      <c r="E1523" t="n">
        <v>3747</v>
      </c>
      <c r="F1523" t="n">
        <v>195</v>
      </c>
      <c r="G1523" t="n">
        <v>1</v>
      </c>
      <c r="H1523" t="n">
        <v>1</v>
      </c>
      <c r="I1523" t="n">
        <v>0</v>
      </c>
      <c r="J1523" t="n">
        <v>0</v>
      </c>
    </row>
    <row r="1524">
      <c r="A1524" s="5" t="n">
        <v>46109</v>
      </c>
      <c r="B1524" t="inlineStr">
        <is>
          <t>linkedin_ceo_abm</t>
        </is>
      </c>
      <c r="C1524" t="inlineStr">
        <is>
          <t>linkedin</t>
        </is>
      </c>
      <c r="D1524" t="n">
        <v>22915</v>
      </c>
      <c r="E1524" t="n">
        <v>4406</v>
      </c>
      <c r="F1524" t="n">
        <v>29</v>
      </c>
      <c r="G1524" t="n">
        <v>1</v>
      </c>
      <c r="H1524" t="n">
        <v>0</v>
      </c>
      <c r="I1524" t="n">
        <v>1</v>
      </c>
      <c r="J1524" t="n">
        <v>1</v>
      </c>
    </row>
    <row r="1525">
      <c r="A1525" s="5" t="n">
        <v>46109</v>
      </c>
      <c r="B1525" t="inlineStr">
        <is>
          <t>meta_prospecting_founder</t>
        </is>
      </c>
      <c r="C1525" t="inlineStr">
        <is>
          <t>meta</t>
        </is>
      </c>
      <c r="D1525" t="n">
        <v>32538</v>
      </c>
      <c r="E1525" t="n">
        <v>23241</v>
      </c>
      <c r="F1525" t="n">
        <v>270</v>
      </c>
      <c r="G1525" t="n">
        <v>2</v>
      </c>
      <c r="H1525" t="n">
        <v>0</v>
      </c>
      <c r="I1525" t="n">
        <v>0</v>
      </c>
      <c r="J1525" t="n">
        <v>0</v>
      </c>
    </row>
    <row r="1526">
      <c r="A1526" s="5" t="n">
        <v>46109</v>
      </c>
      <c r="B1526" t="inlineStr">
        <is>
          <t>meta_retargeting_webinar</t>
        </is>
      </c>
      <c r="C1526" t="inlineStr">
        <is>
          <t>meta</t>
        </is>
      </c>
      <c r="D1526" t="n">
        <v>8365</v>
      </c>
      <c r="E1526" t="n">
        <v>5975</v>
      </c>
      <c r="F1526" t="n">
        <v>56</v>
      </c>
      <c r="G1526" t="n">
        <v>1</v>
      </c>
      <c r="H1526" t="n">
        <v>0</v>
      </c>
      <c r="I1526" t="n">
        <v>0</v>
      </c>
      <c r="J1526" t="n">
        <v>0</v>
      </c>
    </row>
    <row r="1527">
      <c r="A1527" s="5" t="n">
        <v>46110</v>
      </c>
      <c r="B1527" t="inlineStr">
        <is>
          <t>google_brand_search</t>
        </is>
      </c>
      <c r="C1527" t="inlineStr">
        <is>
          <t>google</t>
        </is>
      </c>
      <c r="D1527" t="n">
        <v>7276</v>
      </c>
      <c r="E1527" t="n">
        <v>1515</v>
      </c>
      <c r="F1527" t="n">
        <v>71</v>
      </c>
      <c r="G1527" t="n">
        <v>3</v>
      </c>
      <c r="H1527" t="n">
        <v>1</v>
      </c>
      <c r="I1527" t="n">
        <v>3</v>
      </c>
      <c r="J1527" t="n">
        <v>2</v>
      </c>
    </row>
    <row r="1528">
      <c r="A1528" s="5" t="n">
        <v>46110</v>
      </c>
      <c r="B1528" t="inlineStr">
        <is>
          <t>google_nonbrand_growth</t>
        </is>
      </c>
      <c r="C1528" t="inlineStr">
        <is>
          <t>google</t>
        </is>
      </c>
      <c r="D1528" t="n">
        <v>18973</v>
      </c>
      <c r="E1528" t="n">
        <v>3952</v>
      </c>
      <c r="F1528" t="n">
        <v>178</v>
      </c>
      <c r="G1528" t="n">
        <v>2</v>
      </c>
      <c r="H1528" t="n">
        <v>0</v>
      </c>
      <c r="I1528" t="n">
        <v>0</v>
      </c>
      <c r="J1528" t="n">
        <v>0</v>
      </c>
    </row>
    <row r="1529">
      <c r="A1529" s="5" t="n">
        <v>46110</v>
      </c>
      <c r="B1529" t="inlineStr">
        <is>
          <t>linkedin_ceo_abm</t>
        </is>
      </c>
      <c r="C1529" t="inlineStr">
        <is>
          <t>linkedin</t>
        </is>
      </c>
      <c r="D1529" t="n">
        <v>26966</v>
      </c>
      <c r="E1529" t="n">
        <v>5185</v>
      </c>
      <c r="F1529" t="n">
        <v>36</v>
      </c>
      <c r="G1529" t="n">
        <v>1</v>
      </c>
      <c r="H1529" t="n">
        <v>2</v>
      </c>
      <c r="I1529" t="n">
        <v>0</v>
      </c>
      <c r="J1529" t="n">
        <v>0</v>
      </c>
    </row>
    <row r="1530">
      <c r="A1530" s="5" t="n">
        <v>46110</v>
      </c>
      <c r="B1530" t="inlineStr">
        <is>
          <t>meta_prospecting_founder</t>
        </is>
      </c>
      <c r="C1530" t="inlineStr">
        <is>
          <t>meta</t>
        </is>
      </c>
      <c r="D1530" t="n">
        <v>33483</v>
      </c>
      <c r="E1530" t="n">
        <v>23916</v>
      </c>
      <c r="F1530" t="n">
        <v>249</v>
      </c>
      <c r="G1530" t="n">
        <v>2</v>
      </c>
      <c r="H1530" t="n">
        <v>1</v>
      </c>
      <c r="I1530" t="n">
        <v>1</v>
      </c>
      <c r="J1530" t="n">
        <v>0</v>
      </c>
    </row>
    <row r="1531">
      <c r="A1531" s="5" t="n">
        <v>46110</v>
      </c>
      <c r="B1531" t="inlineStr">
        <is>
          <t>meta_retargeting_webinar</t>
        </is>
      </c>
      <c r="C1531" t="inlineStr">
        <is>
          <t>meta</t>
        </is>
      </c>
      <c r="D1531" t="n">
        <v>8518</v>
      </c>
      <c r="E1531" t="n">
        <v>6084</v>
      </c>
      <c r="F1531" t="n">
        <v>62</v>
      </c>
      <c r="G1531" t="n">
        <v>5</v>
      </c>
      <c r="H1531" t="n">
        <v>0</v>
      </c>
      <c r="I1531" t="n">
        <v>2</v>
      </c>
      <c r="J1531" t="n">
        <v>0</v>
      </c>
    </row>
    <row r="1532">
      <c r="A1532" s="5" t="n">
        <v>46111</v>
      </c>
      <c r="B1532" t="inlineStr">
        <is>
          <t>google_brand_search</t>
        </is>
      </c>
      <c r="C1532" t="inlineStr">
        <is>
          <t>google</t>
        </is>
      </c>
      <c r="D1532" t="n">
        <v>6535</v>
      </c>
      <c r="E1532" t="n">
        <v>1361</v>
      </c>
      <c r="F1532" t="n">
        <v>76</v>
      </c>
      <c r="G1532" t="n">
        <v>3</v>
      </c>
      <c r="H1532" t="n">
        <v>3</v>
      </c>
      <c r="I1532" t="n">
        <v>0</v>
      </c>
      <c r="J1532" t="n">
        <v>0</v>
      </c>
    </row>
    <row r="1533">
      <c r="A1533" s="5" t="n">
        <v>46111</v>
      </c>
      <c r="B1533" t="inlineStr">
        <is>
          <t>google_nonbrand_growth</t>
        </is>
      </c>
      <c r="C1533" t="inlineStr">
        <is>
          <t>google</t>
        </is>
      </c>
      <c r="D1533" t="n">
        <v>19493</v>
      </c>
      <c r="E1533" t="n">
        <v>4061</v>
      </c>
      <c r="F1533" t="n">
        <v>234</v>
      </c>
      <c r="G1533" t="n">
        <v>4</v>
      </c>
      <c r="H1533" t="n">
        <v>1</v>
      </c>
      <c r="I1533" t="n">
        <v>2</v>
      </c>
      <c r="J1533" t="n">
        <v>0</v>
      </c>
    </row>
    <row r="1534">
      <c r="A1534" s="5" t="n">
        <v>46111</v>
      </c>
      <c r="B1534" t="inlineStr">
        <is>
          <t>linkedin_ceo_abm</t>
        </is>
      </c>
      <c r="C1534" t="inlineStr">
        <is>
          <t>linkedin</t>
        </is>
      </c>
      <c r="D1534" t="n">
        <v>24528</v>
      </c>
      <c r="E1534" t="n">
        <v>4716</v>
      </c>
      <c r="F1534" t="n">
        <v>28</v>
      </c>
      <c r="G1534" t="n">
        <v>2</v>
      </c>
      <c r="H1534" t="n">
        <v>0</v>
      </c>
      <c r="I1534" t="n">
        <v>1</v>
      </c>
      <c r="J1534" t="n">
        <v>1</v>
      </c>
    </row>
    <row r="1535">
      <c r="A1535" s="5" t="n">
        <v>46111</v>
      </c>
      <c r="B1535" t="inlineStr">
        <is>
          <t>meta_prospecting_founder</t>
        </is>
      </c>
      <c r="C1535" t="inlineStr">
        <is>
          <t>meta</t>
        </is>
      </c>
      <c r="D1535" t="n">
        <v>32194</v>
      </c>
      <c r="E1535" t="n">
        <v>22995</v>
      </c>
      <c r="F1535" t="n">
        <v>268</v>
      </c>
      <c r="G1535" t="n">
        <v>10</v>
      </c>
      <c r="H1535" t="n">
        <v>3</v>
      </c>
      <c r="I1535" t="n">
        <v>0</v>
      </c>
      <c r="J1535" t="n">
        <v>0</v>
      </c>
    </row>
    <row r="1536">
      <c r="A1536" s="5" t="n">
        <v>46111</v>
      </c>
      <c r="B1536" t="inlineStr">
        <is>
          <t>meta_retargeting_webinar</t>
        </is>
      </c>
      <c r="C1536" t="inlineStr">
        <is>
          <t>meta</t>
        </is>
      </c>
      <c r="D1536" t="n">
        <v>9560</v>
      </c>
      <c r="E1536" t="n">
        <v>6828</v>
      </c>
      <c r="F1536" t="n">
        <v>79</v>
      </c>
      <c r="G1536" t="n">
        <v>5</v>
      </c>
      <c r="H1536" t="n">
        <v>1</v>
      </c>
      <c r="I1536" t="n">
        <v>0</v>
      </c>
      <c r="J1536" t="n">
        <v>0</v>
      </c>
    </row>
    <row r="1537">
      <c r="A1537" s="5" t="n">
        <v>46112</v>
      </c>
      <c r="B1537" t="inlineStr">
        <is>
          <t>google_brand_search</t>
        </is>
      </c>
      <c r="C1537" t="inlineStr">
        <is>
          <t>google</t>
        </is>
      </c>
      <c r="D1537" t="n">
        <v>6977</v>
      </c>
      <c r="E1537" t="n">
        <v>1453</v>
      </c>
      <c r="F1537" t="n">
        <v>78</v>
      </c>
      <c r="G1537" t="n">
        <v>1</v>
      </c>
      <c r="H1537" t="n">
        <v>2</v>
      </c>
      <c r="I1537" t="n">
        <v>0</v>
      </c>
      <c r="J1537" t="n">
        <v>0</v>
      </c>
    </row>
    <row r="1538">
      <c r="A1538" s="5" t="n">
        <v>46112</v>
      </c>
      <c r="B1538" t="inlineStr">
        <is>
          <t>google_nonbrand_growth</t>
        </is>
      </c>
      <c r="C1538" t="inlineStr">
        <is>
          <t>google</t>
        </is>
      </c>
      <c r="D1538" t="n">
        <v>20167</v>
      </c>
      <c r="E1538" t="n">
        <v>4201</v>
      </c>
      <c r="F1538" t="n">
        <v>227</v>
      </c>
      <c r="G1538" t="n">
        <v>0</v>
      </c>
      <c r="H1538" t="n">
        <v>0</v>
      </c>
      <c r="I1538" t="n">
        <v>0</v>
      </c>
      <c r="J1538" t="n">
        <v>0</v>
      </c>
    </row>
    <row r="1539">
      <c r="A1539" s="5" t="n">
        <v>46112</v>
      </c>
      <c r="B1539" t="inlineStr">
        <is>
          <t>linkedin_ceo_abm</t>
        </is>
      </c>
      <c r="C1539" t="inlineStr">
        <is>
          <t>linkedin</t>
        </is>
      </c>
      <c r="D1539" t="n">
        <v>26762</v>
      </c>
      <c r="E1539" t="n">
        <v>5146</v>
      </c>
      <c r="F1539" t="n">
        <v>36</v>
      </c>
      <c r="G1539" t="n">
        <v>3</v>
      </c>
      <c r="H1539" t="n">
        <v>2</v>
      </c>
      <c r="I1539" t="n">
        <v>1</v>
      </c>
      <c r="J1539" t="n">
        <v>0</v>
      </c>
    </row>
    <row r="1540">
      <c r="A1540" s="5" t="n">
        <v>46112</v>
      </c>
      <c r="B1540" t="inlineStr">
        <is>
          <t>meta_prospecting_founder</t>
        </is>
      </c>
      <c r="C1540" t="inlineStr">
        <is>
          <t>meta</t>
        </is>
      </c>
      <c r="D1540" t="n">
        <v>34716</v>
      </c>
      <c r="E1540" t="n">
        <v>24797</v>
      </c>
      <c r="F1540" t="n">
        <v>239</v>
      </c>
      <c r="G1540" t="n">
        <v>10</v>
      </c>
      <c r="H1540" t="n">
        <v>1</v>
      </c>
      <c r="I1540" t="n">
        <v>1</v>
      </c>
      <c r="J1540" t="n">
        <v>1</v>
      </c>
    </row>
    <row r="1541">
      <c r="A1541" s="5" t="n">
        <v>46112</v>
      </c>
      <c r="B1541" t="inlineStr">
        <is>
          <t>meta_retargeting_webinar</t>
        </is>
      </c>
      <c r="C1541" t="inlineStr">
        <is>
          <t>meta</t>
        </is>
      </c>
      <c r="D1541" t="n">
        <v>10112</v>
      </c>
      <c r="E1541" t="n">
        <v>7222</v>
      </c>
      <c r="F1541" t="n">
        <v>82</v>
      </c>
      <c r="G1541" t="n">
        <v>2</v>
      </c>
      <c r="H1541" t="n">
        <v>1</v>
      </c>
      <c r="I1541" t="n">
        <v>0</v>
      </c>
      <c r="J1541" t="n">
        <v>0</v>
      </c>
    </row>
    <row r="1542">
      <c r="A1542" s="5" t="n">
        <v>46113</v>
      </c>
      <c r="B1542" t="inlineStr">
        <is>
          <t>google_brand_search</t>
        </is>
      </c>
      <c r="C1542" t="inlineStr">
        <is>
          <t>google</t>
        </is>
      </c>
      <c r="D1542" t="n">
        <v>7113</v>
      </c>
      <c r="E1542" t="n">
        <v>1481</v>
      </c>
      <c r="F1542" t="n">
        <v>81</v>
      </c>
      <c r="G1542" t="n">
        <v>3</v>
      </c>
      <c r="H1542" t="n">
        <v>0</v>
      </c>
      <c r="I1542" t="n">
        <v>0</v>
      </c>
      <c r="J1542" t="n">
        <v>0</v>
      </c>
    </row>
    <row r="1543">
      <c r="A1543" s="5" t="n">
        <v>46113</v>
      </c>
      <c r="B1543" t="inlineStr">
        <is>
          <t>google_nonbrand_growth</t>
        </is>
      </c>
      <c r="C1543" t="inlineStr">
        <is>
          <t>google</t>
        </is>
      </c>
      <c r="D1543" t="n">
        <v>20839</v>
      </c>
      <c r="E1543" t="n">
        <v>4341</v>
      </c>
      <c r="F1543" t="n">
        <v>251</v>
      </c>
      <c r="G1543" t="n">
        <v>2</v>
      </c>
      <c r="H1543" t="n">
        <v>0</v>
      </c>
      <c r="I1543" t="n">
        <v>0</v>
      </c>
      <c r="J1543" t="n">
        <v>0</v>
      </c>
    </row>
    <row r="1544">
      <c r="A1544" s="5" t="n">
        <v>46113</v>
      </c>
      <c r="B1544" t="inlineStr">
        <is>
          <t>linkedin_ceo_abm</t>
        </is>
      </c>
      <c r="C1544" t="inlineStr">
        <is>
          <t>linkedin</t>
        </is>
      </c>
      <c r="D1544" t="n">
        <v>26171</v>
      </c>
      <c r="E1544" t="n">
        <v>5032</v>
      </c>
      <c r="F1544" t="n">
        <v>29</v>
      </c>
      <c r="G1544" t="n">
        <v>2</v>
      </c>
      <c r="H1544" t="n">
        <v>1</v>
      </c>
      <c r="I1544" t="n">
        <v>1</v>
      </c>
      <c r="J1544" t="n">
        <v>0</v>
      </c>
    </row>
    <row r="1545">
      <c r="A1545" s="5" t="n">
        <v>46113</v>
      </c>
      <c r="B1545" t="inlineStr">
        <is>
          <t>meta_prospecting_founder</t>
        </is>
      </c>
      <c r="C1545" t="inlineStr">
        <is>
          <t>meta</t>
        </is>
      </c>
      <c r="D1545" t="n">
        <v>37406</v>
      </c>
      <c r="E1545" t="n">
        <v>26718</v>
      </c>
      <c r="F1545" t="n">
        <v>307</v>
      </c>
      <c r="G1545" t="n">
        <v>12</v>
      </c>
      <c r="H1545" t="n">
        <v>2</v>
      </c>
      <c r="I1545" t="n">
        <v>1</v>
      </c>
      <c r="J1545" t="n">
        <v>0</v>
      </c>
    </row>
    <row r="1546">
      <c r="A1546" s="5" t="n">
        <v>46113</v>
      </c>
      <c r="B1546" t="inlineStr">
        <is>
          <t>meta_retargeting_webinar</t>
        </is>
      </c>
      <c r="C1546" t="inlineStr">
        <is>
          <t>meta</t>
        </is>
      </c>
      <c r="D1546" t="n">
        <v>9065</v>
      </c>
      <c r="E1546" t="n">
        <v>6475</v>
      </c>
      <c r="F1546" t="n">
        <v>68</v>
      </c>
      <c r="G1546" t="n">
        <v>3</v>
      </c>
      <c r="H1546" t="n">
        <v>2</v>
      </c>
      <c r="I1546" t="n">
        <v>0</v>
      </c>
      <c r="J1546" t="n">
        <v>0</v>
      </c>
    </row>
    <row r="1547">
      <c r="A1547" s="5" t="n">
        <v>46114</v>
      </c>
      <c r="B1547" t="inlineStr">
        <is>
          <t>google_brand_search</t>
        </is>
      </c>
      <c r="C1547" t="inlineStr">
        <is>
          <t>google</t>
        </is>
      </c>
      <c r="D1547" t="n">
        <v>7207</v>
      </c>
      <c r="E1547" t="n">
        <v>1501</v>
      </c>
      <c r="F1547" t="n">
        <v>78</v>
      </c>
      <c r="G1547" t="n">
        <v>4</v>
      </c>
      <c r="H1547" t="n">
        <v>2</v>
      </c>
      <c r="I1547" t="n">
        <v>0</v>
      </c>
      <c r="J1547" t="n">
        <v>0</v>
      </c>
    </row>
    <row r="1548">
      <c r="A1548" s="5" t="n">
        <v>46114</v>
      </c>
      <c r="B1548" t="inlineStr">
        <is>
          <t>google_nonbrand_growth</t>
        </is>
      </c>
      <c r="C1548" t="inlineStr">
        <is>
          <t>google</t>
        </is>
      </c>
      <c r="D1548" t="n">
        <v>19349</v>
      </c>
      <c r="E1548" t="n">
        <v>4031</v>
      </c>
      <c r="F1548" t="n">
        <v>233</v>
      </c>
      <c r="G1548" t="n">
        <v>3</v>
      </c>
      <c r="H1548" t="n">
        <v>1</v>
      </c>
      <c r="I1548" t="n">
        <v>0</v>
      </c>
      <c r="J1548" t="n">
        <v>0</v>
      </c>
    </row>
    <row r="1549">
      <c r="A1549" s="5" t="n">
        <v>46114</v>
      </c>
      <c r="B1549" t="inlineStr">
        <is>
          <t>linkedin_ceo_abm</t>
        </is>
      </c>
      <c r="C1549" t="inlineStr">
        <is>
          <t>linkedin</t>
        </is>
      </c>
      <c r="D1549" t="n">
        <v>26252</v>
      </c>
      <c r="E1549" t="n">
        <v>5048</v>
      </c>
      <c r="F1549" t="n">
        <v>31</v>
      </c>
      <c r="G1549" t="n">
        <v>3</v>
      </c>
      <c r="H1549" t="n">
        <v>3</v>
      </c>
      <c r="I1549" t="n">
        <v>0</v>
      </c>
      <c r="J1549" t="n">
        <v>0</v>
      </c>
    </row>
    <row r="1550">
      <c r="A1550" s="5" t="n">
        <v>46114</v>
      </c>
      <c r="B1550" t="inlineStr">
        <is>
          <t>meta_prospecting_founder</t>
        </is>
      </c>
      <c r="C1550" t="inlineStr">
        <is>
          <t>meta</t>
        </is>
      </c>
      <c r="D1550" t="n">
        <v>40974</v>
      </c>
      <c r="E1550" t="n">
        <v>29267</v>
      </c>
      <c r="F1550" t="n">
        <v>340</v>
      </c>
      <c r="G1550" t="n">
        <v>8</v>
      </c>
      <c r="H1550" t="n">
        <v>1</v>
      </c>
      <c r="I1550" t="n">
        <v>1</v>
      </c>
      <c r="J1550" t="n">
        <v>0</v>
      </c>
    </row>
    <row r="1551">
      <c r="A1551" s="5" t="n">
        <v>46114</v>
      </c>
      <c r="B1551" t="inlineStr">
        <is>
          <t>meta_retargeting_webinar</t>
        </is>
      </c>
      <c r="C1551" t="inlineStr">
        <is>
          <t>meta</t>
        </is>
      </c>
      <c r="D1551" t="n">
        <v>8630</v>
      </c>
      <c r="E1551" t="n">
        <v>6164</v>
      </c>
      <c r="F1551" t="n">
        <v>71</v>
      </c>
      <c r="G1551" t="n">
        <v>2</v>
      </c>
      <c r="H1551" t="n">
        <v>0</v>
      </c>
      <c r="I1551" t="n">
        <v>1</v>
      </c>
      <c r="J1551" t="n">
        <v>0</v>
      </c>
    </row>
    <row r="1552">
      <c r="A1552" s="5" t="n">
        <v>46115</v>
      </c>
      <c r="B1552" t="inlineStr">
        <is>
          <t>google_brand_search</t>
        </is>
      </c>
      <c r="C1552" t="inlineStr">
        <is>
          <t>google</t>
        </is>
      </c>
      <c r="D1552" t="n">
        <v>6164</v>
      </c>
      <c r="E1552" t="n">
        <v>1284</v>
      </c>
      <c r="F1552" t="n">
        <v>75</v>
      </c>
      <c r="G1552" t="n">
        <v>3</v>
      </c>
      <c r="H1552" t="n">
        <v>1</v>
      </c>
      <c r="I1552" t="n">
        <v>0</v>
      </c>
      <c r="J1552" t="n">
        <v>0</v>
      </c>
    </row>
    <row r="1553">
      <c r="A1553" s="5" t="n">
        <v>46115</v>
      </c>
      <c r="B1553" t="inlineStr">
        <is>
          <t>google_nonbrand_growth</t>
        </is>
      </c>
      <c r="C1553" t="inlineStr">
        <is>
          <t>google</t>
        </is>
      </c>
      <c r="D1553" t="n">
        <v>17968</v>
      </c>
      <c r="E1553" t="n">
        <v>3743</v>
      </c>
      <c r="F1553" t="n">
        <v>203</v>
      </c>
      <c r="G1553" t="n">
        <v>4</v>
      </c>
      <c r="H1553" t="n">
        <v>0</v>
      </c>
      <c r="I1553" t="n">
        <v>1</v>
      </c>
      <c r="J1553" t="n">
        <v>0</v>
      </c>
    </row>
    <row r="1554">
      <c r="A1554" s="5" t="n">
        <v>46115</v>
      </c>
      <c r="B1554" t="inlineStr">
        <is>
          <t>linkedin_ceo_abm</t>
        </is>
      </c>
      <c r="C1554" t="inlineStr">
        <is>
          <t>linkedin</t>
        </is>
      </c>
      <c r="D1554" t="n">
        <v>23444</v>
      </c>
      <c r="E1554" t="n">
        <v>4508</v>
      </c>
      <c r="F1554" t="n">
        <v>26</v>
      </c>
      <c r="G1554" t="n">
        <v>1</v>
      </c>
      <c r="H1554" t="n">
        <v>1</v>
      </c>
      <c r="I1554" t="n">
        <v>3</v>
      </c>
      <c r="J1554" t="n">
        <v>1</v>
      </c>
    </row>
    <row r="1555">
      <c r="A1555" s="5" t="n">
        <v>46115</v>
      </c>
      <c r="B1555" t="inlineStr">
        <is>
          <t>meta_prospecting_founder</t>
        </is>
      </c>
      <c r="C1555" t="inlineStr">
        <is>
          <t>meta</t>
        </is>
      </c>
      <c r="D1555" t="n">
        <v>37231</v>
      </c>
      <c r="E1555" t="n">
        <v>26593</v>
      </c>
      <c r="F1555" t="n">
        <v>287</v>
      </c>
      <c r="G1555" t="n">
        <v>10</v>
      </c>
      <c r="H1555" t="n">
        <v>3</v>
      </c>
      <c r="I1555" t="n">
        <v>1</v>
      </c>
      <c r="J1555" t="n">
        <v>0</v>
      </c>
    </row>
    <row r="1556">
      <c r="A1556" s="5" t="n">
        <v>46115</v>
      </c>
      <c r="B1556" t="inlineStr">
        <is>
          <t>meta_retargeting_webinar</t>
        </is>
      </c>
      <c r="C1556" t="inlineStr">
        <is>
          <t>meta</t>
        </is>
      </c>
      <c r="D1556" t="n">
        <v>9800</v>
      </c>
      <c r="E1556" t="n">
        <v>7000</v>
      </c>
      <c r="F1556" t="n">
        <v>74</v>
      </c>
      <c r="G1556" t="n">
        <v>5</v>
      </c>
      <c r="H1556" t="n">
        <v>1</v>
      </c>
      <c r="I1556" t="n">
        <v>0</v>
      </c>
      <c r="J1556" t="n">
        <v>0</v>
      </c>
    </row>
    <row r="1557">
      <c r="A1557" s="5" t="n">
        <v>46116</v>
      </c>
      <c r="B1557" t="inlineStr">
        <is>
          <t>google_brand_search</t>
        </is>
      </c>
      <c r="C1557" t="inlineStr">
        <is>
          <t>google</t>
        </is>
      </c>
      <c r="D1557" t="n">
        <v>7146</v>
      </c>
      <c r="E1557" t="n">
        <v>1488</v>
      </c>
      <c r="F1557" t="n">
        <v>77</v>
      </c>
      <c r="G1557" t="n">
        <v>1</v>
      </c>
      <c r="H1557" t="n">
        <v>2</v>
      </c>
      <c r="I1557" t="n">
        <v>1</v>
      </c>
      <c r="J1557" t="n">
        <v>0</v>
      </c>
    </row>
    <row r="1558">
      <c r="A1558" s="5" t="n">
        <v>46116</v>
      </c>
      <c r="B1558" t="inlineStr">
        <is>
          <t>google_nonbrand_growth</t>
        </is>
      </c>
      <c r="C1558" t="inlineStr">
        <is>
          <t>google</t>
        </is>
      </c>
      <c r="D1558" t="n">
        <v>20536</v>
      </c>
      <c r="E1558" t="n">
        <v>4278</v>
      </c>
      <c r="F1558" t="n">
        <v>253</v>
      </c>
      <c r="G1558" t="n">
        <v>1</v>
      </c>
      <c r="H1558" t="n">
        <v>1</v>
      </c>
      <c r="I1558" t="n">
        <v>0</v>
      </c>
      <c r="J1558" t="n">
        <v>0</v>
      </c>
    </row>
    <row r="1559">
      <c r="A1559" s="5" t="n">
        <v>46116</v>
      </c>
      <c r="B1559" t="inlineStr">
        <is>
          <t>linkedin_ceo_abm</t>
        </is>
      </c>
      <c r="C1559" t="inlineStr">
        <is>
          <t>linkedin</t>
        </is>
      </c>
      <c r="D1559" t="n">
        <v>26416</v>
      </c>
      <c r="E1559" t="n">
        <v>5080</v>
      </c>
      <c r="F1559" t="n">
        <v>32</v>
      </c>
      <c r="G1559" t="n">
        <v>2</v>
      </c>
      <c r="H1559" t="n">
        <v>1</v>
      </c>
      <c r="I1559" t="n">
        <v>0</v>
      </c>
      <c r="J1559" t="n">
        <v>0</v>
      </c>
    </row>
    <row r="1560">
      <c r="A1560" s="5" t="n">
        <v>46116</v>
      </c>
      <c r="B1560" t="inlineStr">
        <is>
          <t>meta_prospecting_founder</t>
        </is>
      </c>
      <c r="C1560" t="inlineStr">
        <is>
          <t>meta</t>
        </is>
      </c>
      <c r="D1560" t="n">
        <v>41593</v>
      </c>
      <c r="E1560" t="n">
        <v>29709</v>
      </c>
      <c r="F1560" t="n">
        <v>284</v>
      </c>
      <c r="G1560" t="n">
        <v>7</v>
      </c>
      <c r="H1560" t="n">
        <v>2</v>
      </c>
      <c r="I1560" t="n">
        <v>0</v>
      </c>
      <c r="J1560" t="n">
        <v>0</v>
      </c>
    </row>
    <row r="1561">
      <c r="A1561" s="5" t="n">
        <v>46116</v>
      </c>
      <c r="B1561" t="inlineStr">
        <is>
          <t>meta_retargeting_webinar</t>
        </is>
      </c>
      <c r="C1561" t="inlineStr">
        <is>
          <t>meta</t>
        </is>
      </c>
      <c r="D1561" t="n">
        <v>9604</v>
      </c>
      <c r="E1561" t="n">
        <v>6860</v>
      </c>
      <c r="F1561" t="n">
        <v>82</v>
      </c>
      <c r="G1561" t="n">
        <v>1</v>
      </c>
      <c r="H1561" t="n">
        <v>1</v>
      </c>
      <c r="I1561" t="n">
        <v>0</v>
      </c>
      <c r="J1561" t="n">
        <v>0</v>
      </c>
    </row>
    <row r="1562">
      <c r="A1562" s="5" t="n">
        <v>46117</v>
      </c>
      <c r="B1562" t="inlineStr">
        <is>
          <t>google_brand_search</t>
        </is>
      </c>
      <c r="C1562" t="inlineStr">
        <is>
          <t>google</t>
        </is>
      </c>
      <c r="D1562" t="n">
        <v>7325</v>
      </c>
      <c r="E1562" t="n">
        <v>1526</v>
      </c>
      <c r="F1562" t="n">
        <v>82</v>
      </c>
      <c r="G1562" t="n">
        <v>4</v>
      </c>
      <c r="H1562" t="n">
        <v>1</v>
      </c>
      <c r="I1562" t="n">
        <v>1</v>
      </c>
      <c r="J1562" t="n">
        <v>1</v>
      </c>
    </row>
    <row r="1563">
      <c r="A1563" s="5" t="n">
        <v>46117</v>
      </c>
      <c r="B1563" t="inlineStr">
        <is>
          <t>google_nonbrand_growth</t>
        </is>
      </c>
      <c r="C1563" t="inlineStr">
        <is>
          <t>google</t>
        </is>
      </c>
      <c r="D1563" t="n">
        <v>17394</v>
      </c>
      <c r="E1563" t="n">
        <v>3623</v>
      </c>
      <c r="F1563" t="n">
        <v>182</v>
      </c>
      <c r="G1563" t="n">
        <v>1</v>
      </c>
      <c r="H1563" t="n">
        <v>0</v>
      </c>
      <c r="I1563" t="n">
        <v>1</v>
      </c>
      <c r="J1563" t="n">
        <v>0</v>
      </c>
    </row>
    <row r="1564">
      <c r="A1564" s="5" t="n">
        <v>46117</v>
      </c>
      <c r="B1564" t="inlineStr">
        <is>
          <t>linkedin_ceo_abm</t>
        </is>
      </c>
      <c r="C1564" t="inlineStr">
        <is>
          <t>linkedin</t>
        </is>
      </c>
      <c r="D1564" t="n">
        <v>26582</v>
      </c>
      <c r="E1564" t="n">
        <v>5111</v>
      </c>
      <c r="F1564" t="n">
        <v>32</v>
      </c>
      <c r="G1564" t="n">
        <v>2</v>
      </c>
      <c r="H1564" t="n">
        <v>2</v>
      </c>
      <c r="I1564" t="n">
        <v>1</v>
      </c>
      <c r="J1564" t="n">
        <v>0</v>
      </c>
    </row>
    <row r="1565">
      <c r="A1565" s="5" t="n">
        <v>46117</v>
      </c>
      <c r="B1565" t="inlineStr">
        <is>
          <t>meta_prospecting_founder</t>
        </is>
      </c>
      <c r="C1565" t="inlineStr">
        <is>
          <t>meta</t>
        </is>
      </c>
      <c r="D1565" t="n">
        <v>36885</v>
      </c>
      <c r="E1565" t="n">
        <v>26346</v>
      </c>
      <c r="F1565" t="n">
        <v>330</v>
      </c>
      <c r="G1565" t="n">
        <v>3</v>
      </c>
      <c r="H1565" t="n">
        <v>3</v>
      </c>
      <c r="I1565" t="n">
        <v>0</v>
      </c>
      <c r="J1565" t="n">
        <v>0</v>
      </c>
    </row>
    <row r="1566">
      <c r="A1566" s="5" t="n">
        <v>46117</v>
      </c>
      <c r="B1566" t="inlineStr">
        <is>
          <t>meta_retargeting_webinar</t>
        </is>
      </c>
      <c r="C1566" t="inlineStr">
        <is>
          <t>meta</t>
        </is>
      </c>
      <c r="D1566" t="n">
        <v>9346</v>
      </c>
      <c r="E1566" t="n">
        <v>6675</v>
      </c>
      <c r="F1566" t="n">
        <v>82</v>
      </c>
      <c r="G1566" t="n">
        <v>1</v>
      </c>
      <c r="H1566" t="n">
        <v>0</v>
      </c>
      <c r="I1566" t="n">
        <v>0</v>
      </c>
      <c r="J1566" t="n">
        <v>0</v>
      </c>
    </row>
    <row r="1567">
      <c r="A1567" s="5" t="n">
        <v>46118</v>
      </c>
      <c r="B1567" t="inlineStr">
        <is>
          <t>google_brand_search</t>
        </is>
      </c>
      <c r="C1567" t="inlineStr">
        <is>
          <t>google</t>
        </is>
      </c>
      <c r="D1567" t="n">
        <v>6291</v>
      </c>
      <c r="E1567" t="n">
        <v>1310</v>
      </c>
      <c r="F1567" t="n">
        <v>60</v>
      </c>
      <c r="G1567" t="n">
        <v>5</v>
      </c>
      <c r="H1567" t="n">
        <v>1</v>
      </c>
      <c r="I1567" t="n">
        <v>0</v>
      </c>
      <c r="J1567" t="n">
        <v>0</v>
      </c>
    </row>
    <row r="1568">
      <c r="A1568" s="5" t="n">
        <v>46118</v>
      </c>
      <c r="B1568" t="inlineStr">
        <is>
          <t>google_nonbrand_growth</t>
        </is>
      </c>
      <c r="C1568" t="inlineStr">
        <is>
          <t>google</t>
        </is>
      </c>
      <c r="D1568" t="n">
        <v>19209</v>
      </c>
      <c r="E1568" t="n">
        <v>4001</v>
      </c>
      <c r="F1568" t="n">
        <v>210</v>
      </c>
      <c r="G1568" t="n">
        <v>4</v>
      </c>
      <c r="H1568" t="n">
        <v>0</v>
      </c>
      <c r="I1568" t="n">
        <v>0</v>
      </c>
      <c r="J1568" t="n">
        <v>0</v>
      </c>
    </row>
    <row r="1569">
      <c r="A1569" s="5" t="n">
        <v>46118</v>
      </c>
      <c r="B1569" t="inlineStr">
        <is>
          <t>linkedin_ceo_abm</t>
        </is>
      </c>
      <c r="C1569" t="inlineStr">
        <is>
          <t>linkedin</t>
        </is>
      </c>
      <c r="D1569" t="n">
        <v>26557</v>
      </c>
      <c r="E1569" t="n">
        <v>5107</v>
      </c>
      <c r="F1569" t="n">
        <v>36</v>
      </c>
      <c r="G1569" t="n">
        <v>3</v>
      </c>
      <c r="H1569" t="n">
        <v>0</v>
      </c>
      <c r="I1569" t="n">
        <v>1</v>
      </c>
      <c r="J1569" t="n">
        <v>0</v>
      </c>
    </row>
    <row r="1570">
      <c r="A1570" s="5" t="n">
        <v>46118</v>
      </c>
      <c r="B1570" t="inlineStr">
        <is>
          <t>meta_prospecting_founder</t>
        </is>
      </c>
      <c r="C1570" t="inlineStr">
        <is>
          <t>meta</t>
        </is>
      </c>
      <c r="D1570" t="n">
        <v>35839</v>
      </c>
      <c r="E1570" t="n">
        <v>25599</v>
      </c>
      <c r="F1570" t="n">
        <v>276</v>
      </c>
      <c r="G1570" t="n">
        <v>13</v>
      </c>
      <c r="H1570" t="n">
        <v>2</v>
      </c>
      <c r="I1570" t="n">
        <v>1</v>
      </c>
      <c r="J1570" t="n">
        <v>0</v>
      </c>
    </row>
    <row r="1571">
      <c r="A1571" s="5" t="n">
        <v>46118</v>
      </c>
      <c r="B1571" t="inlineStr">
        <is>
          <t>meta_retargeting_webinar</t>
        </is>
      </c>
      <c r="C1571" t="inlineStr">
        <is>
          <t>meta</t>
        </is>
      </c>
      <c r="D1571" t="n">
        <v>8708</v>
      </c>
      <c r="E1571" t="n">
        <v>6220</v>
      </c>
      <c r="F1571" t="n">
        <v>63</v>
      </c>
      <c r="G1571" t="n">
        <v>2</v>
      </c>
      <c r="H1571" t="n">
        <v>0</v>
      </c>
      <c r="I1571" t="n">
        <v>0</v>
      </c>
      <c r="J1571" t="n">
        <v>0</v>
      </c>
    </row>
    <row r="1572">
      <c r="A1572" s="5" t="n">
        <v>46119</v>
      </c>
      <c r="B1572" t="inlineStr">
        <is>
          <t>google_brand_search</t>
        </is>
      </c>
      <c r="C1572" t="inlineStr">
        <is>
          <t>google</t>
        </is>
      </c>
      <c r="D1572" t="n">
        <v>6575</v>
      </c>
      <c r="E1572" t="n">
        <v>1369</v>
      </c>
      <c r="F1572" t="n">
        <v>68</v>
      </c>
      <c r="G1572" t="n">
        <v>3</v>
      </c>
      <c r="H1572" t="n">
        <v>3</v>
      </c>
      <c r="I1572" t="n">
        <v>2</v>
      </c>
      <c r="J1572" t="n">
        <v>0</v>
      </c>
    </row>
    <row r="1573">
      <c r="A1573" s="5" t="n">
        <v>46119</v>
      </c>
      <c r="B1573" t="inlineStr">
        <is>
          <t>google_nonbrand_growth</t>
        </is>
      </c>
      <c r="C1573" t="inlineStr">
        <is>
          <t>google</t>
        </is>
      </c>
      <c r="D1573" t="n">
        <v>19313</v>
      </c>
      <c r="E1573" t="n">
        <v>4023</v>
      </c>
      <c r="F1573" t="n">
        <v>225</v>
      </c>
      <c r="G1573" t="n">
        <v>6</v>
      </c>
      <c r="H1573" t="n">
        <v>3</v>
      </c>
      <c r="I1573" t="n">
        <v>0</v>
      </c>
      <c r="J1573" t="n">
        <v>0</v>
      </c>
    </row>
    <row r="1574">
      <c r="A1574" s="5" t="n">
        <v>46119</v>
      </c>
      <c r="B1574" t="inlineStr">
        <is>
          <t>linkedin_ceo_abm</t>
        </is>
      </c>
      <c r="C1574" t="inlineStr">
        <is>
          <t>linkedin</t>
        </is>
      </c>
      <c r="D1574" t="n">
        <v>27977</v>
      </c>
      <c r="E1574" t="n">
        <v>5380</v>
      </c>
      <c r="F1574" t="n">
        <v>38</v>
      </c>
      <c r="G1574" t="n">
        <v>1</v>
      </c>
      <c r="H1574" t="n">
        <v>1</v>
      </c>
      <c r="I1574" t="n">
        <v>0</v>
      </c>
      <c r="J1574" t="n">
        <v>1</v>
      </c>
    </row>
    <row r="1575">
      <c r="A1575" s="5" t="n">
        <v>46119</v>
      </c>
      <c r="B1575" t="inlineStr">
        <is>
          <t>meta_prospecting_founder</t>
        </is>
      </c>
      <c r="C1575" t="inlineStr">
        <is>
          <t>meta</t>
        </is>
      </c>
      <c r="D1575" t="n">
        <v>42481</v>
      </c>
      <c r="E1575" t="n">
        <v>30343</v>
      </c>
      <c r="F1575" t="n">
        <v>350</v>
      </c>
      <c r="G1575" t="n">
        <v>13</v>
      </c>
      <c r="H1575" t="n">
        <v>2</v>
      </c>
      <c r="I1575" t="n">
        <v>1</v>
      </c>
      <c r="J1575" t="n">
        <v>0</v>
      </c>
    </row>
    <row r="1576">
      <c r="A1576" s="5" t="n">
        <v>46119</v>
      </c>
      <c r="B1576" t="inlineStr">
        <is>
          <t>meta_retargeting_webinar</t>
        </is>
      </c>
      <c r="C1576" t="inlineStr">
        <is>
          <t>meta</t>
        </is>
      </c>
      <c r="D1576" t="n">
        <v>8892</v>
      </c>
      <c r="E1576" t="n">
        <v>6351</v>
      </c>
      <c r="F1576" t="n">
        <v>65</v>
      </c>
      <c r="G1576" t="n">
        <v>3</v>
      </c>
      <c r="H1576" t="n">
        <v>0</v>
      </c>
      <c r="I1576" t="n">
        <v>0</v>
      </c>
      <c r="J1576" t="n">
        <v>0</v>
      </c>
    </row>
    <row r="1577">
      <c r="A1577" s="5" t="n">
        <v>46120</v>
      </c>
      <c r="B1577" t="inlineStr">
        <is>
          <t>google_brand_search</t>
        </is>
      </c>
      <c r="C1577" t="inlineStr">
        <is>
          <t>google</t>
        </is>
      </c>
      <c r="D1577" t="n">
        <v>6613</v>
      </c>
      <c r="E1577" t="n">
        <v>1377</v>
      </c>
      <c r="F1577" t="n">
        <v>80</v>
      </c>
      <c r="G1577" t="n">
        <v>2</v>
      </c>
      <c r="H1577" t="n">
        <v>1</v>
      </c>
      <c r="I1577" t="n">
        <v>0</v>
      </c>
      <c r="J1577" t="n">
        <v>0</v>
      </c>
    </row>
    <row r="1578">
      <c r="A1578" s="5" t="n">
        <v>46120</v>
      </c>
      <c r="B1578" t="inlineStr">
        <is>
          <t>google_nonbrand_growth</t>
        </is>
      </c>
      <c r="C1578" t="inlineStr">
        <is>
          <t>google</t>
        </is>
      </c>
      <c r="D1578" t="n">
        <v>18490</v>
      </c>
      <c r="E1578" t="n">
        <v>3852</v>
      </c>
      <c r="F1578" t="n">
        <v>210</v>
      </c>
      <c r="G1578" t="n">
        <v>2</v>
      </c>
      <c r="H1578" t="n">
        <v>0</v>
      </c>
      <c r="I1578" t="n">
        <v>0</v>
      </c>
      <c r="J1578" t="n">
        <v>0</v>
      </c>
    </row>
    <row r="1579">
      <c r="A1579" s="5" t="n">
        <v>46120</v>
      </c>
      <c r="B1579" t="inlineStr">
        <is>
          <t>linkedin_ceo_abm</t>
        </is>
      </c>
      <c r="C1579" t="inlineStr">
        <is>
          <t>linkedin</t>
        </is>
      </c>
      <c r="D1579" t="n">
        <v>26367</v>
      </c>
      <c r="E1579" t="n">
        <v>5070</v>
      </c>
      <c r="F1579" t="n">
        <v>35</v>
      </c>
      <c r="G1579" t="n">
        <v>2</v>
      </c>
      <c r="H1579" t="n">
        <v>0</v>
      </c>
      <c r="I1579" t="n">
        <v>1</v>
      </c>
      <c r="J1579" t="n">
        <v>0</v>
      </c>
    </row>
    <row r="1580">
      <c r="A1580" s="5" t="n">
        <v>46120</v>
      </c>
      <c r="B1580" t="inlineStr">
        <is>
          <t>meta_prospecting_founder</t>
        </is>
      </c>
      <c r="C1580" t="inlineStr">
        <is>
          <t>meta</t>
        </is>
      </c>
      <c r="D1580" t="n">
        <v>37739</v>
      </c>
      <c r="E1580" t="n">
        <v>26956</v>
      </c>
      <c r="F1580" t="n">
        <v>268</v>
      </c>
      <c r="G1580" t="n">
        <v>8</v>
      </c>
      <c r="H1580" t="n">
        <v>2</v>
      </c>
      <c r="I1580" t="n">
        <v>2</v>
      </c>
      <c r="J1580" t="n">
        <v>0</v>
      </c>
    </row>
    <row r="1581">
      <c r="A1581" s="5" t="n">
        <v>46120</v>
      </c>
      <c r="B1581" t="inlineStr">
        <is>
          <t>meta_retargeting_webinar</t>
        </is>
      </c>
      <c r="C1581" t="inlineStr">
        <is>
          <t>meta</t>
        </is>
      </c>
      <c r="D1581" t="n">
        <v>9635</v>
      </c>
      <c r="E1581" t="n">
        <v>6882</v>
      </c>
      <c r="F1581" t="n">
        <v>78</v>
      </c>
      <c r="G1581" t="n">
        <v>6</v>
      </c>
      <c r="H1581" t="n">
        <v>0</v>
      </c>
      <c r="I1581" t="n">
        <v>0</v>
      </c>
      <c r="J1581" t="n">
        <v>0</v>
      </c>
    </row>
    <row r="1582">
      <c r="A1582" s="5" t="n">
        <v>46121</v>
      </c>
      <c r="B1582" t="inlineStr">
        <is>
          <t>google_brand_search</t>
        </is>
      </c>
      <c r="C1582" t="inlineStr">
        <is>
          <t>google</t>
        </is>
      </c>
      <c r="D1582" t="n">
        <v>7415</v>
      </c>
      <c r="E1582" t="n">
        <v>1544</v>
      </c>
      <c r="F1582" t="n">
        <v>84</v>
      </c>
      <c r="G1582" t="n">
        <v>5</v>
      </c>
      <c r="H1582" t="n">
        <v>0</v>
      </c>
      <c r="I1582" t="n">
        <v>0</v>
      </c>
      <c r="J1582" t="n">
        <v>0</v>
      </c>
    </row>
    <row r="1583">
      <c r="A1583" s="5" t="n">
        <v>46121</v>
      </c>
      <c r="B1583" t="inlineStr">
        <is>
          <t>google_nonbrand_growth</t>
        </is>
      </c>
      <c r="C1583" t="inlineStr">
        <is>
          <t>google</t>
        </is>
      </c>
      <c r="D1583" t="n">
        <v>20983</v>
      </c>
      <c r="E1583" t="n">
        <v>4371</v>
      </c>
      <c r="F1583" t="n">
        <v>201</v>
      </c>
      <c r="G1583" t="n">
        <v>2</v>
      </c>
      <c r="H1583" t="n">
        <v>1</v>
      </c>
      <c r="I1583" t="n">
        <v>0</v>
      </c>
      <c r="J1583" t="n">
        <v>0</v>
      </c>
    </row>
    <row r="1584">
      <c r="A1584" s="5" t="n">
        <v>46121</v>
      </c>
      <c r="B1584" t="inlineStr">
        <is>
          <t>linkedin_ceo_abm</t>
        </is>
      </c>
      <c r="C1584" t="inlineStr">
        <is>
          <t>linkedin</t>
        </is>
      </c>
      <c r="D1584" t="n">
        <v>26879</v>
      </c>
      <c r="E1584" t="n">
        <v>5169</v>
      </c>
      <c r="F1584" t="n">
        <v>31</v>
      </c>
      <c r="G1584" t="n">
        <v>2</v>
      </c>
      <c r="H1584" t="n">
        <v>0</v>
      </c>
      <c r="I1584" t="n">
        <v>1</v>
      </c>
      <c r="J1584" t="n">
        <v>0</v>
      </c>
    </row>
    <row r="1585">
      <c r="A1585" s="5" t="n">
        <v>46121</v>
      </c>
      <c r="B1585" t="inlineStr">
        <is>
          <t>meta_prospecting_founder</t>
        </is>
      </c>
      <c r="C1585" t="inlineStr">
        <is>
          <t>meta</t>
        </is>
      </c>
      <c r="D1585" t="n">
        <v>41458</v>
      </c>
      <c r="E1585" t="n">
        <v>29612</v>
      </c>
      <c r="F1585" t="n">
        <v>318</v>
      </c>
      <c r="G1585" t="n">
        <v>12</v>
      </c>
      <c r="H1585" t="n">
        <v>2</v>
      </c>
      <c r="I1585" t="n">
        <v>0</v>
      </c>
      <c r="J1585" t="n">
        <v>0</v>
      </c>
    </row>
    <row r="1586">
      <c r="A1586" s="5" t="n">
        <v>46121</v>
      </c>
      <c r="B1586" t="inlineStr">
        <is>
          <t>meta_retargeting_webinar</t>
        </is>
      </c>
      <c r="C1586" t="inlineStr">
        <is>
          <t>meta</t>
        </is>
      </c>
      <c r="D1586" t="n">
        <v>8904</v>
      </c>
      <c r="E1586" t="n">
        <v>6360</v>
      </c>
      <c r="F1586" t="n">
        <v>75</v>
      </c>
      <c r="G1586" t="n">
        <v>5</v>
      </c>
      <c r="H1586" t="n">
        <v>2</v>
      </c>
      <c r="I1586" t="n">
        <v>0</v>
      </c>
      <c r="J1586" t="n">
        <v>0</v>
      </c>
    </row>
    <row r="1587">
      <c r="A1587" s="5" t="n">
        <v>46122</v>
      </c>
      <c r="B1587" t="inlineStr">
        <is>
          <t>google_brand_search</t>
        </is>
      </c>
      <c r="C1587" t="inlineStr">
        <is>
          <t>google</t>
        </is>
      </c>
      <c r="D1587" t="n">
        <v>7219</v>
      </c>
      <c r="E1587" t="n">
        <v>1503</v>
      </c>
      <c r="F1587" t="n">
        <v>74</v>
      </c>
      <c r="G1587" t="n">
        <v>5</v>
      </c>
      <c r="H1587" t="n">
        <v>1</v>
      </c>
      <c r="I1587" t="n">
        <v>1</v>
      </c>
      <c r="J1587" t="n">
        <v>1</v>
      </c>
    </row>
    <row r="1588">
      <c r="A1588" s="5" t="n">
        <v>46122</v>
      </c>
      <c r="B1588" t="inlineStr">
        <is>
          <t>google_nonbrand_growth</t>
        </is>
      </c>
      <c r="C1588" t="inlineStr">
        <is>
          <t>google</t>
        </is>
      </c>
      <c r="D1588" t="n">
        <v>20628</v>
      </c>
      <c r="E1588" t="n">
        <v>4297</v>
      </c>
      <c r="F1588" t="n">
        <v>211</v>
      </c>
      <c r="G1588" t="n">
        <v>2</v>
      </c>
      <c r="H1588" t="n">
        <v>0</v>
      </c>
      <c r="I1588" t="n">
        <v>0</v>
      </c>
      <c r="J1588" t="n">
        <v>0</v>
      </c>
    </row>
    <row r="1589">
      <c r="A1589" s="5" t="n">
        <v>46122</v>
      </c>
      <c r="B1589" t="inlineStr">
        <is>
          <t>linkedin_ceo_abm</t>
        </is>
      </c>
      <c r="C1589" t="inlineStr">
        <is>
          <t>linkedin</t>
        </is>
      </c>
      <c r="D1589" t="n">
        <v>23748</v>
      </c>
      <c r="E1589" t="n">
        <v>4566</v>
      </c>
      <c r="F1589" t="n">
        <v>31</v>
      </c>
      <c r="G1589" t="n">
        <v>0</v>
      </c>
      <c r="H1589" t="n">
        <v>1</v>
      </c>
      <c r="I1589" t="n">
        <v>1</v>
      </c>
      <c r="J1589" t="n">
        <v>0</v>
      </c>
    </row>
    <row r="1590">
      <c r="A1590" s="5" t="n">
        <v>46122</v>
      </c>
      <c r="B1590" t="inlineStr">
        <is>
          <t>meta_prospecting_founder</t>
        </is>
      </c>
      <c r="C1590" t="inlineStr">
        <is>
          <t>meta</t>
        </is>
      </c>
      <c r="D1590" t="n">
        <v>42582</v>
      </c>
      <c r="E1590" t="n">
        <v>30415</v>
      </c>
      <c r="F1590" t="n">
        <v>367</v>
      </c>
      <c r="G1590" t="n">
        <v>7</v>
      </c>
      <c r="H1590" t="n">
        <v>4</v>
      </c>
      <c r="I1590" t="n">
        <v>2</v>
      </c>
      <c r="J1590" t="n">
        <v>0</v>
      </c>
    </row>
    <row r="1591">
      <c r="A1591" s="5" t="n">
        <v>46122</v>
      </c>
      <c r="B1591" t="inlineStr">
        <is>
          <t>meta_retargeting_webinar</t>
        </is>
      </c>
      <c r="C1591" t="inlineStr">
        <is>
          <t>meta</t>
        </is>
      </c>
      <c r="D1591" t="n">
        <v>9313</v>
      </c>
      <c r="E1591" t="n">
        <v>6652</v>
      </c>
      <c r="F1591" t="n">
        <v>65</v>
      </c>
      <c r="G1591" t="n">
        <v>3</v>
      </c>
      <c r="H1591" t="n">
        <v>4</v>
      </c>
      <c r="I1591" t="n">
        <v>1</v>
      </c>
      <c r="J1591" t="n">
        <v>0</v>
      </c>
    </row>
    <row r="1592">
      <c r="A1592" s="5" t="n">
        <v>46123</v>
      </c>
      <c r="B1592" t="inlineStr">
        <is>
          <t>google_brand_search</t>
        </is>
      </c>
      <c r="C1592" t="inlineStr">
        <is>
          <t>google</t>
        </is>
      </c>
      <c r="D1592" t="n">
        <v>6691</v>
      </c>
      <c r="E1592" t="n">
        <v>1393</v>
      </c>
      <c r="F1592" t="n">
        <v>70</v>
      </c>
      <c r="G1592" t="n">
        <v>1</v>
      </c>
      <c r="H1592" t="n">
        <v>1</v>
      </c>
      <c r="I1592" t="n">
        <v>1</v>
      </c>
      <c r="J1592" t="n">
        <v>0</v>
      </c>
    </row>
    <row r="1593">
      <c r="A1593" s="5" t="n">
        <v>46123</v>
      </c>
      <c r="B1593" t="inlineStr">
        <is>
          <t>google_nonbrand_growth</t>
        </is>
      </c>
      <c r="C1593" t="inlineStr">
        <is>
          <t>google</t>
        </is>
      </c>
      <c r="D1593" t="n">
        <v>19719</v>
      </c>
      <c r="E1593" t="n">
        <v>4108</v>
      </c>
      <c r="F1593" t="n">
        <v>196</v>
      </c>
      <c r="G1593" t="n">
        <v>3</v>
      </c>
      <c r="H1593" t="n">
        <v>1</v>
      </c>
      <c r="I1593" t="n">
        <v>0</v>
      </c>
      <c r="J1593" t="n">
        <v>0</v>
      </c>
    </row>
    <row r="1594">
      <c r="A1594" s="5" t="n">
        <v>46123</v>
      </c>
      <c r="B1594" t="inlineStr">
        <is>
          <t>linkedin_ceo_abm</t>
        </is>
      </c>
      <c r="C1594" t="inlineStr">
        <is>
          <t>linkedin</t>
        </is>
      </c>
      <c r="D1594" t="n">
        <v>26369</v>
      </c>
      <c r="E1594" t="n">
        <v>5070</v>
      </c>
      <c r="F1594" t="n">
        <v>32</v>
      </c>
      <c r="G1594" t="n">
        <v>1</v>
      </c>
      <c r="H1594" t="n">
        <v>1</v>
      </c>
      <c r="I1594" t="n">
        <v>0</v>
      </c>
      <c r="J1594" t="n">
        <v>0</v>
      </c>
    </row>
    <row r="1595">
      <c r="A1595" s="5" t="n">
        <v>46123</v>
      </c>
      <c r="B1595" t="inlineStr">
        <is>
          <t>meta_prospecting_founder</t>
        </is>
      </c>
      <c r="C1595" t="inlineStr">
        <is>
          <t>meta</t>
        </is>
      </c>
      <c r="D1595" t="n">
        <v>37577</v>
      </c>
      <c r="E1595" t="n">
        <v>26840</v>
      </c>
      <c r="F1595" t="n">
        <v>291</v>
      </c>
      <c r="G1595" t="n">
        <v>11</v>
      </c>
      <c r="H1595" t="n">
        <v>0</v>
      </c>
      <c r="I1595" t="n">
        <v>2</v>
      </c>
      <c r="J1595" t="n">
        <v>0</v>
      </c>
    </row>
    <row r="1596">
      <c r="A1596" s="5" t="n">
        <v>46123</v>
      </c>
      <c r="B1596" t="inlineStr">
        <is>
          <t>meta_retargeting_webinar</t>
        </is>
      </c>
      <c r="C1596" t="inlineStr">
        <is>
          <t>meta</t>
        </is>
      </c>
      <c r="D1596" t="n">
        <v>9691</v>
      </c>
      <c r="E1596" t="n">
        <v>6922</v>
      </c>
      <c r="F1596" t="n">
        <v>73</v>
      </c>
      <c r="G1596" t="n">
        <v>2</v>
      </c>
      <c r="H1596" t="n">
        <v>1</v>
      </c>
      <c r="I1596" t="n">
        <v>0</v>
      </c>
      <c r="J1596" t="n">
        <v>0</v>
      </c>
    </row>
    <row r="1597">
      <c r="A1597" s="5" t="n">
        <v>46124</v>
      </c>
      <c r="B1597" t="inlineStr">
        <is>
          <t>google_brand_search</t>
        </is>
      </c>
      <c r="C1597" t="inlineStr">
        <is>
          <t>google</t>
        </is>
      </c>
      <c r="D1597" t="n">
        <v>6565</v>
      </c>
      <c r="E1597" t="n">
        <v>1367</v>
      </c>
      <c r="F1597" t="n">
        <v>63</v>
      </c>
      <c r="G1597" t="n">
        <v>2</v>
      </c>
      <c r="H1597" t="n">
        <v>3</v>
      </c>
      <c r="I1597" t="n">
        <v>0</v>
      </c>
      <c r="J1597" t="n">
        <v>0</v>
      </c>
    </row>
    <row r="1598">
      <c r="A1598" s="5" t="n">
        <v>46124</v>
      </c>
      <c r="B1598" t="inlineStr">
        <is>
          <t>google_nonbrand_growth</t>
        </is>
      </c>
      <c r="C1598" t="inlineStr">
        <is>
          <t>google</t>
        </is>
      </c>
      <c r="D1598" t="n">
        <v>20162</v>
      </c>
      <c r="E1598" t="n">
        <v>4200</v>
      </c>
      <c r="F1598" t="n">
        <v>242</v>
      </c>
      <c r="G1598" t="n">
        <v>1</v>
      </c>
      <c r="H1598" t="n">
        <v>0</v>
      </c>
      <c r="I1598" t="n">
        <v>0</v>
      </c>
      <c r="J1598" t="n">
        <v>0</v>
      </c>
    </row>
    <row r="1599">
      <c r="A1599" s="5" t="n">
        <v>46124</v>
      </c>
      <c r="B1599" t="inlineStr">
        <is>
          <t>linkedin_ceo_abm</t>
        </is>
      </c>
      <c r="C1599" t="inlineStr">
        <is>
          <t>linkedin</t>
        </is>
      </c>
      <c r="D1599" t="n">
        <v>26657</v>
      </c>
      <c r="E1599" t="n">
        <v>5126</v>
      </c>
      <c r="F1599" t="n">
        <v>34</v>
      </c>
      <c r="G1599" t="n">
        <v>0</v>
      </c>
      <c r="H1599" t="n">
        <v>0</v>
      </c>
      <c r="I1599" t="n">
        <v>0</v>
      </c>
      <c r="J1599" t="n">
        <v>0</v>
      </c>
    </row>
    <row r="1600">
      <c r="A1600" s="5" t="n">
        <v>46124</v>
      </c>
      <c r="B1600" t="inlineStr">
        <is>
          <t>meta_prospecting_founder</t>
        </is>
      </c>
      <c r="C1600" t="inlineStr">
        <is>
          <t>meta</t>
        </is>
      </c>
      <c r="D1600" t="n">
        <v>38660</v>
      </c>
      <c r="E1600" t="n">
        <v>27614</v>
      </c>
      <c r="F1600" t="n">
        <v>332</v>
      </c>
      <c r="G1600" t="n">
        <v>14</v>
      </c>
      <c r="H1600" t="n">
        <v>2</v>
      </c>
      <c r="I1600" t="n">
        <v>1</v>
      </c>
      <c r="J1600" t="n">
        <v>0</v>
      </c>
    </row>
    <row r="1601">
      <c r="A1601" s="5" t="n">
        <v>46124</v>
      </c>
      <c r="B1601" t="inlineStr">
        <is>
          <t>meta_retargeting_webinar</t>
        </is>
      </c>
      <c r="C1601" t="inlineStr">
        <is>
          <t>meta</t>
        </is>
      </c>
      <c r="D1601" t="n">
        <v>9063</v>
      </c>
      <c r="E1601" t="n">
        <v>6473</v>
      </c>
      <c r="F1601" t="n">
        <v>71</v>
      </c>
      <c r="G1601" t="n">
        <v>2</v>
      </c>
      <c r="H1601" t="n">
        <v>2</v>
      </c>
      <c r="I1601" t="n">
        <v>0</v>
      </c>
      <c r="J1601" t="n">
        <v>0</v>
      </c>
    </row>
    <row r="1602">
      <c r="A1602" s="5" t="n">
        <v>46125</v>
      </c>
      <c r="B1602" t="inlineStr">
        <is>
          <t>google_brand_search</t>
        </is>
      </c>
      <c r="C1602" t="inlineStr">
        <is>
          <t>google</t>
        </is>
      </c>
      <c r="D1602" t="n">
        <v>6994</v>
      </c>
      <c r="E1602" t="n">
        <v>1457</v>
      </c>
      <c r="F1602" t="n">
        <v>81</v>
      </c>
      <c r="G1602" t="n">
        <v>3</v>
      </c>
      <c r="H1602" t="n">
        <v>1</v>
      </c>
      <c r="I1602" t="n">
        <v>2</v>
      </c>
      <c r="J1602" t="n">
        <v>0</v>
      </c>
    </row>
    <row r="1603">
      <c r="A1603" s="5" t="n">
        <v>46125</v>
      </c>
      <c r="B1603" t="inlineStr">
        <is>
          <t>google_nonbrand_growth</t>
        </is>
      </c>
      <c r="C1603" t="inlineStr">
        <is>
          <t>google</t>
        </is>
      </c>
      <c r="D1603" t="n">
        <v>19229</v>
      </c>
      <c r="E1603" t="n">
        <v>4006</v>
      </c>
      <c r="F1603" t="n">
        <v>178</v>
      </c>
      <c r="G1603" t="n">
        <v>1</v>
      </c>
      <c r="H1603" t="n">
        <v>1</v>
      </c>
      <c r="I1603" t="n">
        <v>0</v>
      </c>
      <c r="J1603" t="n">
        <v>0</v>
      </c>
    </row>
    <row r="1604">
      <c r="A1604" s="5" t="n">
        <v>46125</v>
      </c>
      <c r="B1604" t="inlineStr">
        <is>
          <t>linkedin_ceo_abm</t>
        </is>
      </c>
      <c r="C1604" t="inlineStr">
        <is>
          <t>linkedin</t>
        </is>
      </c>
      <c r="D1604" t="n">
        <v>26451</v>
      </c>
      <c r="E1604" t="n">
        <v>5086</v>
      </c>
      <c r="F1604" t="n">
        <v>30</v>
      </c>
      <c r="G1604" t="n">
        <v>4</v>
      </c>
      <c r="H1604" t="n">
        <v>0</v>
      </c>
      <c r="I1604" t="n">
        <v>1</v>
      </c>
      <c r="J1604" t="n">
        <v>1</v>
      </c>
    </row>
    <row r="1605">
      <c r="A1605" s="5" t="n">
        <v>46125</v>
      </c>
      <c r="B1605" t="inlineStr">
        <is>
          <t>meta_prospecting_founder</t>
        </is>
      </c>
      <c r="C1605" t="inlineStr">
        <is>
          <t>meta</t>
        </is>
      </c>
      <c r="D1605" t="n">
        <v>38506</v>
      </c>
      <c r="E1605" t="n">
        <v>27504</v>
      </c>
      <c r="F1605" t="n">
        <v>312</v>
      </c>
      <c r="G1605" t="n">
        <v>11</v>
      </c>
      <c r="H1605" t="n">
        <v>3</v>
      </c>
      <c r="I1605" t="n">
        <v>0</v>
      </c>
      <c r="J1605" t="n">
        <v>0</v>
      </c>
    </row>
    <row r="1606">
      <c r="A1606" s="5" t="n">
        <v>46125</v>
      </c>
      <c r="B1606" t="inlineStr">
        <is>
          <t>meta_retargeting_webinar</t>
        </is>
      </c>
      <c r="C1606" t="inlineStr">
        <is>
          <t>meta</t>
        </is>
      </c>
      <c r="D1606" t="n">
        <v>8890</v>
      </c>
      <c r="E1606" t="n">
        <v>6350</v>
      </c>
      <c r="F1606" t="n">
        <v>64</v>
      </c>
      <c r="G1606" t="n">
        <v>7</v>
      </c>
      <c r="H1606" t="n">
        <v>1</v>
      </c>
      <c r="I1606" t="n">
        <v>0</v>
      </c>
      <c r="J1606" t="n">
        <v>0</v>
      </c>
    </row>
    <row r="1607">
      <c r="A1607" s="5" t="n">
        <v>46126</v>
      </c>
      <c r="B1607" t="inlineStr">
        <is>
          <t>google_brand_search</t>
        </is>
      </c>
      <c r="C1607" t="inlineStr">
        <is>
          <t>google</t>
        </is>
      </c>
      <c r="D1607" t="n">
        <v>7093</v>
      </c>
      <c r="E1607" t="n">
        <v>1477</v>
      </c>
      <c r="F1607" t="n">
        <v>87</v>
      </c>
      <c r="G1607" t="n">
        <v>1</v>
      </c>
      <c r="H1607" t="n">
        <v>1</v>
      </c>
      <c r="I1607" t="n">
        <v>0</v>
      </c>
      <c r="J1607" t="n">
        <v>1</v>
      </c>
    </row>
    <row r="1608">
      <c r="A1608" s="5" t="n">
        <v>46126</v>
      </c>
      <c r="B1608" t="inlineStr">
        <is>
          <t>google_nonbrand_growth</t>
        </is>
      </c>
      <c r="C1608" t="inlineStr">
        <is>
          <t>google</t>
        </is>
      </c>
      <c r="D1608" t="n">
        <v>20966</v>
      </c>
      <c r="E1608" t="n">
        <v>4367</v>
      </c>
      <c r="F1608" t="n">
        <v>206</v>
      </c>
      <c r="G1608" t="n">
        <v>3</v>
      </c>
      <c r="H1608" t="n">
        <v>2</v>
      </c>
      <c r="I1608" t="n">
        <v>1</v>
      </c>
      <c r="J1608" t="n">
        <v>0</v>
      </c>
    </row>
    <row r="1609">
      <c r="A1609" s="5" t="n">
        <v>46126</v>
      </c>
      <c r="B1609" t="inlineStr">
        <is>
          <t>linkedin_ceo_abm</t>
        </is>
      </c>
      <c r="C1609" t="inlineStr">
        <is>
          <t>linkedin</t>
        </is>
      </c>
      <c r="D1609" t="n">
        <v>24467</v>
      </c>
      <c r="E1609" t="n">
        <v>4705</v>
      </c>
      <c r="F1609" t="n">
        <v>28</v>
      </c>
      <c r="G1609" t="n">
        <v>2</v>
      </c>
      <c r="H1609" t="n">
        <v>0</v>
      </c>
      <c r="I1609" t="n">
        <v>0</v>
      </c>
      <c r="J1609" t="n">
        <v>0</v>
      </c>
    </row>
    <row r="1610">
      <c r="A1610" s="5" t="n">
        <v>46126</v>
      </c>
      <c r="B1610" t="inlineStr">
        <is>
          <t>meta_prospecting_founder</t>
        </is>
      </c>
      <c r="C1610" t="inlineStr">
        <is>
          <t>meta</t>
        </is>
      </c>
      <c r="D1610" t="n">
        <v>42269</v>
      </c>
      <c r="E1610" t="n">
        <v>30192</v>
      </c>
      <c r="F1610" t="n">
        <v>355</v>
      </c>
      <c r="G1610" t="n">
        <v>8</v>
      </c>
      <c r="H1610" t="n">
        <v>2</v>
      </c>
      <c r="I1610" t="n">
        <v>0</v>
      </c>
      <c r="J1610" t="n">
        <v>0</v>
      </c>
    </row>
    <row r="1611">
      <c r="A1611" s="5" t="n">
        <v>46126</v>
      </c>
      <c r="B1611" t="inlineStr">
        <is>
          <t>meta_retargeting_webinar</t>
        </is>
      </c>
      <c r="C1611" t="inlineStr">
        <is>
          <t>meta</t>
        </is>
      </c>
      <c r="D1611" t="n">
        <v>8438</v>
      </c>
      <c r="E1611" t="n">
        <v>6027</v>
      </c>
      <c r="F1611" t="n">
        <v>61</v>
      </c>
      <c r="G1611" t="n">
        <v>2</v>
      </c>
      <c r="H1611" t="n">
        <v>0</v>
      </c>
      <c r="I1611" t="n">
        <v>1</v>
      </c>
      <c r="J1611" t="n">
        <v>0</v>
      </c>
    </row>
    <row r="1612">
      <c r="A1612" s="5" t="n">
        <v>46127</v>
      </c>
      <c r="B1612" t="inlineStr">
        <is>
          <t>google_brand_search</t>
        </is>
      </c>
      <c r="C1612" t="inlineStr">
        <is>
          <t>google</t>
        </is>
      </c>
      <c r="D1612" t="n">
        <v>7366</v>
      </c>
      <c r="E1612" t="n">
        <v>1534</v>
      </c>
      <c r="F1612" t="n">
        <v>91</v>
      </c>
      <c r="G1612" t="n">
        <v>3</v>
      </c>
      <c r="H1612" t="n">
        <v>2</v>
      </c>
      <c r="I1612" t="n">
        <v>0</v>
      </c>
      <c r="J1612" t="n">
        <v>0</v>
      </c>
    </row>
    <row r="1613">
      <c r="A1613" s="5" t="n">
        <v>46127</v>
      </c>
      <c r="B1613" t="inlineStr">
        <is>
          <t>google_nonbrand_growth</t>
        </is>
      </c>
      <c r="C1613" t="inlineStr">
        <is>
          <t>google</t>
        </is>
      </c>
      <c r="D1613" t="n">
        <v>20898</v>
      </c>
      <c r="E1613" t="n">
        <v>4353</v>
      </c>
      <c r="F1613" t="n">
        <v>197</v>
      </c>
      <c r="G1613" t="n">
        <v>1</v>
      </c>
      <c r="H1613" t="n">
        <v>0</v>
      </c>
      <c r="I1613" t="n">
        <v>1</v>
      </c>
      <c r="J1613" t="n">
        <v>0</v>
      </c>
    </row>
    <row r="1614">
      <c r="A1614" s="5" t="n">
        <v>46127</v>
      </c>
      <c r="B1614" t="inlineStr">
        <is>
          <t>linkedin_ceo_abm</t>
        </is>
      </c>
      <c r="C1614" t="inlineStr">
        <is>
          <t>linkedin</t>
        </is>
      </c>
      <c r="D1614" t="n">
        <v>26280</v>
      </c>
      <c r="E1614" t="n">
        <v>5053</v>
      </c>
      <c r="F1614" t="n">
        <v>35</v>
      </c>
      <c r="G1614" t="n">
        <v>0</v>
      </c>
      <c r="H1614" t="n">
        <v>1</v>
      </c>
      <c r="I1614" t="n">
        <v>0</v>
      </c>
      <c r="J1614" t="n">
        <v>0</v>
      </c>
    </row>
    <row r="1615">
      <c r="A1615" s="5" t="n">
        <v>46127</v>
      </c>
      <c r="B1615" t="inlineStr">
        <is>
          <t>meta_prospecting_founder</t>
        </is>
      </c>
      <c r="C1615" t="inlineStr">
        <is>
          <t>meta</t>
        </is>
      </c>
      <c r="D1615" t="n">
        <v>36087</v>
      </c>
      <c r="E1615" t="n">
        <v>25776</v>
      </c>
      <c r="F1615" t="n">
        <v>266</v>
      </c>
      <c r="G1615" t="n">
        <v>12</v>
      </c>
      <c r="H1615" t="n">
        <v>2</v>
      </c>
      <c r="I1615" t="n">
        <v>1</v>
      </c>
      <c r="J1615" t="n">
        <v>0</v>
      </c>
    </row>
    <row r="1616">
      <c r="A1616" s="5" t="n">
        <v>46127</v>
      </c>
      <c r="B1616" t="inlineStr">
        <is>
          <t>meta_retargeting_webinar</t>
        </is>
      </c>
      <c r="C1616" t="inlineStr">
        <is>
          <t>meta</t>
        </is>
      </c>
      <c r="D1616" t="n">
        <v>9935</v>
      </c>
      <c r="E1616" t="n">
        <v>7096</v>
      </c>
      <c r="F1616" t="n">
        <v>73</v>
      </c>
      <c r="G1616" t="n">
        <v>7</v>
      </c>
      <c r="H1616" t="n">
        <v>1</v>
      </c>
      <c r="I1616" t="n">
        <v>0</v>
      </c>
      <c r="J1616" t="n">
        <v>1</v>
      </c>
    </row>
    <row r="1617">
      <c r="A1617" s="5" t="n">
        <v>46128</v>
      </c>
      <c r="B1617" t="inlineStr">
        <is>
          <t>google_brand_search</t>
        </is>
      </c>
      <c r="C1617" t="inlineStr">
        <is>
          <t>google</t>
        </is>
      </c>
      <c r="D1617" t="n">
        <v>6526</v>
      </c>
      <c r="E1617" t="n">
        <v>1359</v>
      </c>
      <c r="F1617" t="n">
        <v>75</v>
      </c>
      <c r="G1617" t="n">
        <v>3</v>
      </c>
      <c r="H1617" t="n">
        <v>3</v>
      </c>
      <c r="I1617" t="n">
        <v>1</v>
      </c>
      <c r="J1617" t="n">
        <v>0</v>
      </c>
    </row>
    <row r="1618">
      <c r="A1618" s="5" t="n">
        <v>46128</v>
      </c>
      <c r="B1618" t="inlineStr">
        <is>
          <t>google_nonbrand_growth</t>
        </is>
      </c>
      <c r="C1618" t="inlineStr">
        <is>
          <t>google</t>
        </is>
      </c>
      <c r="D1618" t="n">
        <v>18272</v>
      </c>
      <c r="E1618" t="n">
        <v>3806</v>
      </c>
      <c r="F1618" t="n">
        <v>207</v>
      </c>
      <c r="G1618" t="n">
        <v>2</v>
      </c>
      <c r="H1618" t="n">
        <v>0</v>
      </c>
      <c r="I1618" t="n">
        <v>0</v>
      </c>
      <c r="J1618" t="n">
        <v>0</v>
      </c>
    </row>
    <row r="1619">
      <c r="A1619" s="5" t="n">
        <v>46128</v>
      </c>
      <c r="B1619" t="inlineStr">
        <is>
          <t>linkedin_ceo_abm</t>
        </is>
      </c>
      <c r="C1619" t="inlineStr">
        <is>
          <t>linkedin</t>
        </is>
      </c>
      <c r="D1619" t="n">
        <v>26150</v>
      </c>
      <c r="E1619" t="n">
        <v>5028</v>
      </c>
      <c r="F1619" t="n">
        <v>34</v>
      </c>
      <c r="G1619" t="n">
        <v>2</v>
      </c>
      <c r="H1619" t="n">
        <v>0</v>
      </c>
      <c r="I1619" t="n">
        <v>1</v>
      </c>
      <c r="J1619" t="n">
        <v>1</v>
      </c>
    </row>
    <row r="1620">
      <c r="A1620" s="5" t="n">
        <v>46128</v>
      </c>
      <c r="B1620" t="inlineStr">
        <is>
          <t>meta_prospecting_founder</t>
        </is>
      </c>
      <c r="C1620" t="inlineStr">
        <is>
          <t>meta</t>
        </is>
      </c>
      <c r="D1620" t="n">
        <v>37161</v>
      </c>
      <c r="E1620" t="n">
        <v>26543</v>
      </c>
      <c r="F1620" t="n">
        <v>254</v>
      </c>
      <c r="G1620" t="n">
        <v>15</v>
      </c>
      <c r="H1620" t="n">
        <v>3</v>
      </c>
      <c r="I1620" t="n">
        <v>4</v>
      </c>
      <c r="J1620" t="n">
        <v>0</v>
      </c>
    </row>
    <row r="1621">
      <c r="A1621" s="5" t="n">
        <v>46128</v>
      </c>
      <c r="B1621" t="inlineStr">
        <is>
          <t>meta_retargeting_webinar</t>
        </is>
      </c>
      <c r="C1621" t="inlineStr">
        <is>
          <t>meta</t>
        </is>
      </c>
      <c r="D1621" t="n">
        <v>10034</v>
      </c>
      <c r="E1621" t="n">
        <v>7167</v>
      </c>
      <c r="F1621" t="n">
        <v>76</v>
      </c>
      <c r="G1621" t="n">
        <v>4</v>
      </c>
      <c r="H1621" t="n">
        <v>0</v>
      </c>
      <c r="I1621" t="n">
        <v>0</v>
      </c>
      <c r="J1621" t="n">
        <v>0</v>
      </c>
    </row>
    <row r="1622">
      <c r="A1622" s="5" t="n">
        <v>46129</v>
      </c>
      <c r="B1622" t="inlineStr">
        <is>
          <t>google_brand_search</t>
        </is>
      </c>
      <c r="C1622" t="inlineStr">
        <is>
          <t>google</t>
        </is>
      </c>
      <c r="D1622" t="n">
        <v>6625</v>
      </c>
      <c r="E1622" t="n">
        <v>1380</v>
      </c>
      <c r="F1622" t="n">
        <v>65</v>
      </c>
      <c r="G1622" t="n">
        <v>1</v>
      </c>
      <c r="H1622" t="n">
        <v>1</v>
      </c>
      <c r="I1622" t="n">
        <v>0</v>
      </c>
      <c r="J1622" t="n">
        <v>0</v>
      </c>
    </row>
    <row r="1623">
      <c r="A1623" s="5" t="n">
        <v>46129</v>
      </c>
      <c r="B1623" t="inlineStr">
        <is>
          <t>google_nonbrand_growth</t>
        </is>
      </c>
      <c r="C1623" t="inlineStr">
        <is>
          <t>google</t>
        </is>
      </c>
      <c r="D1623" t="n">
        <v>17990</v>
      </c>
      <c r="E1623" t="n">
        <v>3747</v>
      </c>
      <c r="F1623" t="n">
        <v>171</v>
      </c>
      <c r="G1623" t="n">
        <v>0</v>
      </c>
      <c r="H1623" t="n">
        <v>1</v>
      </c>
      <c r="I1623" t="n">
        <v>0</v>
      </c>
      <c r="J1623" t="n">
        <v>0</v>
      </c>
    </row>
    <row r="1624">
      <c r="A1624" s="5" t="n">
        <v>46129</v>
      </c>
      <c r="B1624" t="inlineStr">
        <is>
          <t>linkedin_ceo_abm</t>
        </is>
      </c>
      <c r="C1624" t="inlineStr">
        <is>
          <t>linkedin</t>
        </is>
      </c>
      <c r="D1624" t="n">
        <v>22887</v>
      </c>
      <c r="E1624" t="n">
        <v>4401</v>
      </c>
      <c r="F1624" t="n">
        <v>28</v>
      </c>
      <c r="G1624" t="n">
        <v>0</v>
      </c>
      <c r="H1624" t="n">
        <v>1</v>
      </c>
      <c r="I1624" t="n">
        <v>0</v>
      </c>
      <c r="J1624" t="n">
        <v>1</v>
      </c>
    </row>
    <row r="1625">
      <c r="A1625" s="5" t="n">
        <v>46129</v>
      </c>
      <c r="B1625" t="inlineStr">
        <is>
          <t>meta_prospecting_founder</t>
        </is>
      </c>
      <c r="C1625" t="inlineStr">
        <is>
          <t>meta</t>
        </is>
      </c>
      <c r="D1625" t="n">
        <v>41074</v>
      </c>
      <c r="E1625" t="n">
        <v>29338</v>
      </c>
      <c r="F1625" t="n">
        <v>306</v>
      </c>
      <c r="G1625" t="n">
        <v>9</v>
      </c>
      <c r="H1625" t="n">
        <v>1</v>
      </c>
      <c r="I1625" t="n">
        <v>0</v>
      </c>
      <c r="J1625" t="n">
        <v>1</v>
      </c>
    </row>
    <row r="1626">
      <c r="A1626" s="5" t="n">
        <v>46129</v>
      </c>
      <c r="B1626" t="inlineStr">
        <is>
          <t>meta_retargeting_webinar</t>
        </is>
      </c>
      <c r="C1626" t="inlineStr">
        <is>
          <t>meta</t>
        </is>
      </c>
      <c r="D1626" t="n">
        <v>8619</v>
      </c>
      <c r="E1626" t="n">
        <v>6156</v>
      </c>
      <c r="F1626" t="n">
        <v>59</v>
      </c>
      <c r="G1626" t="n">
        <v>1</v>
      </c>
      <c r="H1626" t="n">
        <v>5</v>
      </c>
      <c r="I1626" t="n">
        <v>0</v>
      </c>
      <c r="J1626" t="n">
        <v>0</v>
      </c>
    </row>
    <row r="1627">
      <c r="A1627" s="5" t="n">
        <v>46130</v>
      </c>
      <c r="B1627" t="inlineStr">
        <is>
          <t>google_brand_search</t>
        </is>
      </c>
      <c r="C1627" t="inlineStr">
        <is>
          <t>google</t>
        </is>
      </c>
      <c r="D1627" t="n">
        <v>6838</v>
      </c>
      <c r="E1627" t="n">
        <v>1424</v>
      </c>
      <c r="F1627" t="n">
        <v>82</v>
      </c>
      <c r="G1627" t="n">
        <v>3</v>
      </c>
      <c r="H1627" t="n">
        <v>2</v>
      </c>
      <c r="I1627" t="n">
        <v>0</v>
      </c>
      <c r="J1627" t="n">
        <v>0</v>
      </c>
    </row>
    <row r="1628">
      <c r="A1628" s="5" t="n">
        <v>46130</v>
      </c>
      <c r="B1628" t="inlineStr">
        <is>
          <t>google_nonbrand_growth</t>
        </is>
      </c>
      <c r="C1628" t="inlineStr">
        <is>
          <t>google</t>
        </is>
      </c>
      <c r="D1628" t="n">
        <v>19212</v>
      </c>
      <c r="E1628" t="n">
        <v>4002</v>
      </c>
      <c r="F1628" t="n">
        <v>208</v>
      </c>
      <c r="G1628" t="n">
        <v>4</v>
      </c>
      <c r="H1628" t="n">
        <v>0</v>
      </c>
      <c r="I1628" t="n">
        <v>0</v>
      </c>
      <c r="J1628" t="n">
        <v>0</v>
      </c>
    </row>
    <row r="1629">
      <c r="A1629" s="5" t="n">
        <v>46130</v>
      </c>
      <c r="B1629" t="inlineStr">
        <is>
          <t>linkedin_ceo_abm</t>
        </is>
      </c>
      <c r="C1629" t="inlineStr">
        <is>
          <t>linkedin</t>
        </is>
      </c>
      <c r="D1629" t="n">
        <v>27771</v>
      </c>
      <c r="E1629" t="n">
        <v>5340</v>
      </c>
      <c r="F1629" t="n">
        <v>39</v>
      </c>
      <c r="G1629" t="n">
        <v>1</v>
      </c>
      <c r="H1629" t="n">
        <v>3</v>
      </c>
      <c r="I1629" t="n">
        <v>0</v>
      </c>
      <c r="J1629" t="n">
        <v>0</v>
      </c>
    </row>
    <row r="1630">
      <c r="A1630" s="5" t="n">
        <v>46130</v>
      </c>
      <c r="B1630" t="inlineStr">
        <is>
          <t>meta_prospecting_founder</t>
        </is>
      </c>
      <c r="C1630" t="inlineStr">
        <is>
          <t>meta</t>
        </is>
      </c>
      <c r="D1630" t="n">
        <v>39382</v>
      </c>
      <c r="E1630" t="n">
        <v>28130</v>
      </c>
      <c r="F1630" t="n">
        <v>273</v>
      </c>
      <c r="G1630" t="n">
        <v>12</v>
      </c>
      <c r="H1630" t="n">
        <v>4</v>
      </c>
      <c r="I1630" t="n">
        <v>0</v>
      </c>
      <c r="J1630" t="n">
        <v>0</v>
      </c>
    </row>
    <row r="1631">
      <c r="A1631" s="5" t="n">
        <v>46130</v>
      </c>
      <c r="B1631" t="inlineStr">
        <is>
          <t>meta_retargeting_webinar</t>
        </is>
      </c>
      <c r="C1631" t="inlineStr">
        <is>
          <t>meta</t>
        </is>
      </c>
      <c r="D1631" t="n">
        <v>8851</v>
      </c>
      <c r="E1631" t="n">
        <v>6322</v>
      </c>
      <c r="F1631" t="n">
        <v>76</v>
      </c>
      <c r="G1631" t="n">
        <v>5</v>
      </c>
      <c r="H1631" t="n">
        <v>1</v>
      </c>
      <c r="I1631" t="n">
        <v>3</v>
      </c>
      <c r="J1631" t="n">
        <v>0</v>
      </c>
    </row>
    <row r="1632">
      <c r="A1632" s="5" t="n">
        <v>46131</v>
      </c>
      <c r="B1632" t="inlineStr">
        <is>
          <t>google_brand_search</t>
        </is>
      </c>
      <c r="C1632" t="inlineStr">
        <is>
          <t>google</t>
        </is>
      </c>
      <c r="D1632" t="n">
        <v>6492</v>
      </c>
      <c r="E1632" t="n">
        <v>1352</v>
      </c>
      <c r="F1632" t="n">
        <v>70</v>
      </c>
      <c r="G1632" t="n">
        <v>3</v>
      </c>
      <c r="H1632" t="n">
        <v>1</v>
      </c>
      <c r="I1632" t="n">
        <v>1</v>
      </c>
      <c r="J1632" t="n">
        <v>2</v>
      </c>
    </row>
    <row r="1633">
      <c r="A1633" s="5" t="n">
        <v>46131</v>
      </c>
      <c r="B1633" t="inlineStr">
        <is>
          <t>google_nonbrand_growth</t>
        </is>
      </c>
      <c r="C1633" t="inlineStr">
        <is>
          <t>google</t>
        </is>
      </c>
      <c r="D1633" t="n">
        <v>20693</v>
      </c>
      <c r="E1633" t="n">
        <v>4311</v>
      </c>
      <c r="F1633" t="n">
        <v>196</v>
      </c>
      <c r="G1633" t="n">
        <v>1</v>
      </c>
      <c r="H1633" t="n">
        <v>1</v>
      </c>
      <c r="I1633" t="n">
        <v>0</v>
      </c>
      <c r="J1633" t="n">
        <v>0</v>
      </c>
    </row>
    <row r="1634">
      <c r="A1634" s="5" t="n">
        <v>46131</v>
      </c>
      <c r="B1634" t="inlineStr">
        <is>
          <t>linkedin_ceo_abm</t>
        </is>
      </c>
      <c r="C1634" t="inlineStr">
        <is>
          <t>linkedin</t>
        </is>
      </c>
      <c r="D1634" t="n">
        <v>25129</v>
      </c>
      <c r="E1634" t="n">
        <v>4832</v>
      </c>
      <c r="F1634" t="n">
        <v>31</v>
      </c>
      <c r="G1634" t="n">
        <v>1</v>
      </c>
      <c r="H1634" t="n">
        <v>0</v>
      </c>
      <c r="I1634" t="n">
        <v>0</v>
      </c>
      <c r="J1634" t="n">
        <v>1</v>
      </c>
    </row>
    <row r="1635">
      <c r="A1635" s="5" t="n">
        <v>46131</v>
      </c>
      <c r="B1635" t="inlineStr">
        <is>
          <t>meta_prospecting_founder</t>
        </is>
      </c>
      <c r="C1635" t="inlineStr">
        <is>
          <t>meta</t>
        </is>
      </c>
      <c r="D1635" t="n">
        <v>38919</v>
      </c>
      <c r="E1635" t="n">
        <v>27799</v>
      </c>
      <c r="F1635" t="n">
        <v>301</v>
      </c>
      <c r="G1635" t="n">
        <v>4</v>
      </c>
      <c r="H1635" t="n">
        <v>6</v>
      </c>
      <c r="I1635" t="n">
        <v>2</v>
      </c>
      <c r="J1635" t="n">
        <v>0</v>
      </c>
    </row>
    <row r="1636">
      <c r="A1636" s="5" t="n">
        <v>46131</v>
      </c>
      <c r="B1636" t="inlineStr">
        <is>
          <t>meta_retargeting_webinar</t>
        </is>
      </c>
      <c r="C1636" t="inlineStr">
        <is>
          <t>meta</t>
        </is>
      </c>
      <c r="D1636" t="n">
        <v>9161</v>
      </c>
      <c r="E1636" t="n">
        <v>6543</v>
      </c>
      <c r="F1636" t="n">
        <v>75</v>
      </c>
      <c r="G1636" t="n">
        <v>7</v>
      </c>
      <c r="H1636" t="n">
        <v>1</v>
      </c>
      <c r="I1636" t="n">
        <v>1</v>
      </c>
      <c r="J1636" t="n">
        <v>0</v>
      </c>
    </row>
    <row r="1637">
      <c r="A1637" s="5" t="n">
        <v>46132</v>
      </c>
      <c r="B1637" t="inlineStr">
        <is>
          <t>google_brand_search</t>
        </is>
      </c>
      <c r="C1637" t="inlineStr">
        <is>
          <t>google</t>
        </is>
      </c>
      <c r="D1637" t="n">
        <v>6217</v>
      </c>
      <c r="E1637" t="n">
        <v>1295</v>
      </c>
      <c r="F1637" t="n">
        <v>70</v>
      </c>
      <c r="G1637" t="n">
        <v>8</v>
      </c>
      <c r="H1637" t="n">
        <v>0</v>
      </c>
      <c r="I1637" t="n">
        <v>3</v>
      </c>
      <c r="J1637" t="n">
        <v>0</v>
      </c>
    </row>
    <row r="1638">
      <c r="A1638" s="5" t="n">
        <v>46132</v>
      </c>
      <c r="B1638" t="inlineStr">
        <is>
          <t>google_nonbrand_growth</t>
        </is>
      </c>
      <c r="C1638" t="inlineStr">
        <is>
          <t>google</t>
        </is>
      </c>
      <c r="D1638" t="n">
        <v>18421</v>
      </c>
      <c r="E1638" t="n">
        <v>3837</v>
      </c>
      <c r="F1638" t="n">
        <v>208</v>
      </c>
      <c r="G1638" t="n">
        <v>2</v>
      </c>
      <c r="H1638" t="n">
        <v>0</v>
      </c>
      <c r="I1638" t="n">
        <v>0</v>
      </c>
      <c r="J1638" t="n">
        <v>0</v>
      </c>
    </row>
    <row r="1639">
      <c r="A1639" s="5" t="n">
        <v>46132</v>
      </c>
      <c r="B1639" t="inlineStr">
        <is>
          <t>linkedin_ceo_abm</t>
        </is>
      </c>
      <c r="C1639" t="inlineStr">
        <is>
          <t>linkedin</t>
        </is>
      </c>
      <c r="D1639" t="n">
        <v>23374</v>
      </c>
      <c r="E1639" t="n">
        <v>4495</v>
      </c>
      <c r="F1639" t="n">
        <v>33</v>
      </c>
      <c r="G1639" t="n">
        <v>2</v>
      </c>
      <c r="H1639" t="n">
        <v>0</v>
      </c>
      <c r="I1639" t="n">
        <v>0</v>
      </c>
      <c r="J1639" t="n">
        <v>0</v>
      </c>
    </row>
    <row r="1640">
      <c r="A1640" s="5" t="n">
        <v>46132</v>
      </c>
      <c r="B1640" t="inlineStr">
        <is>
          <t>meta_prospecting_founder</t>
        </is>
      </c>
      <c r="C1640" t="inlineStr">
        <is>
          <t>meta</t>
        </is>
      </c>
      <c r="D1640" t="n">
        <v>35903</v>
      </c>
      <c r="E1640" t="n">
        <v>25645</v>
      </c>
      <c r="F1640" t="n">
        <v>282</v>
      </c>
      <c r="G1640" t="n">
        <v>7</v>
      </c>
      <c r="H1640" t="n">
        <v>3</v>
      </c>
      <c r="I1640" t="n">
        <v>5</v>
      </c>
      <c r="J1640" t="n">
        <v>0</v>
      </c>
    </row>
    <row r="1641">
      <c r="A1641" s="5" t="n">
        <v>46132</v>
      </c>
      <c r="B1641" t="inlineStr">
        <is>
          <t>meta_retargeting_webinar</t>
        </is>
      </c>
      <c r="C1641" t="inlineStr">
        <is>
          <t>meta</t>
        </is>
      </c>
      <c r="D1641" t="n">
        <v>9794</v>
      </c>
      <c r="E1641" t="n">
        <v>6995</v>
      </c>
      <c r="F1641" t="n">
        <v>66</v>
      </c>
      <c r="G1641" t="n">
        <v>1</v>
      </c>
      <c r="H1641" t="n">
        <v>1</v>
      </c>
      <c r="I1641" t="n">
        <v>1</v>
      </c>
      <c r="J1641" t="n">
        <v>0</v>
      </c>
    </row>
    <row r="1642">
      <c r="A1642" s="5" t="n">
        <v>46133</v>
      </c>
      <c r="B1642" t="inlineStr">
        <is>
          <t>google_brand_search</t>
        </is>
      </c>
      <c r="C1642" t="inlineStr">
        <is>
          <t>google</t>
        </is>
      </c>
      <c r="D1642" t="n">
        <v>6326</v>
      </c>
      <c r="E1642" t="n">
        <v>1317</v>
      </c>
      <c r="F1642" t="n">
        <v>59</v>
      </c>
      <c r="G1642" t="n">
        <v>2</v>
      </c>
      <c r="H1642" t="n">
        <v>3</v>
      </c>
      <c r="I1642" t="n">
        <v>0</v>
      </c>
      <c r="J1642" t="n">
        <v>0</v>
      </c>
    </row>
    <row r="1643">
      <c r="A1643" s="5" t="n">
        <v>46133</v>
      </c>
      <c r="B1643" t="inlineStr">
        <is>
          <t>google_nonbrand_growth</t>
        </is>
      </c>
      <c r="C1643" t="inlineStr">
        <is>
          <t>google</t>
        </is>
      </c>
      <c r="D1643" t="n">
        <v>19212</v>
      </c>
      <c r="E1643" t="n">
        <v>4002</v>
      </c>
      <c r="F1643" t="n">
        <v>194</v>
      </c>
      <c r="G1643" t="n">
        <v>3</v>
      </c>
      <c r="H1643" t="n">
        <v>1</v>
      </c>
      <c r="I1643" t="n">
        <v>0</v>
      </c>
      <c r="J1643" t="n">
        <v>0</v>
      </c>
    </row>
    <row r="1644">
      <c r="A1644" s="5" t="n">
        <v>46133</v>
      </c>
      <c r="B1644" t="inlineStr">
        <is>
          <t>linkedin_ceo_abm</t>
        </is>
      </c>
      <c r="C1644" t="inlineStr">
        <is>
          <t>linkedin</t>
        </is>
      </c>
      <c r="D1644" t="n">
        <v>26031</v>
      </c>
      <c r="E1644" t="n">
        <v>5005</v>
      </c>
      <c r="F1644" t="n">
        <v>29</v>
      </c>
      <c r="G1644" t="n">
        <v>3</v>
      </c>
      <c r="H1644" t="n">
        <v>1</v>
      </c>
      <c r="I1644" t="n">
        <v>2</v>
      </c>
      <c r="J1644" t="n">
        <v>0</v>
      </c>
    </row>
    <row r="1645">
      <c r="A1645" s="5" t="n">
        <v>46133</v>
      </c>
      <c r="B1645" t="inlineStr">
        <is>
          <t>meta_prospecting_founder</t>
        </is>
      </c>
      <c r="C1645" t="inlineStr">
        <is>
          <t>meta</t>
        </is>
      </c>
      <c r="D1645" t="n">
        <v>40377</v>
      </c>
      <c r="E1645" t="n">
        <v>28840</v>
      </c>
      <c r="F1645" t="n">
        <v>317</v>
      </c>
      <c r="G1645" t="n">
        <v>10</v>
      </c>
      <c r="H1645" t="n">
        <v>0</v>
      </c>
      <c r="I1645" t="n">
        <v>2</v>
      </c>
      <c r="J1645" t="n">
        <v>0</v>
      </c>
    </row>
    <row r="1646">
      <c r="A1646" s="5" t="n">
        <v>46133</v>
      </c>
      <c r="B1646" t="inlineStr">
        <is>
          <t>meta_retargeting_webinar</t>
        </is>
      </c>
      <c r="C1646" t="inlineStr">
        <is>
          <t>meta</t>
        </is>
      </c>
      <c r="D1646" t="n">
        <v>9279</v>
      </c>
      <c r="E1646" t="n">
        <v>6627</v>
      </c>
      <c r="F1646" t="n">
        <v>72</v>
      </c>
      <c r="G1646" t="n">
        <v>3</v>
      </c>
      <c r="H1646" t="n">
        <v>1</v>
      </c>
      <c r="I1646" t="n">
        <v>1</v>
      </c>
      <c r="J1646" t="n">
        <v>0</v>
      </c>
    </row>
    <row r="1647">
      <c r="A1647" s="5" t="n">
        <v>46134</v>
      </c>
      <c r="B1647" t="inlineStr">
        <is>
          <t>google_brand_search</t>
        </is>
      </c>
      <c r="C1647" t="inlineStr">
        <is>
          <t>google</t>
        </is>
      </c>
      <c r="D1647" t="n">
        <v>6373</v>
      </c>
      <c r="E1647" t="n">
        <v>1327</v>
      </c>
      <c r="F1647" t="n">
        <v>73</v>
      </c>
      <c r="G1647" t="n">
        <v>0</v>
      </c>
      <c r="H1647" t="n">
        <v>2</v>
      </c>
      <c r="I1647" t="n">
        <v>0</v>
      </c>
      <c r="J1647" t="n">
        <v>0</v>
      </c>
    </row>
    <row r="1648">
      <c r="A1648" s="5" t="n">
        <v>46134</v>
      </c>
      <c r="B1648" t="inlineStr">
        <is>
          <t>google_nonbrand_growth</t>
        </is>
      </c>
      <c r="C1648" t="inlineStr">
        <is>
          <t>google</t>
        </is>
      </c>
      <c r="D1648" t="n">
        <v>19736</v>
      </c>
      <c r="E1648" t="n">
        <v>4111</v>
      </c>
      <c r="F1648" t="n">
        <v>196</v>
      </c>
      <c r="G1648" t="n">
        <v>4</v>
      </c>
      <c r="H1648" t="n">
        <v>1</v>
      </c>
      <c r="I1648" t="n">
        <v>0</v>
      </c>
      <c r="J1648" t="n">
        <v>0</v>
      </c>
    </row>
    <row r="1649">
      <c r="A1649" s="5" t="n">
        <v>46134</v>
      </c>
      <c r="B1649" t="inlineStr">
        <is>
          <t>linkedin_ceo_abm</t>
        </is>
      </c>
      <c r="C1649" t="inlineStr">
        <is>
          <t>linkedin</t>
        </is>
      </c>
      <c r="D1649" t="n">
        <v>27425</v>
      </c>
      <c r="E1649" t="n">
        <v>5274</v>
      </c>
      <c r="F1649" t="n">
        <v>31</v>
      </c>
      <c r="G1649" t="n">
        <v>6</v>
      </c>
      <c r="H1649" t="n">
        <v>1</v>
      </c>
      <c r="I1649" t="n">
        <v>1</v>
      </c>
      <c r="J1649" t="n">
        <v>0</v>
      </c>
    </row>
    <row r="1650">
      <c r="A1650" s="5" t="n">
        <v>46134</v>
      </c>
      <c r="B1650" t="inlineStr">
        <is>
          <t>meta_prospecting_founder</t>
        </is>
      </c>
      <c r="C1650" t="inlineStr">
        <is>
          <t>meta</t>
        </is>
      </c>
      <c r="D1650" t="n">
        <v>37546</v>
      </c>
      <c r="E1650" t="n">
        <v>26818</v>
      </c>
      <c r="F1650" t="n">
        <v>270</v>
      </c>
      <c r="G1650" t="n">
        <v>15</v>
      </c>
      <c r="H1650" t="n">
        <v>2</v>
      </c>
      <c r="I1650" t="n">
        <v>2</v>
      </c>
      <c r="J1650" t="n">
        <v>0</v>
      </c>
    </row>
    <row r="1651">
      <c r="A1651" s="5" t="n">
        <v>46134</v>
      </c>
      <c r="B1651" t="inlineStr">
        <is>
          <t>meta_retargeting_webinar</t>
        </is>
      </c>
      <c r="C1651" t="inlineStr">
        <is>
          <t>meta</t>
        </is>
      </c>
      <c r="D1651" t="n">
        <v>8646</v>
      </c>
      <c r="E1651" t="n">
        <v>6175</v>
      </c>
      <c r="F1651" t="n">
        <v>75</v>
      </c>
      <c r="G1651" t="n">
        <v>4</v>
      </c>
      <c r="H1651" t="n">
        <v>0</v>
      </c>
      <c r="I1651" t="n">
        <v>0</v>
      </c>
      <c r="J1651" t="n">
        <v>0</v>
      </c>
    </row>
    <row r="1652">
      <c r="A1652" s="5" t="n">
        <v>46135</v>
      </c>
      <c r="B1652" t="inlineStr">
        <is>
          <t>google_brand_search</t>
        </is>
      </c>
      <c r="C1652" t="inlineStr">
        <is>
          <t>google</t>
        </is>
      </c>
      <c r="D1652" t="n">
        <v>6794</v>
      </c>
      <c r="E1652" t="n">
        <v>1415</v>
      </c>
      <c r="F1652" t="n">
        <v>79</v>
      </c>
      <c r="G1652" t="n">
        <v>3</v>
      </c>
      <c r="H1652" t="n">
        <v>1</v>
      </c>
      <c r="I1652" t="n">
        <v>2</v>
      </c>
      <c r="J1652" t="n">
        <v>0</v>
      </c>
    </row>
    <row r="1653">
      <c r="A1653" s="5" t="n">
        <v>46135</v>
      </c>
      <c r="B1653" t="inlineStr">
        <is>
          <t>google_nonbrand_growth</t>
        </is>
      </c>
      <c r="C1653" t="inlineStr">
        <is>
          <t>google</t>
        </is>
      </c>
      <c r="D1653" t="n">
        <v>17978</v>
      </c>
      <c r="E1653" t="n">
        <v>3745</v>
      </c>
      <c r="F1653" t="n">
        <v>209</v>
      </c>
      <c r="G1653" t="n">
        <v>4</v>
      </c>
      <c r="H1653" t="n">
        <v>1</v>
      </c>
      <c r="I1653" t="n">
        <v>1</v>
      </c>
      <c r="J1653" t="n">
        <v>0</v>
      </c>
    </row>
    <row r="1654">
      <c r="A1654" s="5" t="n">
        <v>46135</v>
      </c>
      <c r="B1654" t="inlineStr">
        <is>
          <t>linkedin_ceo_abm</t>
        </is>
      </c>
      <c r="C1654" t="inlineStr">
        <is>
          <t>linkedin</t>
        </is>
      </c>
      <c r="D1654" t="n">
        <v>25124</v>
      </c>
      <c r="E1654" t="n">
        <v>4831</v>
      </c>
      <c r="F1654" t="n">
        <v>35</v>
      </c>
      <c r="G1654" t="n">
        <v>0</v>
      </c>
      <c r="H1654" t="n">
        <v>4</v>
      </c>
      <c r="I1654" t="n">
        <v>1</v>
      </c>
      <c r="J1654" t="n">
        <v>1</v>
      </c>
    </row>
    <row r="1655">
      <c r="A1655" s="5" t="n">
        <v>46135</v>
      </c>
      <c r="B1655" t="inlineStr">
        <is>
          <t>meta_prospecting_founder</t>
        </is>
      </c>
      <c r="C1655" t="inlineStr">
        <is>
          <t>meta</t>
        </is>
      </c>
      <c r="D1655" t="n">
        <v>41246</v>
      </c>
      <c r="E1655" t="n">
        <v>29461</v>
      </c>
      <c r="F1655" t="n">
        <v>350</v>
      </c>
      <c r="G1655" t="n">
        <v>12</v>
      </c>
      <c r="H1655" t="n">
        <v>2</v>
      </c>
      <c r="I1655" t="n">
        <v>2</v>
      </c>
      <c r="J1655" t="n">
        <v>0</v>
      </c>
    </row>
    <row r="1656">
      <c r="A1656" s="5" t="n">
        <v>46135</v>
      </c>
      <c r="B1656" t="inlineStr">
        <is>
          <t>meta_retargeting_webinar</t>
        </is>
      </c>
      <c r="C1656" t="inlineStr">
        <is>
          <t>meta</t>
        </is>
      </c>
      <c r="D1656" t="n">
        <v>8506</v>
      </c>
      <c r="E1656" t="n">
        <v>6075</v>
      </c>
      <c r="F1656" t="n">
        <v>63</v>
      </c>
      <c r="G1656" t="n">
        <v>2</v>
      </c>
      <c r="H1656" t="n">
        <v>0</v>
      </c>
      <c r="I1656" t="n">
        <v>1</v>
      </c>
      <c r="J1656" t="n">
        <v>0</v>
      </c>
    </row>
    <row r="1657">
      <c r="A1657" s="5" t="n">
        <v>46136</v>
      </c>
      <c r="B1657" t="inlineStr">
        <is>
          <t>google_brand_search</t>
        </is>
      </c>
      <c r="C1657" t="inlineStr">
        <is>
          <t>google</t>
        </is>
      </c>
      <c r="D1657" t="n">
        <v>6547</v>
      </c>
      <c r="E1657" t="n">
        <v>1363</v>
      </c>
      <c r="F1657" t="n">
        <v>70</v>
      </c>
      <c r="G1657" t="n">
        <v>1</v>
      </c>
      <c r="H1657" t="n">
        <v>1</v>
      </c>
      <c r="I1657" t="n">
        <v>1</v>
      </c>
      <c r="J1657" t="n">
        <v>0</v>
      </c>
    </row>
    <row r="1658">
      <c r="A1658" s="5" t="n">
        <v>46136</v>
      </c>
      <c r="B1658" t="inlineStr">
        <is>
          <t>google_nonbrand_growth</t>
        </is>
      </c>
      <c r="C1658" t="inlineStr">
        <is>
          <t>google</t>
        </is>
      </c>
      <c r="D1658" t="n">
        <v>19005</v>
      </c>
      <c r="E1658" t="n">
        <v>3959</v>
      </c>
      <c r="F1658" t="n">
        <v>196</v>
      </c>
      <c r="G1658" t="n">
        <v>3</v>
      </c>
      <c r="H1658" t="n">
        <v>1</v>
      </c>
      <c r="I1658" t="n">
        <v>0</v>
      </c>
      <c r="J1658" t="n">
        <v>0</v>
      </c>
    </row>
    <row r="1659">
      <c r="A1659" s="5" t="n">
        <v>46136</v>
      </c>
      <c r="B1659" t="inlineStr">
        <is>
          <t>linkedin_ceo_abm</t>
        </is>
      </c>
      <c r="C1659" t="inlineStr">
        <is>
          <t>linkedin</t>
        </is>
      </c>
      <c r="D1659" t="n">
        <v>23367</v>
      </c>
      <c r="E1659" t="n">
        <v>4493</v>
      </c>
      <c r="F1659" t="n">
        <v>32</v>
      </c>
      <c r="G1659" t="n">
        <v>1</v>
      </c>
      <c r="H1659" t="n">
        <v>0</v>
      </c>
      <c r="I1659" t="n">
        <v>1</v>
      </c>
      <c r="J1659" t="n">
        <v>0</v>
      </c>
    </row>
    <row r="1660">
      <c r="A1660" s="5" t="n">
        <v>46136</v>
      </c>
      <c r="B1660" t="inlineStr">
        <is>
          <t>meta_prospecting_founder</t>
        </is>
      </c>
      <c r="C1660" t="inlineStr">
        <is>
          <t>meta</t>
        </is>
      </c>
      <c r="D1660" t="n">
        <v>38305</v>
      </c>
      <c r="E1660" t="n">
        <v>27360</v>
      </c>
      <c r="F1660" t="n">
        <v>317</v>
      </c>
      <c r="G1660" t="n">
        <v>7</v>
      </c>
      <c r="H1660" t="n">
        <v>4</v>
      </c>
      <c r="I1660" t="n">
        <v>1</v>
      </c>
      <c r="J1660" t="n">
        <v>0</v>
      </c>
    </row>
    <row r="1661">
      <c r="A1661" s="5" t="n">
        <v>46136</v>
      </c>
      <c r="B1661" t="inlineStr">
        <is>
          <t>meta_retargeting_webinar</t>
        </is>
      </c>
      <c r="C1661" t="inlineStr">
        <is>
          <t>meta</t>
        </is>
      </c>
      <c r="D1661" t="n">
        <v>9340</v>
      </c>
      <c r="E1661" t="n">
        <v>6671</v>
      </c>
      <c r="F1661" t="n">
        <v>73</v>
      </c>
      <c r="G1661" t="n">
        <v>3</v>
      </c>
      <c r="H1661" t="n">
        <v>2</v>
      </c>
      <c r="I1661" t="n">
        <v>0</v>
      </c>
      <c r="J1661" t="n">
        <v>0</v>
      </c>
    </row>
    <row r="1662">
      <c r="A1662" s="5" t="n">
        <v>46137</v>
      </c>
      <c r="B1662" t="inlineStr">
        <is>
          <t>google_brand_search</t>
        </is>
      </c>
      <c r="C1662" t="inlineStr">
        <is>
          <t>google</t>
        </is>
      </c>
      <c r="D1662" t="n">
        <v>6420</v>
      </c>
      <c r="E1662" t="n">
        <v>1337</v>
      </c>
      <c r="F1662" t="n">
        <v>75</v>
      </c>
      <c r="G1662" t="n">
        <v>1</v>
      </c>
      <c r="H1662" t="n">
        <v>2</v>
      </c>
      <c r="I1662" t="n">
        <v>2</v>
      </c>
      <c r="J1662" t="n">
        <v>0</v>
      </c>
    </row>
    <row r="1663">
      <c r="A1663" s="5" t="n">
        <v>46137</v>
      </c>
      <c r="B1663" t="inlineStr">
        <is>
          <t>google_nonbrand_growth</t>
        </is>
      </c>
      <c r="C1663" t="inlineStr">
        <is>
          <t>google</t>
        </is>
      </c>
      <c r="D1663" t="n">
        <v>19483</v>
      </c>
      <c r="E1663" t="n">
        <v>4058</v>
      </c>
      <c r="F1663" t="n">
        <v>216</v>
      </c>
      <c r="G1663" t="n">
        <v>3</v>
      </c>
      <c r="H1663" t="n">
        <v>1</v>
      </c>
      <c r="I1663" t="n">
        <v>0</v>
      </c>
      <c r="J1663" t="n">
        <v>0</v>
      </c>
    </row>
    <row r="1664">
      <c r="A1664" s="5" t="n">
        <v>46137</v>
      </c>
      <c r="B1664" t="inlineStr">
        <is>
          <t>linkedin_ceo_abm</t>
        </is>
      </c>
      <c r="C1664" t="inlineStr">
        <is>
          <t>linkedin</t>
        </is>
      </c>
      <c r="D1664" t="n">
        <v>25869</v>
      </c>
      <c r="E1664" t="n">
        <v>4974</v>
      </c>
      <c r="F1664" t="n">
        <v>36</v>
      </c>
      <c r="G1664" t="n">
        <v>0</v>
      </c>
      <c r="H1664" t="n">
        <v>1</v>
      </c>
      <c r="I1664" t="n">
        <v>1</v>
      </c>
      <c r="J1664" t="n">
        <v>1</v>
      </c>
    </row>
    <row r="1665">
      <c r="A1665" s="5" t="n">
        <v>46137</v>
      </c>
      <c r="B1665" t="inlineStr">
        <is>
          <t>meta_prospecting_founder</t>
        </is>
      </c>
      <c r="C1665" t="inlineStr">
        <is>
          <t>meta</t>
        </is>
      </c>
      <c r="D1665" t="n">
        <v>40739</v>
      </c>
      <c r="E1665" t="n">
        <v>29099</v>
      </c>
      <c r="F1665" t="n">
        <v>337</v>
      </c>
      <c r="G1665" t="n">
        <v>10</v>
      </c>
      <c r="H1665" t="n">
        <v>2</v>
      </c>
      <c r="I1665" t="n">
        <v>1</v>
      </c>
      <c r="J1665" t="n">
        <v>0</v>
      </c>
    </row>
    <row r="1666">
      <c r="A1666" s="5" t="n">
        <v>46137</v>
      </c>
      <c r="B1666" t="inlineStr">
        <is>
          <t>meta_retargeting_webinar</t>
        </is>
      </c>
      <c r="C1666" t="inlineStr">
        <is>
          <t>meta</t>
        </is>
      </c>
      <c r="D1666" t="n">
        <v>9996</v>
      </c>
      <c r="E1666" t="n">
        <v>7140</v>
      </c>
      <c r="F1666" t="n">
        <v>85</v>
      </c>
      <c r="G1666" t="n">
        <v>1</v>
      </c>
      <c r="H1666" t="n">
        <v>1</v>
      </c>
      <c r="I1666" t="n">
        <v>0</v>
      </c>
      <c r="J1666" t="n">
        <v>0</v>
      </c>
    </row>
    <row r="1667">
      <c r="A1667" s="5" t="n">
        <v>46138</v>
      </c>
      <c r="B1667" t="inlineStr">
        <is>
          <t>google_brand_search</t>
        </is>
      </c>
      <c r="C1667" t="inlineStr">
        <is>
          <t>google</t>
        </is>
      </c>
      <c r="D1667" t="n">
        <v>7081</v>
      </c>
      <c r="E1667" t="n">
        <v>1475</v>
      </c>
      <c r="F1667" t="n">
        <v>81</v>
      </c>
      <c r="G1667" t="n">
        <v>5</v>
      </c>
      <c r="H1667" t="n">
        <v>2</v>
      </c>
      <c r="I1667" t="n">
        <v>0</v>
      </c>
      <c r="J1667" t="n">
        <v>0</v>
      </c>
    </row>
    <row r="1668">
      <c r="A1668" s="5" t="n">
        <v>46138</v>
      </c>
      <c r="B1668" t="inlineStr">
        <is>
          <t>google_nonbrand_growth</t>
        </is>
      </c>
      <c r="C1668" t="inlineStr">
        <is>
          <t>google</t>
        </is>
      </c>
      <c r="D1668" t="n">
        <v>19624</v>
      </c>
      <c r="E1668" t="n">
        <v>4088</v>
      </c>
      <c r="F1668" t="n">
        <v>189</v>
      </c>
      <c r="G1668" t="n">
        <v>2</v>
      </c>
      <c r="H1668" t="n">
        <v>0</v>
      </c>
      <c r="I1668" t="n">
        <v>0</v>
      </c>
      <c r="J1668" t="n">
        <v>0</v>
      </c>
    </row>
    <row r="1669">
      <c r="A1669" s="5" t="n">
        <v>46138</v>
      </c>
      <c r="B1669" t="inlineStr">
        <is>
          <t>linkedin_ceo_abm</t>
        </is>
      </c>
      <c r="C1669" t="inlineStr">
        <is>
          <t>linkedin</t>
        </is>
      </c>
      <c r="D1669" t="n">
        <v>26065</v>
      </c>
      <c r="E1669" t="n">
        <v>5012</v>
      </c>
      <c r="F1669" t="n">
        <v>34</v>
      </c>
      <c r="G1669" t="n">
        <v>0</v>
      </c>
      <c r="H1669" t="n">
        <v>0</v>
      </c>
      <c r="I1669" t="n">
        <v>0</v>
      </c>
      <c r="J1669" t="n">
        <v>0</v>
      </c>
    </row>
    <row r="1670">
      <c r="A1670" s="5" t="n">
        <v>46138</v>
      </c>
      <c r="B1670" t="inlineStr">
        <is>
          <t>meta_prospecting_founder</t>
        </is>
      </c>
      <c r="C1670" t="inlineStr">
        <is>
          <t>meta</t>
        </is>
      </c>
      <c r="D1670" t="n">
        <v>39930</v>
      </c>
      <c r="E1670" t="n">
        <v>28521</v>
      </c>
      <c r="F1670" t="n">
        <v>312</v>
      </c>
      <c r="G1670" t="n">
        <v>12</v>
      </c>
      <c r="H1670" t="n">
        <v>1</v>
      </c>
      <c r="I1670" t="n">
        <v>2</v>
      </c>
      <c r="J1670" t="n">
        <v>0</v>
      </c>
    </row>
    <row r="1671">
      <c r="A1671" s="5" t="n">
        <v>46138</v>
      </c>
      <c r="B1671" t="inlineStr">
        <is>
          <t>meta_retargeting_webinar</t>
        </is>
      </c>
      <c r="C1671" t="inlineStr">
        <is>
          <t>meta</t>
        </is>
      </c>
      <c r="D1671" t="n">
        <v>8538</v>
      </c>
      <c r="E1671" t="n">
        <v>6098</v>
      </c>
      <c r="F1671" t="n">
        <v>67</v>
      </c>
      <c r="G1671" t="n">
        <v>1</v>
      </c>
      <c r="H1671" t="n">
        <v>1</v>
      </c>
      <c r="I1671" t="n">
        <v>0</v>
      </c>
      <c r="J1671" t="n">
        <v>0</v>
      </c>
    </row>
    <row r="1672">
      <c r="A1672" s="5" t="n">
        <v>46139</v>
      </c>
      <c r="B1672" t="inlineStr">
        <is>
          <t>google_brand_search</t>
        </is>
      </c>
      <c r="C1672" t="inlineStr">
        <is>
          <t>google</t>
        </is>
      </c>
      <c r="D1672" t="n">
        <v>7047</v>
      </c>
      <c r="E1672" t="n">
        <v>1468</v>
      </c>
      <c r="F1672" t="n">
        <v>71</v>
      </c>
      <c r="G1672" t="n">
        <v>1</v>
      </c>
      <c r="H1672" t="n">
        <v>1</v>
      </c>
      <c r="I1672" t="n">
        <v>0</v>
      </c>
      <c r="J1672" t="n">
        <v>1</v>
      </c>
    </row>
    <row r="1673">
      <c r="A1673" s="5" t="n">
        <v>46139</v>
      </c>
      <c r="B1673" t="inlineStr">
        <is>
          <t>google_nonbrand_growth</t>
        </is>
      </c>
      <c r="C1673" t="inlineStr">
        <is>
          <t>google</t>
        </is>
      </c>
      <c r="D1673" t="n">
        <v>18542</v>
      </c>
      <c r="E1673" t="n">
        <v>3862</v>
      </c>
      <c r="F1673" t="n">
        <v>210</v>
      </c>
      <c r="G1673" t="n">
        <v>6</v>
      </c>
      <c r="H1673" t="n">
        <v>1</v>
      </c>
      <c r="I1673" t="n">
        <v>0</v>
      </c>
      <c r="J1673" t="n">
        <v>0</v>
      </c>
    </row>
    <row r="1674">
      <c r="A1674" s="5" t="n">
        <v>46139</v>
      </c>
      <c r="B1674" t="inlineStr">
        <is>
          <t>linkedin_ceo_abm</t>
        </is>
      </c>
      <c r="C1674" t="inlineStr">
        <is>
          <t>linkedin</t>
        </is>
      </c>
      <c r="D1674" t="n">
        <v>24900</v>
      </c>
      <c r="E1674" t="n">
        <v>4788</v>
      </c>
      <c r="F1674" t="n">
        <v>28</v>
      </c>
      <c r="G1674" t="n">
        <v>3</v>
      </c>
      <c r="H1674" t="n">
        <v>0</v>
      </c>
      <c r="I1674" t="n">
        <v>2</v>
      </c>
      <c r="J1674" t="n">
        <v>0</v>
      </c>
    </row>
    <row r="1675">
      <c r="A1675" s="5" t="n">
        <v>46139</v>
      </c>
      <c r="B1675" t="inlineStr">
        <is>
          <t>meta_prospecting_founder</t>
        </is>
      </c>
      <c r="C1675" t="inlineStr">
        <is>
          <t>meta</t>
        </is>
      </c>
      <c r="D1675" t="n">
        <v>42665</v>
      </c>
      <c r="E1675" t="n">
        <v>30474</v>
      </c>
      <c r="F1675" t="n">
        <v>325</v>
      </c>
      <c r="G1675" t="n">
        <v>10</v>
      </c>
      <c r="H1675" t="n">
        <v>4</v>
      </c>
      <c r="I1675" t="n">
        <v>1</v>
      </c>
      <c r="J1675" t="n">
        <v>0</v>
      </c>
    </row>
    <row r="1676">
      <c r="A1676" s="5" t="n">
        <v>46139</v>
      </c>
      <c r="B1676" t="inlineStr">
        <is>
          <t>meta_retargeting_webinar</t>
        </is>
      </c>
      <c r="C1676" t="inlineStr">
        <is>
          <t>meta</t>
        </is>
      </c>
      <c r="D1676" t="n">
        <v>9473</v>
      </c>
      <c r="E1676" t="n">
        <v>6766</v>
      </c>
      <c r="F1676" t="n">
        <v>65</v>
      </c>
      <c r="G1676" t="n">
        <v>4</v>
      </c>
      <c r="H1676" t="n">
        <v>1</v>
      </c>
      <c r="I1676" t="n">
        <v>0</v>
      </c>
      <c r="J1676" t="n">
        <v>0</v>
      </c>
    </row>
    <row r="1677">
      <c r="A1677" s="5" t="n">
        <v>46140</v>
      </c>
      <c r="B1677" t="inlineStr">
        <is>
          <t>google_brand_search</t>
        </is>
      </c>
      <c r="C1677" t="inlineStr">
        <is>
          <t>google</t>
        </is>
      </c>
      <c r="D1677" t="n">
        <v>6188</v>
      </c>
      <c r="E1677" t="n">
        <v>1289</v>
      </c>
      <c r="F1677" t="n">
        <v>58</v>
      </c>
      <c r="G1677" t="n">
        <v>2</v>
      </c>
      <c r="H1677" t="n">
        <v>2</v>
      </c>
      <c r="I1677" t="n">
        <v>1</v>
      </c>
      <c r="J1677" t="n">
        <v>0</v>
      </c>
    </row>
    <row r="1678">
      <c r="A1678" s="5" t="n">
        <v>46140</v>
      </c>
      <c r="B1678" t="inlineStr">
        <is>
          <t>google_nonbrand_growth</t>
        </is>
      </c>
      <c r="C1678" t="inlineStr">
        <is>
          <t>google</t>
        </is>
      </c>
      <c r="D1678" t="n">
        <v>18381</v>
      </c>
      <c r="E1678" t="n">
        <v>3829</v>
      </c>
      <c r="F1678" t="n">
        <v>177</v>
      </c>
      <c r="G1678" t="n">
        <v>2</v>
      </c>
      <c r="H1678" t="n">
        <v>0</v>
      </c>
      <c r="I1678" t="n">
        <v>1</v>
      </c>
      <c r="J1678" t="n">
        <v>0</v>
      </c>
    </row>
    <row r="1679">
      <c r="A1679" s="5" t="n">
        <v>46140</v>
      </c>
      <c r="B1679" t="inlineStr">
        <is>
          <t>linkedin_ceo_abm</t>
        </is>
      </c>
      <c r="C1679" t="inlineStr">
        <is>
          <t>linkedin</t>
        </is>
      </c>
      <c r="D1679" t="n">
        <v>24018</v>
      </c>
      <c r="E1679" t="n">
        <v>4618</v>
      </c>
      <c r="F1679" t="n">
        <v>26</v>
      </c>
      <c r="G1679" t="n">
        <v>2</v>
      </c>
      <c r="H1679" t="n">
        <v>0</v>
      </c>
      <c r="I1679" t="n">
        <v>0</v>
      </c>
      <c r="J1679" t="n">
        <v>0</v>
      </c>
    </row>
    <row r="1680">
      <c r="A1680" s="5" t="n">
        <v>46140</v>
      </c>
      <c r="B1680" t="inlineStr">
        <is>
          <t>meta_prospecting_founder</t>
        </is>
      </c>
      <c r="C1680" t="inlineStr">
        <is>
          <t>meta</t>
        </is>
      </c>
      <c r="D1680" t="n">
        <v>41068</v>
      </c>
      <c r="E1680" t="n">
        <v>29334</v>
      </c>
      <c r="F1680" t="n">
        <v>305</v>
      </c>
      <c r="G1680" t="n">
        <v>18</v>
      </c>
      <c r="H1680" t="n">
        <v>1</v>
      </c>
      <c r="I1680" t="n">
        <v>1</v>
      </c>
      <c r="J1680" t="n">
        <v>1</v>
      </c>
    </row>
    <row r="1681">
      <c r="A1681" s="5" t="n">
        <v>46140</v>
      </c>
      <c r="B1681" t="inlineStr">
        <is>
          <t>meta_retargeting_webinar</t>
        </is>
      </c>
      <c r="C1681" t="inlineStr">
        <is>
          <t>meta</t>
        </is>
      </c>
      <c r="D1681" t="n">
        <v>8537</v>
      </c>
      <c r="E1681" t="n">
        <v>6097</v>
      </c>
      <c r="F1681" t="n">
        <v>66</v>
      </c>
      <c r="G1681" t="n">
        <v>1</v>
      </c>
      <c r="H1681" t="n">
        <v>0</v>
      </c>
      <c r="I1681" t="n">
        <v>1</v>
      </c>
      <c r="J1681" t="n">
        <v>0</v>
      </c>
    </row>
    <row r="1682">
      <c r="A1682" s="5" t="n">
        <v>46141</v>
      </c>
      <c r="B1682" t="inlineStr">
        <is>
          <t>google_brand_search</t>
        </is>
      </c>
      <c r="C1682" t="inlineStr">
        <is>
          <t>google</t>
        </is>
      </c>
      <c r="D1682" t="n">
        <v>7065</v>
      </c>
      <c r="E1682" t="n">
        <v>1471</v>
      </c>
      <c r="F1682" t="n">
        <v>80</v>
      </c>
      <c r="G1682" t="n">
        <v>4</v>
      </c>
      <c r="H1682" t="n">
        <v>1</v>
      </c>
      <c r="I1682" t="n">
        <v>1</v>
      </c>
      <c r="J1682" t="n">
        <v>0</v>
      </c>
    </row>
    <row r="1683">
      <c r="A1683" s="5" t="n">
        <v>46141</v>
      </c>
      <c r="B1683" t="inlineStr">
        <is>
          <t>google_nonbrand_growth</t>
        </is>
      </c>
      <c r="C1683" t="inlineStr">
        <is>
          <t>google</t>
        </is>
      </c>
      <c r="D1683" t="n">
        <v>20188</v>
      </c>
      <c r="E1683" t="n">
        <v>4205</v>
      </c>
      <c r="F1683" t="n">
        <v>218</v>
      </c>
      <c r="G1683" t="n">
        <v>3</v>
      </c>
      <c r="H1683" t="n">
        <v>3</v>
      </c>
      <c r="I1683" t="n">
        <v>0</v>
      </c>
      <c r="J1683" t="n">
        <v>0</v>
      </c>
    </row>
    <row r="1684">
      <c r="A1684" s="5" t="n">
        <v>46141</v>
      </c>
      <c r="B1684" t="inlineStr">
        <is>
          <t>linkedin_ceo_abm</t>
        </is>
      </c>
      <c r="C1684" t="inlineStr">
        <is>
          <t>linkedin</t>
        </is>
      </c>
      <c r="D1684" t="n">
        <v>25894</v>
      </c>
      <c r="E1684" t="n">
        <v>4979</v>
      </c>
      <c r="F1684" t="n">
        <v>34</v>
      </c>
      <c r="G1684" t="n">
        <v>0</v>
      </c>
      <c r="H1684" t="n">
        <v>2</v>
      </c>
      <c r="I1684" t="n">
        <v>0</v>
      </c>
      <c r="J1684" t="n">
        <v>0</v>
      </c>
    </row>
    <row r="1685">
      <c r="A1685" s="5" t="n">
        <v>46141</v>
      </c>
      <c r="B1685" t="inlineStr">
        <is>
          <t>meta_prospecting_founder</t>
        </is>
      </c>
      <c r="C1685" t="inlineStr">
        <is>
          <t>meta</t>
        </is>
      </c>
      <c r="D1685" t="n">
        <v>36303</v>
      </c>
      <c r="E1685" t="n">
        <v>25930</v>
      </c>
      <c r="F1685" t="n">
        <v>301</v>
      </c>
      <c r="G1685" t="n">
        <v>11</v>
      </c>
      <c r="H1685" t="n">
        <v>2</v>
      </c>
      <c r="I1685" t="n">
        <v>0</v>
      </c>
      <c r="J1685" t="n">
        <v>0</v>
      </c>
    </row>
    <row r="1686">
      <c r="A1686" s="5" t="n">
        <v>46141</v>
      </c>
      <c r="B1686" t="inlineStr">
        <is>
          <t>meta_retargeting_webinar</t>
        </is>
      </c>
      <c r="C1686" t="inlineStr">
        <is>
          <t>meta</t>
        </is>
      </c>
      <c r="D1686" t="n">
        <v>8723</v>
      </c>
      <c r="E1686" t="n">
        <v>6230</v>
      </c>
      <c r="F1686" t="n">
        <v>64</v>
      </c>
      <c r="G1686" t="n">
        <v>2</v>
      </c>
      <c r="H1686" t="n">
        <v>1</v>
      </c>
      <c r="I1686" t="n">
        <v>0</v>
      </c>
      <c r="J1686" t="n">
        <v>0</v>
      </c>
    </row>
    <row r="1687">
      <c r="A1687" s="5" t="n">
        <v>46142</v>
      </c>
      <c r="B1687" t="inlineStr">
        <is>
          <t>google_brand_search</t>
        </is>
      </c>
      <c r="C1687" t="inlineStr">
        <is>
          <t>google</t>
        </is>
      </c>
      <c r="D1687" t="n">
        <v>6686</v>
      </c>
      <c r="E1687" t="n">
        <v>1392</v>
      </c>
      <c r="F1687" t="n">
        <v>69</v>
      </c>
      <c r="G1687" t="n">
        <v>1</v>
      </c>
      <c r="H1687" t="n">
        <v>1</v>
      </c>
      <c r="I1687" t="n">
        <v>0</v>
      </c>
      <c r="J1687" t="n">
        <v>0</v>
      </c>
    </row>
    <row r="1688">
      <c r="A1688" s="5" t="n">
        <v>46142</v>
      </c>
      <c r="B1688" t="inlineStr">
        <is>
          <t>google_nonbrand_growth</t>
        </is>
      </c>
      <c r="C1688" t="inlineStr">
        <is>
          <t>google</t>
        </is>
      </c>
      <c r="D1688" t="n">
        <v>17505</v>
      </c>
      <c r="E1688" t="n">
        <v>3646</v>
      </c>
      <c r="F1688" t="n">
        <v>166</v>
      </c>
      <c r="G1688" t="n">
        <v>2</v>
      </c>
      <c r="H1688" t="n">
        <v>1</v>
      </c>
      <c r="I1688" t="n">
        <v>1</v>
      </c>
      <c r="J1688" t="n">
        <v>0</v>
      </c>
    </row>
    <row r="1689">
      <c r="A1689" s="5" t="n">
        <v>46142</v>
      </c>
      <c r="B1689" t="inlineStr">
        <is>
          <t>linkedin_ceo_abm</t>
        </is>
      </c>
      <c r="C1689" t="inlineStr">
        <is>
          <t>linkedin</t>
        </is>
      </c>
      <c r="D1689" t="n">
        <v>27745</v>
      </c>
      <c r="E1689" t="n">
        <v>5335</v>
      </c>
      <c r="F1689" t="n">
        <v>38</v>
      </c>
      <c r="G1689" t="n">
        <v>1</v>
      </c>
      <c r="H1689" t="n">
        <v>0</v>
      </c>
      <c r="I1689" t="n">
        <v>0</v>
      </c>
      <c r="J1689" t="n">
        <v>0</v>
      </c>
    </row>
    <row r="1690">
      <c r="A1690" s="5" t="n">
        <v>46142</v>
      </c>
      <c r="B1690" t="inlineStr">
        <is>
          <t>meta_prospecting_founder</t>
        </is>
      </c>
      <c r="C1690" t="inlineStr">
        <is>
          <t>meta</t>
        </is>
      </c>
      <c r="D1690" t="n">
        <v>39696</v>
      </c>
      <c r="E1690" t="n">
        <v>28354</v>
      </c>
      <c r="F1690" t="n">
        <v>287</v>
      </c>
      <c r="G1690" t="n">
        <v>8</v>
      </c>
      <c r="H1690" t="n">
        <v>3</v>
      </c>
      <c r="I1690" t="n">
        <v>0</v>
      </c>
      <c r="J1690" t="n">
        <v>0</v>
      </c>
    </row>
    <row r="1691">
      <c r="A1691" s="5" t="n">
        <v>46142</v>
      </c>
      <c r="B1691" t="inlineStr">
        <is>
          <t>meta_retargeting_webinar</t>
        </is>
      </c>
      <c r="C1691" t="inlineStr">
        <is>
          <t>meta</t>
        </is>
      </c>
      <c r="D1691" t="n">
        <v>9233</v>
      </c>
      <c r="E1691" t="n">
        <v>6595</v>
      </c>
      <c r="F1691" t="n">
        <v>68</v>
      </c>
      <c r="G1691" t="n">
        <v>1</v>
      </c>
      <c r="H1691" t="n">
        <v>1</v>
      </c>
      <c r="I1691" t="n">
        <v>0</v>
      </c>
      <c r="J1691" t="n">
        <v>0</v>
      </c>
    </row>
    <row r="1692">
      <c r="A1692" s="5" t="n">
        <v>46143</v>
      </c>
      <c r="B1692" t="inlineStr">
        <is>
          <t>google_brand_search</t>
        </is>
      </c>
      <c r="C1692" t="inlineStr">
        <is>
          <t>google</t>
        </is>
      </c>
      <c r="D1692" t="n">
        <v>6415</v>
      </c>
      <c r="E1692" t="n">
        <v>1336</v>
      </c>
      <c r="F1692" t="n">
        <v>65</v>
      </c>
      <c r="G1692" t="n">
        <v>2</v>
      </c>
      <c r="H1692" t="n">
        <v>2</v>
      </c>
      <c r="I1692" t="n">
        <v>0</v>
      </c>
      <c r="J1692" t="n">
        <v>1</v>
      </c>
    </row>
    <row r="1693">
      <c r="A1693" s="5" t="n">
        <v>46143</v>
      </c>
      <c r="B1693" t="inlineStr">
        <is>
          <t>google_nonbrand_growth</t>
        </is>
      </c>
      <c r="C1693" t="inlineStr">
        <is>
          <t>google</t>
        </is>
      </c>
      <c r="D1693" t="n">
        <v>17252</v>
      </c>
      <c r="E1693" t="n">
        <v>3594</v>
      </c>
      <c r="F1693" t="n">
        <v>172</v>
      </c>
      <c r="G1693" t="n">
        <v>3</v>
      </c>
      <c r="H1693" t="n">
        <v>1</v>
      </c>
      <c r="I1693" t="n">
        <v>0</v>
      </c>
      <c r="J1693" t="n">
        <v>0</v>
      </c>
    </row>
    <row r="1694">
      <c r="A1694" s="5" t="n">
        <v>46143</v>
      </c>
      <c r="B1694" t="inlineStr">
        <is>
          <t>linkedin_ceo_abm</t>
        </is>
      </c>
      <c r="C1694" t="inlineStr">
        <is>
          <t>linkedin</t>
        </is>
      </c>
      <c r="D1694" t="n">
        <v>23366</v>
      </c>
      <c r="E1694" t="n">
        <v>4493</v>
      </c>
      <c r="F1694" t="n">
        <v>28</v>
      </c>
      <c r="G1694" t="n">
        <v>1</v>
      </c>
      <c r="H1694" t="n">
        <v>0</v>
      </c>
      <c r="I1694" t="n">
        <v>0</v>
      </c>
      <c r="J1694" t="n">
        <v>0</v>
      </c>
    </row>
    <row r="1695">
      <c r="A1695" s="5" t="n">
        <v>46143</v>
      </c>
      <c r="B1695" t="inlineStr">
        <is>
          <t>meta_prospecting_founder</t>
        </is>
      </c>
      <c r="C1695" t="inlineStr">
        <is>
          <t>meta</t>
        </is>
      </c>
      <c r="D1695" t="n">
        <v>35219</v>
      </c>
      <c r="E1695" t="n">
        <v>25156</v>
      </c>
      <c r="F1695" t="n">
        <v>280</v>
      </c>
      <c r="G1695" t="n">
        <v>4</v>
      </c>
      <c r="H1695" t="n">
        <v>2</v>
      </c>
      <c r="I1695" t="n">
        <v>1</v>
      </c>
      <c r="J1695" t="n">
        <v>0</v>
      </c>
    </row>
    <row r="1696">
      <c r="A1696" s="5" t="n">
        <v>46143</v>
      </c>
      <c r="B1696" t="inlineStr">
        <is>
          <t>meta_retargeting_webinar</t>
        </is>
      </c>
      <c r="C1696" t="inlineStr">
        <is>
          <t>meta</t>
        </is>
      </c>
      <c r="D1696" t="n">
        <v>8675</v>
      </c>
      <c r="E1696" t="n">
        <v>6196</v>
      </c>
      <c r="F1696" t="n">
        <v>59</v>
      </c>
      <c r="G1696" t="n">
        <v>3</v>
      </c>
      <c r="H1696" t="n">
        <v>0</v>
      </c>
      <c r="I1696" t="n">
        <v>0</v>
      </c>
      <c r="J1696" t="n">
        <v>0</v>
      </c>
    </row>
    <row r="1697">
      <c r="A1697" s="5" t="n">
        <v>46144</v>
      </c>
      <c r="B1697" t="inlineStr">
        <is>
          <t>google_brand_search</t>
        </is>
      </c>
      <c r="C1697" t="inlineStr">
        <is>
          <t>google</t>
        </is>
      </c>
      <c r="D1697" t="n">
        <v>6542</v>
      </c>
      <c r="E1697" t="n">
        <v>1362</v>
      </c>
      <c r="F1697" t="n">
        <v>71</v>
      </c>
      <c r="G1697" t="n">
        <v>1</v>
      </c>
      <c r="H1697" t="n">
        <v>2</v>
      </c>
      <c r="I1697" t="n">
        <v>0</v>
      </c>
      <c r="J1697" t="n">
        <v>0</v>
      </c>
    </row>
    <row r="1698">
      <c r="A1698" s="5" t="n">
        <v>46144</v>
      </c>
      <c r="B1698" t="inlineStr">
        <is>
          <t>google_nonbrand_growth</t>
        </is>
      </c>
      <c r="C1698" t="inlineStr">
        <is>
          <t>google</t>
        </is>
      </c>
      <c r="D1698" t="n">
        <v>17413</v>
      </c>
      <c r="E1698" t="n">
        <v>3627</v>
      </c>
      <c r="F1698" t="n">
        <v>188</v>
      </c>
      <c r="G1698" t="n">
        <v>2</v>
      </c>
      <c r="H1698" t="n">
        <v>0</v>
      </c>
      <c r="I1698" t="n">
        <v>1</v>
      </c>
      <c r="J1698" t="n">
        <v>0</v>
      </c>
    </row>
    <row r="1699">
      <c r="A1699" s="5" t="n">
        <v>46144</v>
      </c>
      <c r="B1699" t="inlineStr">
        <is>
          <t>linkedin_ceo_abm</t>
        </is>
      </c>
      <c r="C1699" t="inlineStr">
        <is>
          <t>linkedin</t>
        </is>
      </c>
      <c r="D1699" t="n">
        <v>23201</v>
      </c>
      <c r="E1699" t="n">
        <v>4461</v>
      </c>
      <c r="F1699" t="n">
        <v>28</v>
      </c>
      <c r="G1699" t="n">
        <v>1</v>
      </c>
      <c r="H1699" t="n">
        <v>0</v>
      </c>
      <c r="I1699" t="n">
        <v>0</v>
      </c>
      <c r="J1699" t="n">
        <v>2</v>
      </c>
    </row>
    <row r="1700">
      <c r="A1700" s="5" t="n">
        <v>46144</v>
      </c>
      <c r="B1700" t="inlineStr">
        <is>
          <t>meta_prospecting_founder</t>
        </is>
      </c>
      <c r="C1700" t="inlineStr">
        <is>
          <t>meta</t>
        </is>
      </c>
      <c r="D1700" t="n">
        <v>41641</v>
      </c>
      <c r="E1700" t="n">
        <v>29743</v>
      </c>
      <c r="F1700" t="n">
        <v>299</v>
      </c>
      <c r="G1700" t="n">
        <v>5</v>
      </c>
      <c r="H1700" t="n">
        <v>2</v>
      </c>
      <c r="I1700" t="n">
        <v>0</v>
      </c>
      <c r="J1700" t="n">
        <v>0</v>
      </c>
    </row>
    <row r="1701">
      <c r="A1701" s="5" t="n">
        <v>46144</v>
      </c>
      <c r="B1701" t="inlineStr">
        <is>
          <t>meta_retargeting_webinar</t>
        </is>
      </c>
      <c r="C1701" t="inlineStr">
        <is>
          <t>meta</t>
        </is>
      </c>
      <c r="D1701" t="n">
        <v>9547</v>
      </c>
      <c r="E1701" t="n">
        <v>6819</v>
      </c>
      <c r="F1701" t="n">
        <v>69</v>
      </c>
      <c r="G1701" t="n">
        <v>3</v>
      </c>
      <c r="H1701" t="n">
        <v>1</v>
      </c>
      <c r="I1701" t="n">
        <v>0</v>
      </c>
      <c r="J1701" t="n">
        <v>0</v>
      </c>
    </row>
    <row r="1702">
      <c r="A1702" s="5" t="n">
        <v>46145</v>
      </c>
      <c r="B1702" t="inlineStr">
        <is>
          <t>google_brand_search</t>
        </is>
      </c>
      <c r="C1702" t="inlineStr">
        <is>
          <t>google</t>
        </is>
      </c>
      <c r="D1702" t="n">
        <v>6398</v>
      </c>
      <c r="E1702" t="n">
        <v>1332</v>
      </c>
      <c r="F1702" t="n">
        <v>64</v>
      </c>
      <c r="G1702" t="n">
        <v>1</v>
      </c>
      <c r="H1702" t="n">
        <v>1</v>
      </c>
      <c r="I1702" t="n">
        <v>0</v>
      </c>
      <c r="J1702" t="n">
        <v>0</v>
      </c>
    </row>
    <row r="1703">
      <c r="A1703" s="5" t="n">
        <v>46145</v>
      </c>
      <c r="B1703" t="inlineStr">
        <is>
          <t>google_nonbrand_growth</t>
        </is>
      </c>
      <c r="C1703" t="inlineStr">
        <is>
          <t>google</t>
        </is>
      </c>
      <c r="D1703" t="n">
        <v>20647</v>
      </c>
      <c r="E1703" t="n">
        <v>4301</v>
      </c>
      <c r="F1703" t="n">
        <v>228</v>
      </c>
      <c r="G1703" t="n">
        <v>3</v>
      </c>
      <c r="H1703" t="n">
        <v>1</v>
      </c>
      <c r="I1703" t="n">
        <v>0</v>
      </c>
      <c r="J1703" t="n">
        <v>0</v>
      </c>
    </row>
    <row r="1704">
      <c r="A1704" s="5" t="n">
        <v>46145</v>
      </c>
      <c r="B1704" t="inlineStr">
        <is>
          <t>linkedin_ceo_abm</t>
        </is>
      </c>
      <c r="C1704" t="inlineStr">
        <is>
          <t>linkedin</t>
        </is>
      </c>
      <c r="D1704" t="n">
        <v>24972</v>
      </c>
      <c r="E1704" t="n">
        <v>4802</v>
      </c>
      <c r="F1704" t="n">
        <v>29</v>
      </c>
      <c r="G1704" t="n">
        <v>0</v>
      </c>
      <c r="H1704" t="n">
        <v>1</v>
      </c>
      <c r="I1704" t="n">
        <v>0</v>
      </c>
      <c r="J1704" t="n">
        <v>1</v>
      </c>
    </row>
    <row r="1705">
      <c r="A1705" s="5" t="n">
        <v>46145</v>
      </c>
      <c r="B1705" t="inlineStr">
        <is>
          <t>meta_prospecting_founder</t>
        </is>
      </c>
      <c r="C1705" t="inlineStr">
        <is>
          <t>meta</t>
        </is>
      </c>
      <c r="D1705" t="n">
        <v>37936</v>
      </c>
      <c r="E1705" t="n">
        <v>27097</v>
      </c>
      <c r="F1705" t="n">
        <v>270</v>
      </c>
      <c r="G1705" t="n">
        <v>8</v>
      </c>
      <c r="H1705" t="n">
        <v>2</v>
      </c>
      <c r="I1705" t="n">
        <v>2</v>
      </c>
      <c r="J1705" t="n">
        <v>0</v>
      </c>
    </row>
    <row r="1706">
      <c r="A1706" s="5" t="n">
        <v>46145</v>
      </c>
      <c r="B1706" t="inlineStr">
        <is>
          <t>meta_retargeting_webinar</t>
        </is>
      </c>
      <c r="C1706" t="inlineStr">
        <is>
          <t>meta</t>
        </is>
      </c>
      <c r="D1706" t="n">
        <v>9633</v>
      </c>
      <c r="E1706" t="n">
        <v>6880</v>
      </c>
      <c r="F1706" t="n">
        <v>67</v>
      </c>
      <c r="G1706" t="n">
        <v>4</v>
      </c>
      <c r="H1706" t="n">
        <v>0</v>
      </c>
      <c r="I1706" t="n">
        <v>1</v>
      </c>
      <c r="J1706" t="n">
        <v>0</v>
      </c>
    </row>
    <row r="1707">
      <c r="A1707" s="5" t="n">
        <v>46146</v>
      </c>
      <c r="B1707" t="inlineStr">
        <is>
          <t>google_brand_search</t>
        </is>
      </c>
      <c r="C1707" t="inlineStr">
        <is>
          <t>google</t>
        </is>
      </c>
      <c r="D1707" t="n">
        <v>6467</v>
      </c>
      <c r="E1707" t="n">
        <v>1347</v>
      </c>
      <c r="F1707" t="n">
        <v>61</v>
      </c>
      <c r="G1707" t="n">
        <v>3</v>
      </c>
      <c r="H1707" t="n">
        <v>2</v>
      </c>
      <c r="I1707" t="n">
        <v>1</v>
      </c>
      <c r="J1707" t="n">
        <v>0</v>
      </c>
    </row>
    <row r="1708">
      <c r="A1708" s="5" t="n">
        <v>46146</v>
      </c>
      <c r="B1708" t="inlineStr">
        <is>
          <t>google_nonbrand_growth</t>
        </is>
      </c>
      <c r="C1708" t="inlineStr">
        <is>
          <t>google</t>
        </is>
      </c>
      <c r="D1708" t="n">
        <v>19066</v>
      </c>
      <c r="E1708" t="n">
        <v>3972</v>
      </c>
      <c r="F1708" t="n">
        <v>211</v>
      </c>
      <c r="G1708" t="n">
        <v>6</v>
      </c>
      <c r="H1708" t="n">
        <v>2</v>
      </c>
      <c r="I1708" t="n">
        <v>0</v>
      </c>
      <c r="J1708" t="n">
        <v>0</v>
      </c>
    </row>
    <row r="1709">
      <c r="A1709" s="5" t="n">
        <v>46146</v>
      </c>
      <c r="B1709" t="inlineStr">
        <is>
          <t>linkedin_ceo_abm</t>
        </is>
      </c>
      <c r="C1709" t="inlineStr">
        <is>
          <t>linkedin</t>
        </is>
      </c>
      <c r="D1709" t="n">
        <v>25224</v>
      </c>
      <c r="E1709" t="n">
        <v>4850</v>
      </c>
      <c r="F1709" t="n">
        <v>28</v>
      </c>
      <c r="G1709" t="n">
        <v>0</v>
      </c>
      <c r="H1709" t="n">
        <v>0</v>
      </c>
      <c r="I1709" t="n">
        <v>1</v>
      </c>
      <c r="J1709" t="n">
        <v>0</v>
      </c>
    </row>
    <row r="1710">
      <c r="A1710" s="5" t="n">
        <v>46146</v>
      </c>
      <c r="B1710" t="inlineStr">
        <is>
          <t>meta_prospecting_founder</t>
        </is>
      </c>
      <c r="C1710" t="inlineStr">
        <is>
          <t>meta</t>
        </is>
      </c>
      <c r="D1710" t="n">
        <v>37138</v>
      </c>
      <c r="E1710" t="n">
        <v>26527</v>
      </c>
      <c r="F1710" t="n">
        <v>285</v>
      </c>
      <c r="G1710" t="n">
        <v>11</v>
      </c>
      <c r="H1710" t="n">
        <v>1</v>
      </c>
      <c r="I1710" t="n">
        <v>3</v>
      </c>
      <c r="J1710" t="n">
        <v>1</v>
      </c>
    </row>
    <row r="1711">
      <c r="A1711" s="5" t="n">
        <v>46146</v>
      </c>
      <c r="B1711" t="inlineStr">
        <is>
          <t>meta_retargeting_webinar</t>
        </is>
      </c>
      <c r="C1711" t="inlineStr">
        <is>
          <t>meta</t>
        </is>
      </c>
      <c r="D1711" t="n">
        <v>10146</v>
      </c>
      <c r="E1711" t="n">
        <v>7247</v>
      </c>
      <c r="F1711" t="n">
        <v>82</v>
      </c>
      <c r="G1711" t="n">
        <v>3</v>
      </c>
      <c r="H1711" t="n">
        <v>3</v>
      </c>
      <c r="I1711" t="n">
        <v>0</v>
      </c>
      <c r="J1711" t="n">
        <v>0</v>
      </c>
    </row>
    <row r="1712">
      <c r="A1712" s="5" t="n">
        <v>46147</v>
      </c>
      <c r="B1712" t="inlineStr">
        <is>
          <t>google_brand_search</t>
        </is>
      </c>
      <c r="C1712" t="inlineStr">
        <is>
          <t>google</t>
        </is>
      </c>
      <c r="D1712" t="n">
        <v>7500</v>
      </c>
      <c r="E1712" t="n">
        <v>1562</v>
      </c>
      <c r="F1712" t="n">
        <v>74</v>
      </c>
      <c r="G1712" t="n">
        <v>5</v>
      </c>
      <c r="H1712" t="n">
        <v>2</v>
      </c>
      <c r="I1712" t="n">
        <v>2</v>
      </c>
      <c r="J1712" t="n">
        <v>0</v>
      </c>
    </row>
    <row r="1713">
      <c r="A1713" s="5" t="n">
        <v>46147</v>
      </c>
      <c r="B1713" t="inlineStr">
        <is>
          <t>google_nonbrand_growth</t>
        </is>
      </c>
      <c r="C1713" t="inlineStr">
        <is>
          <t>google</t>
        </is>
      </c>
      <c r="D1713" t="n">
        <v>20455</v>
      </c>
      <c r="E1713" t="n">
        <v>4261</v>
      </c>
      <c r="F1713" t="n">
        <v>238</v>
      </c>
      <c r="G1713" t="n">
        <v>4</v>
      </c>
      <c r="H1713" t="n">
        <v>1</v>
      </c>
      <c r="I1713" t="n">
        <v>1</v>
      </c>
      <c r="J1713" t="n">
        <v>0</v>
      </c>
    </row>
    <row r="1714">
      <c r="A1714" s="5" t="n">
        <v>46147</v>
      </c>
      <c r="B1714" t="inlineStr">
        <is>
          <t>linkedin_ceo_abm</t>
        </is>
      </c>
      <c r="C1714" t="inlineStr">
        <is>
          <t>linkedin</t>
        </is>
      </c>
      <c r="D1714" t="n">
        <v>24213</v>
      </c>
      <c r="E1714" t="n">
        <v>4656</v>
      </c>
      <c r="F1714" t="n">
        <v>26</v>
      </c>
      <c r="G1714" t="n">
        <v>2</v>
      </c>
      <c r="H1714" t="n">
        <v>0</v>
      </c>
      <c r="I1714" t="n">
        <v>1</v>
      </c>
      <c r="J1714" t="n">
        <v>0</v>
      </c>
    </row>
    <row r="1715">
      <c r="A1715" s="5" t="n">
        <v>46147</v>
      </c>
      <c r="B1715" t="inlineStr">
        <is>
          <t>meta_prospecting_founder</t>
        </is>
      </c>
      <c r="C1715" t="inlineStr">
        <is>
          <t>meta</t>
        </is>
      </c>
      <c r="D1715" t="n">
        <v>42642</v>
      </c>
      <c r="E1715" t="n">
        <v>30458</v>
      </c>
      <c r="F1715" t="n">
        <v>308</v>
      </c>
      <c r="G1715" t="n">
        <v>8</v>
      </c>
      <c r="H1715" t="n">
        <v>5</v>
      </c>
      <c r="I1715" t="n">
        <v>1</v>
      </c>
      <c r="J1715" t="n">
        <v>0</v>
      </c>
    </row>
    <row r="1716">
      <c r="A1716" s="5" t="n">
        <v>46147</v>
      </c>
      <c r="B1716" t="inlineStr">
        <is>
          <t>meta_retargeting_webinar</t>
        </is>
      </c>
      <c r="C1716" t="inlineStr">
        <is>
          <t>meta</t>
        </is>
      </c>
      <c r="D1716" t="n">
        <v>9976</v>
      </c>
      <c r="E1716" t="n">
        <v>7125</v>
      </c>
      <c r="F1716" t="n">
        <v>71</v>
      </c>
      <c r="G1716" t="n">
        <v>5</v>
      </c>
      <c r="H1716" t="n">
        <v>2</v>
      </c>
      <c r="I1716" t="n">
        <v>1</v>
      </c>
      <c r="J1716" t="n">
        <v>0</v>
      </c>
    </row>
    <row r="1717">
      <c r="A1717" s="5" t="n">
        <v>46148</v>
      </c>
      <c r="B1717" t="inlineStr">
        <is>
          <t>google_brand_search</t>
        </is>
      </c>
      <c r="C1717" t="inlineStr">
        <is>
          <t>google</t>
        </is>
      </c>
      <c r="D1717" t="n">
        <v>7398</v>
      </c>
      <c r="E1717" t="n">
        <v>1541</v>
      </c>
      <c r="F1717" t="n">
        <v>79</v>
      </c>
      <c r="G1717" t="n">
        <v>3</v>
      </c>
      <c r="H1717" t="n">
        <v>1</v>
      </c>
      <c r="I1717" t="n">
        <v>2</v>
      </c>
      <c r="J1717" t="n">
        <v>1</v>
      </c>
    </row>
    <row r="1718">
      <c r="A1718" s="5" t="n">
        <v>46148</v>
      </c>
      <c r="B1718" t="inlineStr">
        <is>
          <t>google_nonbrand_growth</t>
        </is>
      </c>
      <c r="C1718" t="inlineStr">
        <is>
          <t>google</t>
        </is>
      </c>
      <c r="D1718" t="n">
        <v>18843</v>
      </c>
      <c r="E1718" t="n">
        <v>3925</v>
      </c>
      <c r="F1718" t="n">
        <v>198</v>
      </c>
      <c r="G1718" t="n">
        <v>2</v>
      </c>
      <c r="H1718" t="n">
        <v>1</v>
      </c>
      <c r="I1718" t="n">
        <v>1</v>
      </c>
      <c r="J1718" t="n">
        <v>0</v>
      </c>
    </row>
    <row r="1719">
      <c r="A1719" s="5" t="n">
        <v>46148</v>
      </c>
      <c r="B1719" t="inlineStr">
        <is>
          <t>linkedin_ceo_abm</t>
        </is>
      </c>
      <c r="C1719" t="inlineStr">
        <is>
          <t>linkedin</t>
        </is>
      </c>
      <c r="D1719" t="n">
        <v>24045</v>
      </c>
      <c r="E1719" t="n">
        <v>4624</v>
      </c>
      <c r="F1719" t="n">
        <v>27</v>
      </c>
      <c r="G1719" t="n">
        <v>4</v>
      </c>
      <c r="H1719" t="n">
        <v>0</v>
      </c>
      <c r="I1719" t="n">
        <v>0</v>
      </c>
      <c r="J1719" t="n">
        <v>0</v>
      </c>
    </row>
    <row r="1720">
      <c r="A1720" s="5" t="n">
        <v>46148</v>
      </c>
      <c r="B1720" t="inlineStr">
        <is>
          <t>meta_prospecting_founder</t>
        </is>
      </c>
      <c r="C1720" t="inlineStr">
        <is>
          <t>meta</t>
        </is>
      </c>
      <c r="D1720" t="n">
        <v>36347</v>
      </c>
      <c r="E1720" t="n">
        <v>25962</v>
      </c>
      <c r="F1720" t="n">
        <v>292</v>
      </c>
      <c r="G1720" t="n">
        <v>15</v>
      </c>
      <c r="H1720" t="n">
        <v>1</v>
      </c>
      <c r="I1720" t="n">
        <v>1</v>
      </c>
      <c r="J1720" t="n">
        <v>0</v>
      </c>
    </row>
    <row r="1721">
      <c r="A1721" s="5" t="n">
        <v>46148</v>
      </c>
      <c r="B1721" t="inlineStr">
        <is>
          <t>meta_retargeting_webinar</t>
        </is>
      </c>
      <c r="C1721" t="inlineStr">
        <is>
          <t>meta</t>
        </is>
      </c>
      <c r="D1721" t="n">
        <v>8442</v>
      </c>
      <c r="E1721" t="n">
        <v>6030</v>
      </c>
      <c r="F1721" t="n">
        <v>58</v>
      </c>
      <c r="G1721" t="n">
        <v>1</v>
      </c>
      <c r="H1721" t="n">
        <v>0</v>
      </c>
      <c r="I1721" t="n">
        <v>0</v>
      </c>
      <c r="J1721" t="n">
        <v>0</v>
      </c>
    </row>
    <row r="1722">
      <c r="A1722" s="5" t="n">
        <v>46149</v>
      </c>
      <c r="B1722" t="inlineStr">
        <is>
          <t>google_brand_search</t>
        </is>
      </c>
      <c r="C1722" t="inlineStr">
        <is>
          <t>google</t>
        </is>
      </c>
      <c r="D1722" t="n">
        <v>6169</v>
      </c>
      <c r="E1722" t="n">
        <v>1285</v>
      </c>
      <c r="F1722" t="n">
        <v>69</v>
      </c>
      <c r="G1722" t="n">
        <v>2</v>
      </c>
      <c r="H1722" t="n">
        <v>3</v>
      </c>
      <c r="I1722" t="n">
        <v>0</v>
      </c>
      <c r="J1722" t="n">
        <v>0</v>
      </c>
    </row>
    <row r="1723">
      <c r="A1723" s="5" t="n">
        <v>46149</v>
      </c>
      <c r="B1723" t="inlineStr">
        <is>
          <t>google_nonbrand_growth</t>
        </is>
      </c>
      <c r="C1723" t="inlineStr">
        <is>
          <t>google</t>
        </is>
      </c>
      <c r="D1723" t="n">
        <v>20049</v>
      </c>
      <c r="E1723" t="n">
        <v>4176</v>
      </c>
      <c r="F1723" t="n">
        <v>240</v>
      </c>
      <c r="G1723" t="n">
        <v>4</v>
      </c>
      <c r="H1723" t="n">
        <v>2</v>
      </c>
      <c r="I1723" t="n">
        <v>2</v>
      </c>
      <c r="J1723" t="n">
        <v>0</v>
      </c>
    </row>
    <row r="1724">
      <c r="A1724" s="5" t="n">
        <v>46149</v>
      </c>
      <c r="B1724" t="inlineStr">
        <is>
          <t>linkedin_ceo_abm</t>
        </is>
      </c>
      <c r="C1724" t="inlineStr">
        <is>
          <t>linkedin</t>
        </is>
      </c>
      <c r="D1724" t="n">
        <v>23011</v>
      </c>
      <c r="E1724" t="n">
        <v>4425</v>
      </c>
      <c r="F1724" t="n">
        <v>24</v>
      </c>
      <c r="G1724" t="n">
        <v>1</v>
      </c>
      <c r="H1724" t="n">
        <v>1</v>
      </c>
      <c r="I1724" t="n">
        <v>0</v>
      </c>
      <c r="J1724" t="n">
        <v>0</v>
      </c>
    </row>
    <row r="1725">
      <c r="A1725" s="5" t="n">
        <v>46149</v>
      </c>
      <c r="B1725" t="inlineStr">
        <is>
          <t>meta_prospecting_founder</t>
        </is>
      </c>
      <c r="C1725" t="inlineStr">
        <is>
          <t>meta</t>
        </is>
      </c>
      <c r="D1725" t="n">
        <v>37474</v>
      </c>
      <c r="E1725" t="n">
        <v>26767</v>
      </c>
      <c r="F1725" t="n">
        <v>277</v>
      </c>
      <c r="G1725" t="n">
        <v>14</v>
      </c>
      <c r="H1725" t="n">
        <v>3</v>
      </c>
      <c r="I1725" t="n">
        <v>0</v>
      </c>
      <c r="J1725" t="n">
        <v>0</v>
      </c>
    </row>
    <row r="1726">
      <c r="A1726" s="5" t="n">
        <v>46149</v>
      </c>
      <c r="B1726" t="inlineStr">
        <is>
          <t>meta_retargeting_webinar</t>
        </is>
      </c>
      <c r="C1726" t="inlineStr">
        <is>
          <t>meta</t>
        </is>
      </c>
      <c r="D1726" t="n">
        <v>10105</v>
      </c>
      <c r="E1726" t="n">
        <v>7217</v>
      </c>
      <c r="F1726" t="n">
        <v>80</v>
      </c>
      <c r="G1726" t="n">
        <v>5</v>
      </c>
      <c r="H1726" t="n">
        <v>0</v>
      </c>
      <c r="I1726" t="n">
        <v>1</v>
      </c>
      <c r="J1726" t="n">
        <v>0</v>
      </c>
    </row>
    <row r="1727">
      <c r="A1727" s="5" t="n">
        <v>46150</v>
      </c>
      <c r="B1727" t="inlineStr">
        <is>
          <t>google_brand_search</t>
        </is>
      </c>
      <c r="C1727" t="inlineStr">
        <is>
          <t>google</t>
        </is>
      </c>
      <c r="D1727" t="n">
        <v>6726</v>
      </c>
      <c r="E1727" t="n">
        <v>1401</v>
      </c>
      <c r="F1727" t="n">
        <v>78</v>
      </c>
      <c r="G1727" t="n">
        <v>3</v>
      </c>
      <c r="H1727" t="n">
        <v>2</v>
      </c>
      <c r="I1727" t="n">
        <v>0</v>
      </c>
      <c r="J1727" t="n">
        <v>0</v>
      </c>
    </row>
    <row r="1728">
      <c r="A1728" s="5" t="n">
        <v>46150</v>
      </c>
      <c r="B1728" t="inlineStr">
        <is>
          <t>google_nonbrand_growth</t>
        </is>
      </c>
      <c r="C1728" t="inlineStr">
        <is>
          <t>google</t>
        </is>
      </c>
      <c r="D1728" t="n">
        <v>19413</v>
      </c>
      <c r="E1728" t="n">
        <v>4044</v>
      </c>
      <c r="F1728" t="n">
        <v>192</v>
      </c>
      <c r="G1728" t="n">
        <v>2</v>
      </c>
      <c r="H1728" t="n">
        <v>1</v>
      </c>
      <c r="I1728" t="n">
        <v>0</v>
      </c>
      <c r="J1728" t="n">
        <v>0</v>
      </c>
    </row>
    <row r="1729">
      <c r="A1729" s="5" t="n">
        <v>46150</v>
      </c>
      <c r="B1729" t="inlineStr">
        <is>
          <t>linkedin_ceo_abm</t>
        </is>
      </c>
      <c r="C1729" t="inlineStr">
        <is>
          <t>linkedin</t>
        </is>
      </c>
      <c r="D1729" t="n">
        <v>27466</v>
      </c>
      <c r="E1729" t="n">
        <v>5281</v>
      </c>
      <c r="F1729" t="n">
        <v>38</v>
      </c>
      <c r="G1729" t="n">
        <v>3</v>
      </c>
      <c r="H1729" t="n">
        <v>0</v>
      </c>
      <c r="I1729" t="n">
        <v>0</v>
      </c>
      <c r="J1729" t="n">
        <v>0</v>
      </c>
    </row>
    <row r="1730">
      <c r="A1730" s="5" t="n">
        <v>46150</v>
      </c>
      <c r="B1730" t="inlineStr">
        <is>
          <t>meta_prospecting_founder</t>
        </is>
      </c>
      <c r="C1730" t="inlineStr">
        <is>
          <t>meta</t>
        </is>
      </c>
      <c r="D1730" t="n">
        <v>41533</v>
      </c>
      <c r="E1730" t="n">
        <v>29666</v>
      </c>
      <c r="F1730" t="n">
        <v>296</v>
      </c>
      <c r="G1730" t="n">
        <v>12</v>
      </c>
      <c r="H1730" t="n">
        <v>2</v>
      </c>
      <c r="I1730" t="n">
        <v>1</v>
      </c>
      <c r="J1730" t="n">
        <v>1</v>
      </c>
    </row>
    <row r="1731">
      <c r="A1731" s="5" t="n">
        <v>46150</v>
      </c>
      <c r="B1731" t="inlineStr">
        <is>
          <t>meta_retargeting_webinar</t>
        </is>
      </c>
      <c r="C1731" t="inlineStr">
        <is>
          <t>meta</t>
        </is>
      </c>
      <c r="D1731" t="n">
        <v>9082</v>
      </c>
      <c r="E1731" t="n">
        <v>6487</v>
      </c>
      <c r="F1731" t="n">
        <v>75</v>
      </c>
      <c r="G1731" t="n">
        <v>3</v>
      </c>
      <c r="H1731" t="n">
        <v>1</v>
      </c>
      <c r="I1731" t="n">
        <v>0</v>
      </c>
      <c r="J1731" t="n">
        <v>0</v>
      </c>
    </row>
    <row r="1732">
      <c r="A1732" s="5" t="n">
        <v>46151</v>
      </c>
      <c r="B1732" t="inlineStr">
        <is>
          <t>google_brand_search</t>
        </is>
      </c>
      <c r="C1732" t="inlineStr">
        <is>
          <t>google</t>
        </is>
      </c>
      <c r="D1732" t="n">
        <v>6758</v>
      </c>
      <c r="E1732" t="n">
        <v>1407</v>
      </c>
      <c r="F1732" t="n">
        <v>79</v>
      </c>
      <c r="G1732" t="n">
        <v>1</v>
      </c>
      <c r="H1732" t="n">
        <v>2</v>
      </c>
      <c r="I1732" t="n">
        <v>2</v>
      </c>
      <c r="J1732" t="n">
        <v>0</v>
      </c>
    </row>
    <row r="1733">
      <c r="A1733" s="5" t="n">
        <v>46151</v>
      </c>
      <c r="B1733" t="inlineStr">
        <is>
          <t>google_nonbrand_growth</t>
        </is>
      </c>
      <c r="C1733" t="inlineStr">
        <is>
          <t>google</t>
        </is>
      </c>
      <c r="D1733" t="n">
        <v>18156</v>
      </c>
      <c r="E1733" t="n">
        <v>3782</v>
      </c>
      <c r="F1733" t="n">
        <v>192</v>
      </c>
      <c r="G1733" t="n">
        <v>3</v>
      </c>
      <c r="H1733" t="n">
        <v>0</v>
      </c>
      <c r="I1733" t="n">
        <v>0</v>
      </c>
      <c r="J1733" t="n">
        <v>0</v>
      </c>
    </row>
    <row r="1734">
      <c r="A1734" s="5" t="n">
        <v>46151</v>
      </c>
      <c r="B1734" t="inlineStr">
        <is>
          <t>linkedin_ceo_abm</t>
        </is>
      </c>
      <c r="C1734" t="inlineStr">
        <is>
          <t>linkedin</t>
        </is>
      </c>
      <c r="D1734" t="n">
        <v>27197</v>
      </c>
      <c r="E1734" t="n">
        <v>5230</v>
      </c>
      <c r="F1734" t="n">
        <v>34</v>
      </c>
      <c r="G1734" t="n">
        <v>2</v>
      </c>
      <c r="H1734" t="n">
        <v>0</v>
      </c>
      <c r="I1734" t="n">
        <v>0</v>
      </c>
      <c r="J1734" t="n">
        <v>0</v>
      </c>
    </row>
    <row r="1735">
      <c r="A1735" s="5" t="n">
        <v>46151</v>
      </c>
      <c r="B1735" t="inlineStr">
        <is>
          <t>meta_prospecting_founder</t>
        </is>
      </c>
      <c r="C1735" t="inlineStr">
        <is>
          <t>meta</t>
        </is>
      </c>
      <c r="D1735" t="n">
        <v>37577</v>
      </c>
      <c r="E1735" t="n">
        <v>26840</v>
      </c>
      <c r="F1735" t="n">
        <v>330</v>
      </c>
      <c r="G1735" t="n">
        <v>9</v>
      </c>
      <c r="H1735" t="n">
        <v>3</v>
      </c>
      <c r="I1735" t="n">
        <v>1</v>
      </c>
      <c r="J1735" t="n">
        <v>0</v>
      </c>
    </row>
    <row r="1736">
      <c r="A1736" s="5" t="n">
        <v>46151</v>
      </c>
      <c r="B1736" t="inlineStr">
        <is>
          <t>meta_retargeting_webinar</t>
        </is>
      </c>
      <c r="C1736" t="inlineStr">
        <is>
          <t>meta</t>
        </is>
      </c>
      <c r="D1736" t="n">
        <v>9769</v>
      </c>
      <c r="E1736" t="n">
        <v>6977</v>
      </c>
      <c r="F1736" t="n">
        <v>82</v>
      </c>
      <c r="G1736" t="n">
        <v>5</v>
      </c>
      <c r="H1736" t="n">
        <v>0</v>
      </c>
      <c r="I1736" t="n">
        <v>0</v>
      </c>
      <c r="J1736" t="n">
        <v>0</v>
      </c>
    </row>
    <row r="1737">
      <c r="A1737" s="5" t="n">
        <v>46152</v>
      </c>
      <c r="B1737" t="inlineStr">
        <is>
          <t>google_brand_search</t>
        </is>
      </c>
      <c r="C1737" t="inlineStr">
        <is>
          <t>google</t>
        </is>
      </c>
      <c r="D1737" t="n">
        <v>6384</v>
      </c>
      <c r="E1737" t="n">
        <v>1330</v>
      </c>
      <c r="F1737" t="n">
        <v>77</v>
      </c>
      <c r="G1737" t="n">
        <v>3</v>
      </c>
      <c r="H1737" t="n">
        <v>2</v>
      </c>
      <c r="I1737" t="n">
        <v>1</v>
      </c>
      <c r="J1737" t="n">
        <v>0</v>
      </c>
    </row>
    <row r="1738">
      <c r="A1738" s="5" t="n">
        <v>46152</v>
      </c>
      <c r="B1738" t="inlineStr">
        <is>
          <t>google_nonbrand_growth</t>
        </is>
      </c>
      <c r="C1738" t="inlineStr">
        <is>
          <t>google</t>
        </is>
      </c>
      <c r="D1738" t="n">
        <v>20735</v>
      </c>
      <c r="E1738" t="n">
        <v>4319</v>
      </c>
      <c r="F1738" t="n">
        <v>233</v>
      </c>
      <c r="G1738" t="n">
        <v>3</v>
      </c>
      <c r="H1738" t="n">
        <v>1</v>
      </c>
      <c r="I1738" t="n">
        <v>0</v>
      </c>
      <c r="J1738" t="n">
        <v>0</v>
      </c>
    </row>
    <row r="1739">
      <c r="A1739" s="5" t="n">
        <v>46152</v>
      </c>
      <c r="B1739" t="inlineStr">
        <is>
          <t>linkedin_ceo_abm</t>
        </is>
      </c>
      <c r="C1739" t="inlineStr">
        <is>
          <t>linkedin</t>
        </is>
      </c>
      <c r="D1739" t="n">
        <v>27019</v>
      </c>
      <c r="E1739" t="n">
        <v>5195</v>
      </c>
      <c r="F1739" t="n">
        <v>35</v>
      </c>
      <c r="G1739" t="n">
        <v>3</v>
      </c>
      <c r="H1739" t="n">
        <v>1</v>
      </c>
      <c r="I1739" t="n">
        <v>0</v>
      </c>
      <c r="J1739" t="n">
        <v>1</v>
      </c>
    </row>
    <row r="1740">
      <c r="A1740" s="5" t="n">
        <v>46152</v>
      </c>
      <c r="B1740" t="inlineStr">
        <is>
          <t>meta_prospecting_founder</t>
        </is>
      </c>
      <c r="C1740" t="inlineStr">
        <is>
          <t>meta</t>
        </is>
      </c>
      <c r="D1740" t="n">
        <v>36474</v>
      </c>
      <c r="E1740" t="n">
        <v>26052</v>
      </c>
      <c r="F1740" t="n">
        <v>303</v>
      </c>
      <c r="G1740" t="n">
        <v>12</v>
      </c>
      <c r="H1740" t="n">
        <v>3</v>
      </c>
      <c r="I1740" t="n">
        <v>3</v>
      </c>
      <c r="J1740" t="n">
        <v>0</v>
      </c>
    </row>
    <row r="1741">
      <c r="A1741" s="5" t="n">
        <v>46152</v>
      </c>
      <c r="B1741" t="inlineStr">
        <is>
          <t>meta_retargeting_webinar</t>
        </is>
      </c>
      <c r="C1741" t="inlineStr">
        <is>
          <t>meta</t>
        </is>
      </c>
      <c r="D1741" t="n">
        <v>8942</v>
      </c>
      <c r="E1741" t="n">
        <v>6387</v>
      </c>
      <c r="F1741" t="n">
        <v>70</v>
      </c>
      <c r="G1741" t="n">
        <v>2</v>
      </c>
      <c r="H1741" t="n">
        <v>2</v>
      </c>
      <c r="I1741" t="n">
        <v>0</v>
      </c>
      <c r="J1741" t="n">
        <v>0</v>
      </c>
    </row>
    <row r="1742">
      <c r="A1742" s="5" t="n">
        <v>46153</v>
      </c>
      <c r="B1742" t="inlineStr">
        <is>
          <t>google_brand_search</t>
        </is>
      </c>
      <c r="C1742" t="inlineStr">
        <is>
          <t>google</t>
        </is>
      </c>
      <c r="D1742" t="n">
        <v>7124</v>
      </c>
      <c r="E1742" t="n">
        <v>1484</v>
      </c>
      <c r="F1742" t="n">
        <v>81</v>
      </c>
      <c r="G1742" t="n">
        <v>4</v>
      </c>
      <c r="H1742" t="n">
        <v>1</v>
      </c>
      <c r="I1742" t="n">
        <v>1</v>
      </c>
      <c r="J1742" t="n">
        <v>0</v>
      </c>
    </row>
    <row r="1743">
      <c r="A1743" s="5" t="n">
        <v>46153</v>
      </c>
      <c r="B1743" t="inlineStr">
        <is>
          <t>google_nonbrand_growth</t>
        </is>
      </c>
      <c r="C1743" t="inlineStr">
        <is>
          <t>google</t>
        </is>
      </c>
      <c r="D1743" t="n">
        <v>19696</v>
      </c>
      <c r="E1743" t="n">
        <v>4103</v>
      </c>
      <c r="F1743" t="n">
        <v>229</v>
      </c>
      <c r="G1743" t="n">
        <v>2</v>
      </c>
      <c r="H1743" t="n">
        <v>1</v>
      </c>
      <c r="I1743" t="n">
        <v>1</v>
      </c>
      <c r="J1743" t="n">
        <v>0</v>
      </c>
    </row>
    <row r="1744">
      <c r="A1744" s="5" t="n">
        <v>46153</v>
      </c>
      <c r="B1744" t="inlineStr">
        <is>
          <t>linkedin_ceo_abm</t>
        </is>
      </c>
      <c r="C1744" t="inlineStr">
        <is>
          <t>linkedin</t>
        </is>
      </c>
      <c r="D1744" t="n">
        <v>25859</v>
      </c>
      <c r="E1744" t="n">
        <v>4972</v>
      </c>
      <c r="F1744" t="n">
        <v>30</v>
      </c>
      <c r="G1744" t="n">
        <v>2</v>
      </c>
      <c r="H1744" t="n">
        <v>0</v>
      </c>
      <c r="I1744" t="n">
        <v>0</v>
      </c>
      <c r="J1744" t="n">
        <v>0</v>
      </c>
    </row>
    <row r="1745">
      <c r="A1745" s="5" t="n">
        <v>46153</v>
      </c>
      <c r="B1745" t="inlineStr">
        <is>
          <t>meta_prospecting_founder</t>
        </is>
      </c>
      <c r="C1745" t="inlineStr">
        <is>
          <t>meta</t>
        </is>
      </c>
      <c r="D1745" t="n">
        <v>36658</v>
      </c>
      <c r="E1745" t="n">
        <v>26184</v>
      </c>
      <c r="F1745" t="n">
        <v>301</v>
      </c>
      <c r="G1745" t="n">
        <v>7</v>
      </c>
      <c r="H1745" t="n">
        <v>0</v>
      </c>
      <c r="I1745" t="n">
        <v>1</v>
      </c>
      <c r="J1745" t="n">
        <v>0</v>
      </c>
    </row>
    <row r="1746">
      <c r="A1746" s="5" t="n">
        <v>46153</v>
      </c>
      <c r="B1746" t="inlineStr">
        <is>
          <t>meta_retargeting_webinar</t>
        </is>
      </c>
      <c r="C1746" t="inlineStr">
        <is>
          <t>meta</t>
        </is>
      </c>
      <c r="D1746" t="n">
        <v>10011</v>
      </c>
      <c r="E1746" t="n">
        <v>7150</v>
      </c>
      <c r="F1746" t="n">
        <v>74</v>
      </c>
      <c r="G1746" t="n">
        <v>5</v>
      </c>
      <c r="H1746" t="n">
        <v>1</v>
      </c>
      <c r="I1746" t="n">
        <v>2</v>
      </c>
      <c r="J1746" t="n">
        <v>0</v>
      </c>
    </row>
    <row r="1747">
      <c r="A1747" s="5" t="n">
        <v>46154</v>
      </c>
      <c r="B1747" t="inlineStr">
        <is>
          <t>google_brand_search</t>
        </is>
      </c>
      <c r="C1747" t="inlineStr">
        <is>
          <t>google</t>
        </is>
      </c>
      <c r="D1747" t="n">
        <v>7167</v>
      </c>
      <c r="E1747" t="n">
        <v>1493</v>
      </c>
      <c r="F1747" t="n">
        <v>77</v>
      </c>
      <c r="G1747" t="n">
        <v>6</v>
      </c>
      <c r="H1747" t="n">
        <v>2</v>
      </c>
      <c r="I1747" t="n">
        <v>1</v>
      </c>
      <c r="J1747" t="n">
        <v>0</v>
      </c>
    </row>
    <row r="1748">
      <c r="A1748" s="5" t="n">
        <v>46154</v>
      </c>
      <c r="B1748" t="inlineStr">
        <is>
          <t>google_nonbrand_growth</t>
        </is>
      </c>
      <c r="C1748" t="inlineStr">
        <is>
          <t>google</t>
        </is>
      </c>
      <c r="D1748" t="n">
        <v>21101</v>
      </c>
      <c r="E1748" t="n">
        <v>4396</v>
      </c>
      <c r="F1748" t="n">
        <v>212</v>
      </c>
      <c r="G1748" t="n">
        <v>2</v>
      </c>
      <c r="H1748" t="n">
        <v>1</v>
      </c>
      <c r="I1748" t="n">
        <v>0</v>
      </c>
      <c r="J1748" t="n">
        <v>0</v>
      </c>
    </row>
    <row r="1749">
      <c r="A1749" s="5" t="n">
        <v>46154</v>
      </c>
      <c r="B1749" t="inlineStr">
        <is>
          <t>linkedin_ceo_abm</t>
        </is>
      </c>
      <c r="C1749" t="inlineStr">
        <is>
          <t>linkedin</t>
        </is>
      </c>
      <c r="D1749" t="n">
        <v>27568</v>
      </c>
      <c r="E1749" t="n">
        <v>5301</v>
      </c>
      <c r="F1749" t="n">
        <v>31</v>
      </c>
      <c r="G1749" t="n">
        <v>1</v>
      </c>
      <c r="H1749" t="n">
        <v>2</v>
      </c>
      <c r="I1749" t="n">
        <v>0</v>
      </c>
      <c r="J1749" t="n">
        <v>0</v>
      </c>
    </row>
    <row r="1750">
      <c r="A1750" s="5" t="n">
        <v>46154</v>
      </c>
      <c r="B1750" t="inlineStr">
        <is>
          <t>meta_prospecting_founder</t>
        </is>
      </c>
      <c r="C1750" t="inlineStr">
        <is>
          <t>meta</t>
        </is>
      </c>
      <c r="D1750" t="n">
        <v>37062</v>
      </c>
      <c r="E1750" t="n">
        <v>26472</v>
      </c>
      <c r="F1750" t="n">
        <v>262</v>
      </c>
      <c r="G1750" t="n">
        <v>11</v>
      </c>
      <c r="H1750" t="n">
        <v>1</v>
      </c>
      <c r="I1750" t="n">
        <v>2</v>
      </c>
      <c r="J1750" t="n">
        <v>1</v>
      </c>
    </row>
    <row r="1751">
      <c r="A1751" s="5" t="n">
        <v>46154</v>
      </c>
      <c r="B1751" t="inlineStr">
        <is>
          <t>meta_retargeting_webinar</t>
        </is>
      </c>
      <c r="C1751" t="inlineStr">
        <is>
          <t>meta</t>
        </is>
      </c>
      <c r="D1751" t="n">
        <v>8967</v>
      </c>
      <c r="E1751" t="n">
        <v>6405</v>
      </c>
      <c r="F1751" t="n">
        <v>60</v>
      </c>
      <c r="G1751" t="n">
        <v>1</v>
      </c>
      <c r="H1751" t="n">
        <v>0</v>
      </c>
      <c r="I1751" t="n">
        <v>0</v>
      </c>
      <c r="J1751" t="n">
        <v>0</v>
      </c>
    </row>
    <row r="1752">
      <c r="A1752" s="5" t="n">
        <v>46155</v>
      </c>
      <c r="B1752" t="inlineStr">
        <is>
          <t>google_brand_search</t>
        </is>
      </c>
      <c r="C1752" t="inlineStr">
        <is>
          <t>google</t>
        </is>
      </c>
      <c r="D1752" t="n">
        <v>7213</v>
      </c>
      <c r="E1752" t="n">
        <v>1502</v>
      </c>
      <c r="F1752" t="n">
        <v>75</v>
      </c>
      <c r="G1752" t="n">
        <v>2</v>
      </c>
      <c r="H1752" t="n">
        <v>3</v>
      </c>
      <c r="I1752" t="n">
        <v>0</v>
      </c>
      <c r="J1752" t="n">
        <v>0</v>
      </c>
    </row>
    <row r="1753">
      <c r="A1753" s="5" t="n">
        <v>46155</v>
      </c>
      <c r="B1753" t="inlineStr">
        <is>
          <t>google_nonbrand_growth</t>
        </is>
      </c>
      <c r="C1753" t="inlineStr">
        <is>
          <t>google</t>
        </is>
      </c>
      <c r="D1753" t="n">
        <v>20736</v>
      </c>
      <c r="E1753" t="n">
        <v>4320</v>
      </c>
      <c r="F1753" t="n">
        <v>253</v>
      </c>
      <c r="G1753" t="n">
        <v>3</v>
      </c>
      <c r="H1753" t="n">
        <v>0</v>
      </c>
      <c r="I1753" t="n">
        <v>0</v>
      </c>
      <c r="J1753" t="n">
        <v>0</v>
      </c>
    </row>
    <row r="1754">
      <c r="A1754" s="5" t="n">
        <v>46155</v>
      </c>
      <c r="B1754" t="inlineStr">
        <is>
          <t>linkedin_ceo_abm</t>
        </is>
      </c>
      <c r="C1754" t="inlineStr">
        <is>
          <t>linkedin</t>
        </is>
      </c>
      <c r="D1754" t="n">
        <v>27028</v>
      </c>
      <c r="E1754" t="n">
        <v>5197</v>
      </c>
      <c r="F1754" t="n">
        <v>37</v>
      </c>
      <c r="G1754" t="n">
        <v>2</v>
      </c>
      <c r="H1754" t="n">
        <v>1</v>
      </c>
      <c r="I1754" t="n">
        <v>0</v>
      </c>
      <c r="J1754" t="n">
        <v>0</v>
      </c>
    </row>
    <row r="1755">
      <c r="A1755" s="5" t="n">
        <v>46155</v>
      </c>
      <c r="B1755" t="inlineStr">
        <is>
          <t>meta_prospecting_founder</t>
        </is>
      </c>
      <c r="C1755" t="inlineStr">
        <is>
          <t>meta</t>
        </is>
      </c>
      <c r="D1755" t="n">
        <v>41376</v>
      </c>
      <c r="E1755" t="n">
        <v>29554</v>
      </c>
      <c r="F1755" t="n">
        <v>326</v>
      </c>
      <c r="G1755" t="n">
        <v>19</v>
      </c>
      <c r="H1755" t="n">
        <v>2</v>
      </c>
      <c r="I1755" t="n">
        <v>1</v>
      </c>
      <c r="J1755" t="n">
        <v>2</v>
      </c>
    </row>
    <row r="1756">
      <c r="A1756" s="5" t="n">
        <v>46155</v>
      </c>
      <c r="B1756" t="inlineStr">
        <is>
          <t>meta_retargeting_webinar</t>
        </is>
      </c>
      <c r="C1756" t="inlineStr">
        <is>
          <t>meta</t>
        </is>
      </c>
      <c r="D1756" t="n">
        <v>9513</v>
      </c>
      <c r="E1756" t="n">
        <v>6795</v>
      </c>
      <c r="F1756" t="n">
        <v>76</v>
      </c>
      <c r="G1756" t="n">
        <v>5</v>
      </c>
      <c r="H1756" t="n">
        <v>3</v>
      </c>
      <c r="I1756" t="n">
        <v>0</v>
      </c>
      <c r="J1756" t="n">
        <v>0</v>
      </c>
    </row>
    <row r="1757">
      <c r="A1757" s="5" t="n">
        <v>46156</v>
      </c>
      <c r="B1757" t="inlineStr">
        <is>
          <t>google_brand_search</t>
        </is>
      </c>
      <c r="C1757" t="inlineStr">
        <is>
          <t>google</t>
        </is>
      </c>
      <c r="D1757" t="n">
        <v>6263</v>
      </c>
      <c r="E1757" t="n">
        <v>1304</v>
      </c>
      <c r="F1757" t="n">
        <v>72</v>
      </c>
      <c r="G1757" t="n">
        <v>0</v>
      </c>
      <c r="H1757" t="n">
        <v>2</v>
      </c>
      <c r="I1757" t="n">
        <v>0</v>
      </c>
      <c r="J1757" t="n">
        <v>0</v>
      </c>
    </row>
    <row r="1758">
      <c r="A1758" s="5" t="n">
        <v>46156</v>
      </c>
      <c r="B1758" t="inlineStr">
        <is>
          <t>google_nonbrand_growth</t>
        </is>
      </c>
      <c r="C1758" t="inlineStr">
        <is>
          <t>google</t>
        </is>
      </c>
      <c r="D1758" t="n">
        <v>17477</v>
      </c>
      <c r="E1758" t="n">
        <v>3641</v>
      </c>
      <c r="F1758" t="n">
        <v>171</v>
      </c>
      <c r="G1758" t="n">
        <v>5</v>
      </c>
      <c r="H1758" t="n">
        <v>0</v>
      </c>
      <c r="I1758" t="n">
        <v>0</v>
      </c>
      <c r="J1758" t="n">
        <v>0</v>
      </c>
    </row>
    <row r="1759">
      <c r="A1759" s="5" t="n">
        <v>46156</v>
      </c>
      <c r="B1759" t="inlineStr">
        <is>
          <t>linkedin_ceo_abm</t>
        </is>
      </c>
      <c r="C1759" t="inlineStr">
        <is>
          <t>linkedin</t>
        </is>
      </c>
      <c r="D1759" t="n">
        <v>27783</v>
      </c>
      <c r="E1759" t="n">
        <v>5342</v>
      </c>
      <c r="F1759" t="n">
        <v>32</v>
      </c>
      <c r="G1759" t="n">
        <v>0</v>
      </c>
      <c r="H1759" t="n">
        <v>0</v>
      </c>
      <c r="I1759" t="n">
        <v>1</v>
      </c>
      <c r="J1759" t="n">
        <v>0</v>
      </c>
    </row>
    <row r="1760">
      <c r="A1760" s="5" t="n">
        <v>46156</v>
      </c>
      <c r="B1760" t="inlineStr">
        <is>
          <t>meta_prospecting_founder</t>
        </is>
      </c>
      <c r="C1760" t="inlineStr">
        <is>
          <t>meta</t>
        </is>
      </c>
      <c r="D1760" t="n">
        <v>38626</v>
      </c>
      <c r="E1760" t="n">
        <v>27590</v>
      </c>
      <c r="F1760" t="n">
        <v>325</v>
      </c>
      <c r="G1760" t="n">
        <v>12</v>
      </c>
      <c r="H1760" t="n">
        <v>3</v>
      </c>
      <c r="I1760" t="n">
        <v>1</v>
      </c>
      <c r="J1760" t="n">
        <v>0</v>
      </c>
    </row>
    <row r="1761">
      <c r="A1761" s="5" t="n">
        <v>46156</v>
      </c>
      <c r="B1761" t="inlineStr">
        <is>
          <t>meta_retargeting_webinar</t>
        </is>
      </c>
      <c r="C1761" t="inlineStr">
        <is>
          <t>meta</t>
        </is>
      </c>
      <c r="D1761" t="n">
        <v>8711</v>
      </c>
      <c r="E1761" t="n">
        <v>6222</v>
      </c>
      <c r="F1761" t="n">
        <v>78</v>
      </c>
      <c r="G1761" t="n">
        <v>2</v>
      </c>
      <c r="H1761" t="n">
        <v>2</v>
      </c>
      <c r="I1761" t="n">
        <v>0</v>
      </c>
      <c r="J1761" t="n">
        <v>1</v>
      </c>
    </row>
    <row r="1762">
      <c r="A1762" s="5" t="n">
        <v>46157</v>
      </c>
      <c r="B1762" t="inlineStr">
        <is>
          <t>google_brand_search</t>
        </is>
      </c>
      <c r="C1762" t="inlineStr">
        <is>
          <t>google</t>
        </is>
      </c>
      <c r="D1762" t="n">
        <v>6756</v>
      </c>
      <c r="E1762" t="n">
        <v>1407</v>
      </c>
      <c r="F1762" t="n">
        <v>83</v>
      </c>
      <c r="G1762" t="n">
        <v>1</v>
      </c>
      <c r="H1762" t="n">
        <v>0</v>
      </c>
      <c r="I1762" t="n">
        <v>2</v>
      </c>
      <c r="J1762" t="n">
        <v>0</v>
      </c>
    </row>
    <row r="1763">
      <c r="A1763" s="5" t="n">
        <v>46157</v>
      </c>
      <c r="B1763" t="inlineStr">
        <is>
          <t>google_nonbrand_growth</t>
        </is>
      </c>
      <c r="C1763" t="inlineStr">
        <is>
          <t>google</t>
        </is>
      </c>
      <c r="D1763" t="n">
        <v>18878</v>
      </c>
      <c r="E1763" t="n">
        <v>3932</v>
      </c>
      <c r="F1763" t="n">
        <v>227</v>
      </c>
      <c r="G1763" t="n">
        <v>2</v>
      </c>
      <c r="H1763" t="n">
        <v>1</v>
      </c>
      <c r="I1763" t="n">
        <v>0</v>
      </c>
      <c r="J1763" t="n">
        <v>1</v>
      </c>
    </row>
    <row r="1764">
      <c r="A1764" s="5" t="n">
        <v>46157</v>
      </c>
      <c r="B1764" t="inlineStr">
        <is>
          <t>linkedin_ceo_abm</t>
        </is>
      </c>
      <c r="C1764" t="inlineStr">
        <is>
          <t>linkedin</t>
        </is>
      </c>
      <c r="D1764" t="n">
        <v>24569</v>
      </c>
      <c r="E1764" t="n">
        <v>4724</v>
      </c>
      <c r="F1764" t="n">
        <v>31</v>
      </c>
      <c r="G1764" t="n">
        <v>3</v>
      </c>
      <c r="H1764" t="n">
        <v>0</v>
      </c>
      <c r="I1764" t="n">
        <v>3</v>
      </c>
      <c r="J1764" t="n">
        <v>0</v>
      </c>
    </row>
    <row r="1765">
      <c r="A1765" s="5" t="n">
        <v>46157</v>
      </c>
      <c r="B1765" t="inlineStr">
        <is>
          <t>meta_prospecting_founder</t>
        </is>
      </c>
      <c r="C1765" t="inlineStr">
        <is>
          <t>meta</t>
        </is>
      </c>
      <c r="D1765" t="n">
        <v>40405</v>
      </c>
      <c r="E1765" t="n">
        <v>28860</v>
      </c>
      <c r="F1765" t="n">
        <v>310</v>
      </c>
      <c r="G1765" t="n">
        <v>13</v>
      </c>
      <c r="H1765" t="n">
        <v>2</v>
      </c>
      <c r="I1765" t="n">
        <v>0</v>
      </c>
      <c r="J1765" t="n">
        <v>0</v>
      </c>
    </row>
    <row r="1766">
      <c r="A1766" s="5" t="n">
        <v>46157</v>
      </c>
      <c r="B1766" t="inlineStr">
        <is>
          <t>meta_retargeting_webinar</t>
        </is>
      </c>
      <c r="C1766" t="inlineStr">
        <is>
          <t>meta</t>
        </is>
      </c>
      <c r="D1766" t="n">
        <v>8731</v>
      </c>
      <c r="E1766" t="n">
        <v>6236</v>
      </c>
      <c r="F1766" t="n">
        <v>59</v>
      </c>
      <c r="G1766" t="n">
        <v>4</v>
      </c>
      <c r="H1766" t="n">
        <v>0</v>
      </c>
      <c r="I1766" t="n">
        <v>0</v>
      </c>
      <c r="J1766" t="n">
        <v>1</v>
      </c>
    </row>
    <row r="1767">
      <c r="A1767" s="5" t="n">
        <v>46158</v>
      </c>
      <c r="B1767" t="inlineStr">
        <is>
          <t>google_brand_search</t>
        </is>
      </c>
      <c r="C1767" t="inlineStr">
        <is>
          <t>google</t>
        </is>
      </c>
      <c r="D1767" t="n">
        <v>6802</v>
      </c>
      <c r="E1767" t="n">
        <v>1417</v>
      </c>
      <c r="F1767" t="n">
        <v>71</v>
      </c>
      <c r="G1767" t="n">
        <v>4</v>
      </c>
      <c r="H1767" t="n">
        <v>0</v>
      </c>
      <c r="I1767" t="n">
        <v>1</v>
      </c>
      <c r="J1767" t="n">
        <v>0</v>
      </c>
    </row>
    <row r="1768">
      <c r="A1768" s="5" t="n">
        <v>46158</v>
      </c>
      <c r="B1768" t="inlineStr">
        <is>
          <t>google_nonbrand_growth</t>
        </is>
      </c>
      <c r="C1768" t="inlineStr">
        <is>
          <t>google</t>
        </is>
      </c>
      <c r="D1768" t="n">
        <v>20115</v>
      </c>
      <c r="E1768" t="n">
        <v>4190</v>
      </c>
      <c r="F1768" t="n">
        <v>197</v>
      </c>
      <c r="G1768" t="n">
        <v>2</v>
      </c>
      <c r="H1768" t="n">
        <v>1</v>
      </c>
      <c r="I1768" t="n">
        <v>1</v>
      </c>
      <c r="J1768" t="n">
        <v>0</v>
      </c>
    </row>
    <row r="1769">
      <c r="A1769" s="5" t="n">
        <v>46158</v>
      </c>
      <c r="B1769" t="inlineStr">
        <is>
          <t>linkedin_ceo_abm</t>
        </is>
      </c>
      <c r="C1769" t="inlineStr">
        <is>
          <t>linkedin</t>
        </is>
      </c>
      <c r="D1769" t="n">
        <v>24080</v>
      </c>
      <c r="E1769" t="n">
        <v>4630</v>
      </c>
      <c r="F1769" t="n">
        <v>31</v>
      </c>
      <c r="G1769" t="n">
        <v>2</v>
      </c>
      <c r="H1769" t="n">
        <v>1</v>
      </c>
      <c r="I1769" t="n">
        <v>0</v>
      </c>
      <c r="J1769" t="n">
        <v>0</v>
      </c>
    </row>
    <row r="1770">
      <c r="A1770" s="5" t="n">
        <v>46158</v>
      </c>
      <c r="B1770" t="inlineStr">
        <is>
          <t>meta_prospecting_founder</t>
        </is>
      </c>
      <c r="C1770" t="inlineStr">
        <is>
          <t>meta</t>
        </is>
      </c>
      <c r="D1770" t="n">
        <v>39642</v>
      </c>
      <c r="E1770" t="n">
        <v>28315</v>
      </c>
      <c r="F1770" t="n">
        <v>288</v>
      </c>
      <c r="G1770" t="n">
        <v>7</v>
      </c>
      <c r="H1770" t="n">
        <v>0</v>
      </c>
      <c r="I1770" t="n">
        <v>0</v>
      </c>
      <c r="J1770" t="n">
        <v>0</v>
      </c>
    </row>
    <row r="1771">
      <c r="A1771" s="5" t="n">
        <v>46158</v>
      </c>
      <c r="B1771" t="inlineStr">
        <is>
          <t>meta_retargeting_webinar</t>
        </is>
      </c>
      <c r="C1771" t="inlineStr">
        <is>
          <t>meta</t>
        </is>
      </c>
      <c r="D1771" t="n">
        <v>10186</v>
      </c>
      <c r="E1771" t="n">
        <v>7275</v>
      </c>
      <c r="F1771" t="n">
        <v>68</v>
      </c>
      <c r="G1771" t="n">
        <v>2</v>
      </c>
      <c r="H1771" t="n">
        <v>0</v>
      </c>
      <c r="I1771" t="n">
        <v>2</v>
      </c>
      <c r="J1771" t="n">
        <v>0</v>
      </c>
    </row>
    <row r="1772">
      <c r="A1772" s="5" t="n">
        <v>46159</v>
      </c>
      <c r="B1772" t="inlineStr">
        <is>
          <t>google_brand_search</t>
        </is>
      </c>
      <c r="C1772" t="inlineStr">
        <is>
          <t>google</t>
        </is>
      </c>
      <c r="D1772" t="n">
        <v>6797</v>
      </c>
      <c r="E1772" t="n">
        <v>1416</v>
      </c>
      <c r="F1772" t="n">
        <v>81</v>
      </c>
      <c r="G1772" t="n">
        <v>5</v>
      </c>
      <c r="H1772" t="n">
        <v>1</v>
      </c>
      <c r="I1772" t="n">
        <v>0</v>
      </c>
      <c r="J1772" t="n">
        <v>0</v>
      </c>
    </row>
    <row r="1773">
      <c r="A1773" s="5" t="n">
        <v>46159</v>
      </c>
      <c r="B1773" t="inlineStr">
        <is>
          <t>google_nonbrand_growth</t>
        </is>
      </c>
      <c r="C1773" t="inlineStr">
        <is>
          <t>google</t>
        </is>
      </c>
      <c r="D1773" t="n">
        <v>20166</v>
      </c>
      <c r="E1773" t="n">
        <v>4201</v>
      </c>
      <c r="F1773" t="n">
        <v>251</v>
      </c>
      <c r="G1773" t="n">
        <v>1</v>
      </c>
      <c r="H1773" t="n">
        <v>0</v>
      </c>
      <c r="I1773" t="n">
        <v>1</v>
      </c>
      <c r="J1773" t="n">
        <v>0</v>
      </c>
    </row>
    <row r="1774">
      <c r="A1774" s="5" t="n">
        <v>46159</v>
      </c>
      <c r="B1774" t="inlineStr">
        <is>
          <t>linkedin_ceo_abm</t>
        </is>
      </c>
      <c r="C1774" t="inlineStr">
        <is>
          <t>linkedin</t>
        </is>
      </c>
      <c r="D1774" t="n">
        <v>24497</v>
      </c>
      <c r="E1774" t="n">
        <v>4710</v>
      </c>
      <c r="F1774" t="n">
        <v>34</v>
      </c>
      <c r="G1774" t="n">
        <v>1</v>
      </c>
      <c r="H1774" t="n">
        <v>2</v>
      </c>
      <c r="I1774" t="n">
        <v>1</v>
      </c>
      <c r="J1774" t="n">
        <v>0</v>
      </c>
    </row>
    <row r="1775">
      <c r="A1775" s="5" t="n">
        <v>46159</v>
      </c>
      <c r="B1775" t="inlineStr">
        <is>
          <t>meta_prospecting_founder</t>
        </is>
      </c>
      <c r="C1775" t="inlineStr">
        <is>
          <t>meta</t>
        </is>
      </c>
      <c r="D1775" t="n">
        <v>41689</v>
      </c>
      <c r="E1775" t="n">
        <v>29777</v>
      </c>
      <c r="F1775" t="n">
        <v>359</v>
      </c>
      <c r="G1775" t="n">
        <v>5</v>
      </c>
      <c r="H1775" t="n">
        <v>6</v>
      </c>
      <c r="I1775" t="n">
        <v>2</v>
      </c>
      <c r="J1775" t="n">
        <v>1</v>
      </c>
    </row>
    <row r="1776">
      <c r="A1776" s="5" t="n">
        <v>46159</v>
      </c>
      <c r="B1776" t="inlineStr">
        <is>
          <t>meta_retargeting_webinar</t>
        </is>
      </c>
      <c r="C1776" t="inlineStr">
        <is>
          <t>meta</t>
        </is>
      </c>
      <c r="D1776" t="n">
        <v>9687</v>
      </c>
      <c r="E1776" t="n">
        <v>6919</v>
      </c>
      <c r="F1776" t="n">
        <v>80</v>
      </c>
      <c r="G1776" t="n">
        <v>7</v>
      </c>
      <c r="H1776" t="n">
        <v>1</v>
      </c>
      <c r="I1776" t="n">
        <v>0</v>
      </c>
      <c r="J1776" t="n">
        <v>0</v>
      </c>
    </row>
    <row r="1777">
      <c r="A1777" s="5" t="n">
        <v>46160</v>
      </c>
      <c r="B1777" t="inlineStr">
        <is>
          <t>google_brand_search</t>
        </is>
      </c>
      <c r="C1777" t="inlineStr">
        <is>
          <t>google</t>
        </is>
      </c>
      <c r="D1777" t="n">
        <v>6525</v>
      </c>
      <c r="E1777" t="n">
        <v>1359</v>
      </c>
      <c r="F1777" t="n">
        <v>62</v>
      </c>
      <c r="G1777" t="n">
        <v>1</v>
      </c>
      <c r="H1777" t="n">
        <v>3</v>
      </c>
      <c r="I1777" t="n">
        <v>2</v>
      </c>
      <c r="J1777" t="n">
        <v>0</v>
      </c>
    </row>
    <row r="1778">
      <c r="A1778" s="5" t="n">
        <v>46160</v>
      </c>
      <c r="B1778" t="inlineStr">
        <is>
          <t>google_nonbrand_growth</t>
        </is>
      </c>
      <c r="C1778" t="inlineStr">
        <is>
          <t>google</t>
        </is>
      </c>
      <c r="D1778" t="n">
        <v>17824</v>
      </c>
      <c r="E1778" t="n">
        <v>3713</v>
      </c>
      <c r="F1778" t="n">
        <v>193</v>
      </c>
      <c r="G1778" t="n">
        <v>2</v>
      </c>
      <c r="H1778" t="n">
        <v>0</v>
      </c>
      <c r="I1778" t="n">
        <v>1</v>
      </c>
      <c r="J1778" t="n">
        <v>0</v>
      </c>
    </row>
    <row r="1779">
      <c r="A1779" s="5" t="n">
        <v>46160</v>
      </c>
      <c r="B1779" t="inlineStr">
        <is>
          <t>linkedin_ceo_abm</t>
        </is>
      </c>
      <c r="C1779" t="inlineStr">
        <is>
          <t>linkedin</t>
        </is>
      </c>
      <c r="D1779" t="n">
        <v>27338</v>
      </c>
      <c r="E1779" t="n">
        <v>5257</v>
      </c>
      <c r="F1779" t="n">
        <v>35</v>
      </c>
      <c r="G1779" t="n">
        <v>2</v>
      </c>
      <c r="H1779" t="n">
        <v>2</v>
      </c>
      <c r="I1779" t="n">
        <v>0</v>
      </c>
      <c r="J1779" t="n">
        <v>0</v>
      </c>
    </row>
    <row r="1780">
      <c r="A1780" s="5" t="n">
        <v>46160</v>
      </c>
      <c r="B1780" t="inlineStr">
        <is>
          <t>meta_prospecting_founder</t>
        </is>
      </c>
      <c r="C1780" t="inlineStr">
        <is>
          <t>meta</t>
        </is>
      </c>
      <c r="D1780" t="n">
        <v>35464</v>
      </c>
      <c r="E1780" t="n">
        <v>25331</v>
      </c>
      <c r="F1780" t="n">
        <v>245</v>
      </c>
      <c r="G1780" t="n">
        <v>7</v>
      </c>
      <c r="H1780" t="n">
        <v>0</v>
      </c>
      <c r="I1780" t="n">
        <v>0</v>
      </c>
      <c r="J1780" t="n">
        <v>0</v>
      </c>
    </row>
    <row r="1781">
      <c r="A1781" s="5" t="n">
        <v>46160</v>
      </c>
      <c r="B1781" t="inlineStr">
        <is>
          <t>meta_retargeting_webinar</t>
        </is>
      </c>
      <c r="C1781" t="inlineStr">
        <is>
          <t>meta</t>
        </is>
      </c>
      <c r="D1781" t="n">
        <v>9679</v>
      </c>
      <c r="E1781" t="n">
        <v>6913</v>
      </c>
      <c r="F1781" t="n">
        <v>84</v>
      </c>
      <c r="G1781" t="n">
        <v>5</v>
      </c>
      <c r="H1781" t="n">
        <v>2</v>
      </c>
      <c r="I1781" t="n">
        <v>0</v>
      </c>
      <c r="J1781" t="n">
        <v>0</v>
      </c>
    </row>
    <row r="1782">
      <c r="A1782" s="5" t="n">
        <v>46161</v>
      </c>
      <c r="B1782" t="inlineStr">
        <is>
          <t>google_brand_search</t>
        </is>
      </c>
      <c r="C1782" t="inlineStr">
        <is>
          <t>google</t>
        </is>
      </c>
      <c r="D1782" t="n">
        <v>6247</v>
      </c>
      <c r="E1782" t="n">
        <v>1301</v>
      </c>
      <c r="F1782" t="n">
        <v>61</v>
      </c>
      <c r="G1782" t="n">
        <v>4</v>
      </c>
      <c r="H1782" t="n">
        <v>1</v>
      </c>
      <c r="I1782" t="n">
        <v>1</v>
      </c>
      <c r="J1782" t="n">
        <v>0</v>
      </c>
    </row>
    <row r="1783">
      <c r="A1783" s="5" t="n">
        <v>46161</v>
      </c>
      <c r="B1783" t="inlineStr">
        <is>
          <t>google_nonbrand_growth</t>
        </is>
      </c>
      <c r="C1783" t="inlineStr">
        <is>
          <t>google</t>
        </is>
      </c>
      <c r="D1783" t="n">
        <v>19490</v>
      </c>
      <c r="E1783" t="n">
        <v>4060</v>
      </c>
      <c r="F1783" t="n">
        <v>179</v>
      </c>
      <c r="G1783" t="n">
        <v>3</v>
      </c>
      <c r="H1783" t="n">
        <v>0</v>
      </c>
      <c r="I1783" t="n">
        <v>0</v>
      </c>
      <c r="J1783" t="n">
        <v>0</v>
      </c>
    </row>
    <row r="1784">
      <c r="A1784" s="5" t="n">
        <v>46161</v>
      </c>
      <c r="B1784" t="inlineStr">
        <is>
          <t>linkedin_ceo_abm</t>
        </is>
      </c>
      <c r="C1784" t="inlineStr">
        <is>
          <t>linkedin</t>
        </is>
      </c>
      <c r="D1784" t="n">
        <v>23454</v>
      </c>
      <c r="E1784" t="n">
        <v>4510</v>
      </c>
      <c r="F1784" t="n">
        <v>32</v>
      </c>
      <c r="G1784" t="n">
        <v>1</v>
      </c>
      <c r="H1784" t="n">
        <v>0</v>
      </c>
      <c r="I1784" t="n">
        <v>0</v>
      </c>
      <c r="J1784" t="n">
        <v>0</v>
      </c>
    </row>
    <row r="1785">
      <c r="A1785" s="5" t="n">
        <v>46161</v>
      </c>
      <c r="B1785" t="inlineStr">
        <is>
          <t>meta_prospecting_founder</t>
        </is>
      </c>
      <c r="C1785" t="inlineStr">
        <is>
          <t>meta</t>
        </is>
      </c>
      <c r="D1785" t="n">
        <v>35114</v>
      </c>
      <c r="E1785" t="n">
        <v>25081</v>
      </c>
      <c r="F1785" t="n">
        <v>237</v>
      </c>
      <c r="G1785" t="n">
        <v>12</v>
      </c>
      <c r="H1785" t="n">
        <v>0</v>
      </c>
      <c r="I1785" t="n">
        <v>1</v>
      </c>
      <c r="J1785" t="n">
        <v>0</v>
      </c>
    </row>
    <row r="1786">
      <c r="A1786" s="5" t="n">
        <v>46161</v>
      </c>
      <c r="B1786" t="inlineStr">
        <is>
          <t>meta_retargeting_webinar</t>
        </is>
      </c>
      <c r="C1786" t="inlineStr">
        <is>
          <t>meta</t>
        </is>
      </c>
      <c r="D1786" t="n">
        <v>8467</v>
      </c>
      <c r="E1786" t="n">
        <v>6047</v>
      </c>
      <c r="F1786" t="n">
        <v>67</v>
      </c>
      <c r="G1786" t="n">
        <v>4</v>
      </c>
      <c r="H1786" t="n">
        <v>3</v>
      </c>
      <c r="I1786" t="n">
        <v>0</v>
      </c>
      <c r="J1786" t="n">
        <v>0</v>
      </c>
    </row>
    <row r="1787">
      <c r="A1787" s="5" t="n">
        <v>46162</v>
      </c>
      <c r="B1787" t="inlineStr">
        <is>
          <t>google_brand_search</t>
        </is>
      </c>
      <c r="C1787" t="inlineStr">
        <is>
          <t>google</t>
        </is>
      </c>
      <c r="D1787" t="n">
        <v>6723</v>
      </c>
      <c r="E1787" t="n">
        <v>1400</v>
      </c>
      <c r="F1787" t="n">
        <v>66</v>
      </c>
      <c r="G1787" t="n">
        <v>2</v>
      </c>
      <c r="H1787" t="n">
        <v>2</v>
      </c>
      <c r="I1787" t="n">
        <v>0</v>
      </c>
      <c r="J1787" t="n">
        <v>1</v>
      </c>
    </row>
    <row r="1788">
      <c r="A1788" s="5" t="n">
        <v>46162</v>
      </c>
      <c r="B1788" t="inlineStr">
        <is>
          <t>google_nonbrand_growth</t>
        </is>
      </c>
      <c r="C1788" t="inlineStr">
        <is>
          <t>google</t>
        </is>
      </c>
      <c r="D1788" t="n">
        <v>20044</v>
      </c>
      <c r="E1788" t="n">
        <v>4175</v>
      </c>
      <c r="F1788" t="n">
        <v>235</v>
      </c>
      <c r="G1788" t="n">
        <v>4</v>
      </c>
      <c r="H1788" t="n">
        <v>0</v>
      </c>
      <c r="I1788" t="n">
        <v>0</v>
      </c>
      <c r="J1788" t="n">
        <v>1</v>
      </c>
    </row>
    <row r="1789">
      <c r="A1789" s="5" t="n">
        <v>46162</v>
      </c>
      <c r="B1789" t="inlineStr">
        <is>
          <t>linkedin_ceo_abm</t>
        </is>
      </c>
      <c r="C1789" t="inlineStr">
        <is>
          <t>linkedin</t>
        </is>
      </c>
      <c r="D1789" t="n">
        <v>27106</v>
      </c>
      <c r="E1789" t="n">
        <v>5212</v>
      </c>
      <c r="F1789" t="n">
        <v>29</v>
      </c>
      <c r="G1789" t="n">
        <v>1</v>
      </c>
      <c r="H1789" t="n">
        <v>1</v>
      </c>
      <c r="I1789" t="n">
        <v>1</v>
      </c>
      <c r="J1789" t="n">
        <v>0</v>
      </c>
    </row>
    <row r="1790">
      <c r="A1790" s="5" t="n">
        <v>46162</v>
      </c>
      <c r="B1790" t="inlineStr">
        <is>
          <t>meta_prospecting_founder</t>
        </is>
      </c>
      <c r="C1790" t="inlineStr">
        <is>
          <t>meta</t>
        </is>
      </c>
      <c r="D1790" t="n">
        <v>40362</v>
      </c>
      <c r="E1790" t="n">
        <v>28830</v>
      </c>
      <c r="F1790" t="n">
        <v>328</v>
      </c>
      <c r="G1790" t="n">
        <v>14</v>
      </c>
      <c r="H1790" t="n">
        <v>4</v>
      </c>
      <c r="I1790" t="n">
        <v>2</v>
      </c>
      <c r="J1790" t="n">
        <v>0</v>
      </c>
    </row>
    <row r="1791">
      <c r="A1791" s="5" t="n">
        <v>46162</v>
      </c>
      <c r="B1791" t="inlineStr">
        <is>
          <t>meta_retargeting_webinar</t>
        </is>
      </c>
      <c r="C1791" t="inlineStr">
        <is>
          <t>meta</t>
        </is>
      </c>
      <c r="D1791" t="n">
        <v>8679</v>
      </c>
      <c r="E1791" t="n">
        <v>6199</v>
      </c>
      <c r="F1791" t="n">
        <v>72</v>
      </c>
      <c r="G1791" t="n">
        <v>3</v>
      </c>
      <c r="H1791" t="n">
        <v>1</v>
      </c>
      <c r="I1791" t="n">
        <v>0</v>
      </c>
      <c r="J1791" t="n">
        <v>0</v>
      </c>
    </row>
    <row r="1792">
      <c r="A1792" s="5" t="n">
        <v>46163</v>
      </c>
      <c r="B1792" t="inlineStr">
        <is>
          <t>google_brand_search</t>
        </is>
      </c>
      <c r="C1792" t="inlineStr">
        <is>
          <t>google</t>
        </is>
      </c>
      <c r="D1792" t="n">
        <v>7450</v>
      </c>
      <c r="E1792" t="n">
        <v>1552</v>
      </c>
      <c r="F1792" t="n">
        <v>71</v>
      </c>
      <c r="G1792" t="n">
        <v>4</v>
      </c>
      <c r="H1792" t="n">
        <v>2</v>
      </c>
      <c r="I1792" t="n">
        <v>0</v>
      </c>
      <c r="J1792" t="n">
        <v>0</v>
      </c>
    </row>
    <row r="1793">
      <c r="A1793" s="5" t="n">
        <v>46163</v>
      </c>
      <c r="B1793" t="inlineStr">
        <is>
          <t>google_nonbrand_growth</t>
        </is>
      </c>
      <c r="C1793" t="inlineStr">
        <is>
          <t>google</t>
        </is>
      </c>
      <c r="D1793" t="n">
        <v>20853</v>
      </c>
      <c r="E1793" t="n">
        <v>4344</v>
      </c>
      <c r="F1793" t="n">
        <v>197</v>
      </c>
      <c r="G1793" t="n">
        <v>2</v>
      </c>
      <c r="H1793" t="n">
        <v>0</v>
      </c>
      <c r="I1793" t="n">
        <v>0</v>
      </c>
      <c r="J1793" t="n">
        <v>0</v>
      </c>
    </row>
    <row r="1794">
      <c r="A1794" s="5" t="n">
        <v>46163</v>
      </c>
      <c r="B1794" t="inlineStr">
        <is>
          <t>linkedin_ceo_abm</t>
        </is>
      </c>
      <c r="C1794" t="inlineStr">
        <is>
          <t>linkedin</t>
        </is>
      </c>
      <c r="D1794" t="n">
        <v>25513</v>
      </c>
      <c r="E1794" t="n">
        <v>4906</v>
      </c>
      <c r="F1794" t="n">
        <v>31</v>
      </c>
      <c r="G1794" t="n">
        <v>1</v>
      </c>
      <c r="H1794" t="n">
        <v>2</v>
      </c>
      <c r="I1794" t="n">
        <v>0</v>
      </c>
      <c r="J1794" t="n">
        <v>0</v>
      </c>
    </row>
    <row r="1795">
      <c r="A1795" s="5" t="n">
        <v>46163</v>
      </c>
      <c r="B1795" t="inlineStr">
        <is>
          <t>meta_prospecting_founder</t>
        </is>
      </c>
      <c r="C1795" t="inlineStr">
        <is>
          <t>meta</t>
        </is>
      </c>
      <c r="D1795" t="n">
        <v>38611</v>
      </c>
      <c r="E1795" t="n">
        <v>27579</v>
      </c>
      <c r="F1795" t="n">
        <v>286</v>
      </c>
      <c r="G1795" t="n">
        <v>4</v>
      </c>
      <c r="H1795" t="n">
        <v>2</v>
      </c>
      <c r="I1795" t="n">
        <v>0</v>
      </c>
      <c r="J1795" t="n">
        <v>1</v>
      </c>
    </row>
    <row r="1796">
      <c r="A1796" s="5" t="n">
        <v>46163</v>
      </c>
      <c r="B1796" t="inlineStr">
        <is>
          <t>meta_retargeting_webinar</t>
        </is>
      </c>
      <c r="C1796" t="inlineStr">
        <is>
          <t>meta</t>
        </is>
      </c>
      <c r="D1796" t="n">
        <v>9088</v>
      </c>
      <c r="E1796" t="n">
        <v>6491</v>
      </c>
      <c r="F1796" t="n">
        <v>77</v>
      </c>
      <c r="G1796" t="n">
        <v>8</v>
      </c>
      <c r="H1796" t="n">
        <v>0</v>
      </c>
      <c r="I1796" t="n">
        <v>1</v>
      </c>
      <c r="J1796" t="n">
        <v>0</v>
      </c>
    </row>
    <row r="1797">
      <c r="A1797" s="5" t="n">
        <v>46164</v>
      </c>
      <c r="B1797" t="inlineStr">
        <is>
          <t>google_brand_search</t>
        </is>
      </c>
      <c r="C1797" t="inlineStr">
        <is>
          <t>google</t>
        </is>
      </c>
      <c r="D1797" t="n">
        <v>6342</v>
      </c>
      <c r="E1797" t="n">
        <v>1321</v>
      </c>
      <c r="F1797" t="n">
        <v>63</v>
      </c>
      <c r="G1797" t="n">
        <v>1</v>
      </c>
      <c r="H1797" t="n">
        <v>3</v>
      </c>
      <c r="I1797" t="n">
        <v>0</v>
      </c>
      <c r="J1797" t="n">
        <v>2</v>
      </c>
    </row>
    <row r="1798">
      <c r="A1798" s="5" t="n">
        <v>46164</v>
      </c>
      <c r="B1798" t="inlineStr">
        <is>
          <t>google_nonbrand_growth</t>
        </is>
      </c>
      <c r="C1798" t="inlineStr">
        <is>
          <t>google</t>
        </is>
      </c>
      <c r="D1798" t="n">
        <v>20621</v>
      </c>
      <c r="E1798" t="n">
        <v>4296</v>
      </c>
      <c r="F1798" t="n">
        <v>196</v>
      </c>
      <c r="G1798" t="n">
        <v>3</v>
      </c>
      <c r="H1798" t="n">
        <v>2</v>
      </c>
      <c r="I1798" t="n">
        <v>0</v>
      </c>
      <c r="J1798" t="n">
        <v>0</v>
      </c>
    </row>
    <row r="1799">
      <c r="A1799" s="5" t="n">
        <v>46164</v>
      </c>
      <c r="B1799" t="inlineStr">
        <is>
          <t>linkedin_ceo_abm</t>
        </is>
      </c>
      <c r="C1799" t="inlineStr">
        <is>
          <t>linkedin</t>
        </is>
      </c>
      <c r="D1799" t="n">
        <v>24657</v>
      </c>
      <c r="E1799" t="n">
        <v>4741</v>
      </c>
      <c r="F1799" t="n">
        <v>26</v>
      </c>
      <c r="G1799" t="n">
        <v>1</v>
      </c>
      <c r="H1799" t="n">
        <v>2</v>
      </c>
      <c r="I1799" t="n">
        <v>0</v>
      </c>
      <c r="J1799" t="n">
        <v>0</v>
      </c>
    </row>
    <row r="1800">
      <c r="A1800" s="5" t="n">
        <v>46164</v>
      </c>
      <c r="B1800" t="inlineStr">
        <is>
          <t>meta_prospecting_founder</t>
        </is>
      </c>
      <c r="C1800" t="inlineStr">
        <is>
          <t>meta</t>
        </is>
      </c>
      <c r="D1800" t="n">
        <v>42701</v>
      </c>
      <c r="E1800" t="n">
        <v>30500</v>
      </c>
      <c r="F1800" t="n">
        <v>348</v>
      </c>
      <c r="G1800" t="n">
        <v>12</v>
      </c>
      <c r="H1800" t="n">
        <v>1</v>
      </c>
      <c r="I1800" t="n">
        <v>2</v>
      </c>
      <c r="J1800" t="n">
        <v>0</v>
      </c>
    </row>
    <row r="1801">
      <c r="A1801" s="5" t="n">
        <v>46164</v>
      </c>
      <c r="B1801" t="inlineStr">
        <is>
          <t>meta_retargeting_webinar</t>
        </is>
      </c>
      <c r="C1801" t="inlineStr">
        <is>
          <t>meta</t>
        </is>
      </c>
      <c r="D1801" t="n">
        <v>8458</v>
      </c>
      <c r="E1801" t="n">
        <v>6041</v>
      </c>
      <c r="F1801" t="n">
        <v>59</v>
      </c>
      <c r="G1801" t="n">
        <v>6</v>
      </c>
      <c r="H1801" t="n">
        <v>1</v>
      </c>
      <c r="I1801" t="n">
        <v>0</v>
      </c>
      <c r="J1801" t="n">
        <v>0</v>
      </c>
    </row>
    <row r="1802">
      <c r="A1802" s="5" t="n">
        <v>46165</v>
      </c>
      <c r="B1802" t="inlineStr">
        <is>
          <t>google_brand_search</t>
        </is>
      </c>
      <c r="C1802" t="inlineStr">
        <is>
          <t>google</t>
        </is>
      </c>
      <c r="D1802" t="n">
        <v>7010</v>
      </c>
      <c r="E1802" t="n">
        <v>1460</v>
      </c>
      <c r="F1802" t="n">
        <v>73</v>
      </c>
      <c r="G1802" t="n">
        <v>5</v>
      </c>
      <c r="H1802" t="n">
        <v>0</v>
      </c>
      <c r="I1802" t="n">
        <v>0</v>
      </c>
      <c r="J1802" t="n">
        <v>0</v>
      </c>
    </row>
    <row r="1803">
      <c r="A1803" s="5" t="n">
        <v>46165</v>
      </c>
      <c r="B1803" t="inlineStr">
        <is>
          <t>google_nonbrand_growth</t>
        </is>
      </c>
      <c r="C1803" t="inlineStr">
        <is>
          <t>google</t>
        </is>
      </c>
      <c r="D1803" t="n">
        <v>18393</v>
      </c>
      <c r="E1803" t="n">
        <v>3831</v>
      </c>
      <c r="F1803" t="n">
        <v>211</v>
      </c>
      <c r="G1803" t="n">
        <v>5</v>
      </c>
      <c r="H1803" t="n">
        <v>0</v>
      </c>
      <c r="I1803" t="n">
        <v>0</v>
      </c>
      <c r="J1803" t="n">
        <v>0</v>
      </c>
    </row>
    <row r="1804">
      <c r="A1804" s="5" t="n">
        <v>46165</v>
      </c>
      <c r="B1804" t="inlineStr">
        <is>
          <t>linkedin_ceo_abm</t>
        </is>
      </c>
      <c r="C1804" t="inlineStr">
        <is>
          <t>linkedin</t>
        </is>
      </c>
      <c r="D1804" t="n">
        <v>25284</v>
      </c>
      <c r="E1804" t="n">
        <v>4862</v>
      </c>
      <c r="F1804" t="n">
        <v>31</v>
      </c>
      <c r="G1804" t="n">
        <v>1</v>
      </c>
      <c r="H1804" t="n">
        <v>0</v>
      </c>
      <c r="I1804" t="n">
        <v>1</v>
      </c>
      <c r="J1804" t="n">
        <v>0</v>
      </c>
    </row>
    <row r="1805">
      <c r="A1805" s="5" t="n">
        <v>46165</v>
      </c>
      <c r="B1805" t="inlineStr">
        <is>
          <t>meta_prospecting_founder</t>
        </is>
      </c>
      <c r="C1805" t="inlineStr">
        <is>
          <t>meta</t>
        </is>
      </c>
      <c r="D1805" t="n">
        <v>41860</v>
      </c>
      <c r="E1805" t="n">
        <v>29900</v>
      </c>
      <c r="F1805" t="n">
        <v>358</v>
      </c>
      <c r="G1805" t="n">
        <v>15</v>
      </c>
      <c r="H1805" t="n">
        <v>3</v>
      </c>
      <c r="I1805" t="n">
        <v>2</v>
      </c>
      <c r="J1805" t="n">
        <v>0</v>
      </c>
    </row>
    <row r="1806">
      <c r="A1806" s="5" t="n">
        <v>46165</v>
      </c>
      <c r="B1806" t="inlineStr">
        <is>
          <t>meta_retargeting_webinar</t>
        </is>
      </c>
      <c r="C1806" t="inlineStr">
        <is>
          <t>meta</t>
        </is>
      </c>
      <c r="D1806" t="n">
        <v>9287</v>
      </c>
      <c r="E1806" t="n">
        <v>6633</v>
      </c>
      <c r="F1806" t="n">
        <v>77</v>
      </c>
      <c r="G1806" t="n">
        <v>0</v>
      </c>
      <c r="H1806" t="n">
        <v>5</v>
      </c>
      <c r="I1806" t="n">
        <v>1</v>
      </c>
      <c r="J1806" t="n">
        <v>0</v>
      </c>
    </row>
    <row r="1807">
      <c r="A1807" s="5" t="n">
        <v>46166</v>
      </c>
      <c r="B1807" t="inlineStr">
        <is>
          <t>google_brand_search</t>
        </is>
      </c>
      <c r="C1807" t="inlineStr">
        <is>
          <t>google</t>
        </is>
      </c>
      <c r="D1807" t="n">
        <v>6783</v>
      </c>
      <c r="E1807" t="n">
        <v>1413</v>
      </c>
      <c r="F1807" t="n">
        <v>79</v>
      </c>
      <c r="G1807" t="n">
        <v>2</v>
      </c>
      <c r="H1807" t="n">
        <v>2</v>
      </c>
      <c r="I1807" t="n">
        <v>2</v>
      </c>
      <c r="J1807" t="n">
        <v>0</v>
      </c>
    </row>
    <row r="1808">
      <c r="A1808" s="5" t="n">
        <v>46166</v>
      </c>
      <c r="B1808" t="inlineStr">
        <is>
          <t>google_nonbrand_growth</t>
        </is>
      </c>
      <c r="C1808" t="inlineStr">
        <is>
          <t>google</t>
        </is>
      </c>
      <c r="D1808" t="n">
        <v>20391</v>
      </c>
      <c r="E1808" t="n">
        <v>4248</v>
      </c>
      <c r="F1808" t="n">
        <v>253</v>
      </c>
      <c r="G1808" t="n">
        <v>1</v>
      </c>
      <c r="H1808" t="n">
        <v>3</v>
      </c>
      <c r="I1808" t="n">
        <v>0</v>
      </c>
      <c r="J1808" t="n">
        <v>0</v>
      </c>
    </row>
    <row r="1809">
      <c r="A1809" s="5" t="n">
        <v>46166</v>
      </c>
      <c r="B1809" t="inlineStr">
        <is>
          <t>linkedin_ceo_abm</t>
        </is>
      </c>
      <c r="C1809" t="inlineStr">
        <is>
          <t>linkedin</t>
        </is>
      </c>
      <c r="D1809" t="n">
        <v>24655</v>
      </c>
      <c r="E1809" t="n">
        <v>4741</v>
      </c>
      <c r="F1809" t="n">
        <v>33</v>
      </c>
      <c r="G1809" t="n">
        <v>0</v>
      </c>
      <c r="H1809" t="n">
        <v>0</v>
      </c>
      <c r="I1809" t="n">
        <v>1</v>
      </c>
      <c r="J1809" t="n">
        <v>0</v>
      </c>
    </row>
    <row r="1810">
      <c r="A1810" s="5" t="n">
        <v>46166</v>
      </c>
      <c r="B1810" t="inlineStr">
        <is>
          <t>meta_prospecting_founder</t>
        </is>
      </c>
      <c r="C1810" t="inlineStr">
        <is>
          <t>meta</t>
        </is>
      </c>
      <c r="D1810" t="n">
        <v>35975</v>
      </c>
      <c r="E1810" t="n">
        <v>25696</v>
      </c>
      <c r="F1810" t="n">
        <v>264</v>
      </c>
      <c r="G1810" t="n">
        <v>10</v>
      </c>
      <c r="H1810" t="n">
        <v>4</v>
      </c>
      <c r="I1810" t="n">
        <v>1</v>
      </c>
      <c r="J1810" t="n">
        <v>0</v>
      </c>
    </row>
    <row r="1811">
      <c r="A1811" s="5" t="n">
        <v>46166</v>
      </c>
      <c r="B1811" t="inlineStr">
        <is>
          <t>meta_retargeting_webinar</t>
        </is>
      </c>
      <c r="C1811" t="inlineStr">
        <is>
          <t>meta</t>
        </is>
      </c>
      <c r="D1811" t="n">
        <v>9425</v>
      </c>
      <c r="E1811" t="n">
        <v>6732</v>
      </c>
      <c r="F1811" t="n">
        <v>65</v>
      </c>
      <c r="G1811" t="n">
        <v>5</v>
      </c>
      <c r="H1811" t="n">
        <v>0</v>
      </c>
      <c r="I1811" t="n">
        <v>0</v>
      </c>
      <c r="J1811" t="n">
        <v>0</v>
      </c>
    </row>
    <row r="1812">
      <c r="A1812" s="5" t="n">
        <v>46167</v>
      </c>
      <c r="B1812" t="inlineStr">
        <is>
          <t>google_brand_search</t>
        </is>
      </c>
      <c r="C1812" t="inlineStr">
        <is>
          <t>google</t>
        </is>
      </c>
      <c r="D1812" t="n">
        <v>6278</v>
      </c>
      <c r="E1812" t="n">
        <v>1307</v>
      </c>
      <c r="F1812" t="n">
        <v>65</v>
      </c>
      <c r="G1812" t="n">
        <v>5</v>
      </c>
      <c r="H1812" t="n">
        <v>2</v>
      </c>
      <c r="I1812" t="n">
        <v>1</v>
      </c>
      <c r="J1812" t="n">
        <v>1</v>
      </c>
    </row>
    <row r="1813">
      <c r="A1813" s="5" t="n">
        <v>46167</v>
      </c>
      <c r="B1813" t="inlineStr">
        <is>
          <t>google_nonbrand_growth</t>
        </is>
      </c>
      <c r="C1813" t="inlineStr">
        <is>
          <t>google</t>
        </is>
      </c>
      <c r="D1813" t="n">
        <v>19933</v>
      </c>
      <c r="E1813" t="n">
        <v>4152</v>
      </c>
      <c r="F1813" t="n">
        <v>238</v>
      </c>
      <c r="G1813" t="n">
        <v>2</v>
      </c>
      <c r="H1813" t="n">
        <v>0</v>
      </c>
      <c r="I1813" t="n">
        <v>0</v>
      </c>
      <c r="J1813" t="n">
        <v>1</v>
      </c>
    </row>
    <row r="1814">
      <c r="A1814" s="5" t="n">
        <v>46167</v>
      </c>
      <c r="B1814" t="inlineStr">
        <is>
          <t>linkedin_ceo_abm</t>
        </is>
      </c>
      <c r="C1814" t="inlineStr">
        <is>
          <t>linkedin</t>
        </is>
      </c>
      <c r="D1814" t="n">
        <v>24787</v>
      </c>
      <c r="E1814" t="n">
        <v>4766</v>
      </c>
      <c r="F1814" t="n">
        <v>35</v>
      </c>
      <c r="G1814" t="n">
        <v>0</v>
      </c>
      <c r="H1814" t="n">
        <v>0</v>
      </c>
      <c r="I1814" t="n">
        <v>1</v>
      </c>
      <c r="J1814" t="n">
        <v>0</v>
      </c>
    </row>
    <row r="1815">
      <c r="A1815" s="5" t="n">
        <v>46167</v>
      </c>
      <c r="B1815" t="inlineStr">
        <is>
          <t>meta_prospecting_founder</t>
        </is>
      </c>
      <c r="C1815" t="inlineStr">
        <is>
          <t>meta</t>
        </is>
      </c>
      <c r="D1815" t="n">
        <v>39804</v>
      </c>
      <c r="E1815" t="n">
        <v>28431</v>
      </c>
      <c r="F1815" t="n">
        <v>273</v>
      </c>
      <c r="G1815" t="n">
        <v>11</v>
      </c>
      <c r="H1815" t="n">
        <v>4</v>
      </c>
      <c r="I1815" t="n">
        <v>0</v>
      </c>
      <c r="J1815" t="n">
        <v>0</v>
      </c>
    </row>
    <row r="1816">
      <c r="A1816" s="5" t="n">
        <v>46167</v>
      </c>
      <c r="B1816" t="inlineStr">
        <is>
          <t>meta_retargeting_webinar</t>
        </is>
      </c>
      <c r="C1816" t="inlineStr">
        <is>
          <t>meta</t>
        </is>
      </c>
      <c r="D1816" t="n">
        <v>10065</v>
      </c>
      <c r="E1816" t="n">
        <v>7189</v>
      </c>
      <c r="F1816" t="n">
        <v>67</v>
      </c>
      <c r="G1816" t="n">
        <v>5</v>
      </c>
      <c r="H1816" t="n">
        <v>0</v>
      </c>
      <c r="I1816" t="n">
        <v>1</v>
      </c>
      <c r="J1816" t="n">
        <v>0</v>
      </c>
    </row>
    <row r="1817">
      <c r="A1817" s="5" t="n">
        <v>46168</v>
      </c>
      <c r="B1817" t="inlineStr">
        <is>
          <t>google_brand_search</t>
        </is>
      </c>
      <c r="C1817" t="inlineStr">
        <is>
          <t>google</t>
        </is>
      </c>
      <c r="D1817" t="n">
        <v>6908</v>
      </c>
      <c r="E1817" t="n">
        <v>1439</v>
      </c>
      <c r="F1817" t="n">
        <v>79</v>
      </c>
      <c r="G1817" t="n">
        <v>1</v>
      </c>
      <c r="H1817" t="n">
        <v>1</v>
      </c>
      <c r="I1817" t="n">
        <v>0</v>
      </c>
      <c r="J1817" t="n">
        <v>0</v>
      </c>
    </row>
    <row r="1818">
      <c r="A1818" s="5" t="n">
        <v>46168</v>
      </c>
      <c r="B1818" t="inlineStr">
        <is>
          <t>google_nonbrand_growth</t>
        </is>
      </c>
      <c r="C1818" t="inlineStr">
        <is>
          <t>google</t>
        </is>
      </c>
      <c r="D1818" t="n">
        <v>17916</v>
      </c>
      <c r="E1818" t="n">
        <v>3732</v>
      </c>
      <c r="F1818" t="n">
        <v>184</v>
      </c>
      <c r="G1818" t="n">
        <v>5</v>
      </c>
      <c r="H1818" t="n">
        <v>0</v>
      </c>
      <c r="I1818" t="n">
        <v>1</v>
      </c>
      <c r="J1818" t="n">
        <v>0</v>
      </c>
    </row>
    <row r="1819">
      <c r="A1819" s="5" t="n">
        <v>46168</v>
      </c>
      <c r="B1819" t="inlineStr">
        <is>
          <t>linkedin_ceo_abm</t>
        </is>
      </c>
      <c r="C1819" t="inlineStr">
        <is>
          <t>linkedin</t>
        </is>
      </c>
      <c r="D1819" t="n">
        <v>25514</v>
      </c>
      <c r="E1819" t="n">
        <v>4906</v>
      </c>
      <c r="F1819" t="n">
        <v>31</v>
      </c>
      <c r="G1819" t="n">
        <v>4</v>
      </c>
      <c r="H1819" t="n">
        <v>0</v>
      </c>
      <c r="I1819" t="n">
        <v>0</v>
      </c>
      <c r="J1819" t="n">
        <v>0</v>
      </c>
    </row>
    <row r="1820">
      <c r="A1820" s="5" t="n">
        <v>46168</v>
      </c>
      <c r="B1820" t="inlineStr">
        <is>
          <t>meta_prospecting_founder</t>
        </is>
      </c>
      <c r="C1820" t="inlineStr">
        <is>
          <t>meta</t>
        </is>
      </c>
      <c r="D1820" t="n">
        <v>38275</v>
      </c>
      <c r="E1820" t="n">
        <v>27339</v>
      </c>
      <c r="F1820" t="n">
        <v>268</v>
      </c>
      <c r="G1820" t="n">
        <v>15</v>
      </c>
      <c r="H1820" t="n">
        <v>1</v>
      </c>
      <c r="I1820" t="n">
        <v>2</v>
      </c>
      <c r="J1820" t="n">
        <v>0</v>
      </c>
    </row>
    <row r="1821">
      <c r="A1821" s="5" t="n">
        <v>46168</v>
      </c>
      <c r="B1821" t="inlineStr">
        <is>
          <t>meta_retargeting_webinar</t>
        </is>
      </c>
      <c r="C1821" t="inlineStr">
        <is>
          <t>meta</t>
        </is>
      </c>
      <c r="D1821" t="n">
        <v>8987</v>
      </c>
      <c r="E1821" t="n">
        <v>6419</v>
      </c>
      <c r="F1821" t="n">
        <v>76</v>
      </c>
      <c r="G1821" t="n">
        <v>6</v>
      </c>
      <c r="H1821" t="n">
        <v>4</v>
      </c>
      <c r="I1821" t="n">
        <v>2</v>
      </c>
      <c r="J1821" t="n">
        <v>0</v>
      </c>
    </row>
    <row r="1822">
      <c r="A1822" s="5" t="n">
        <v>46169</v>
      </c>
      <c r="B1822" t="inlineStr">
        <is>
          <t>google_brand_search</t>
        </is>
      </c>
      <c r="C1822" t="inlineStr">
        <is>
          <t>google</t>
        </is>
      </c>
      <c r="D1822" t="n">
        <v>7139</v>
      </c>
      <c r="E1822" t="n">
        <v>1487</v>
      </c>
      <c r="F1822" t="n">
        <v>84</v>
      </c>
      <c r="G1822" t="n">
        <v>4</v>
      </c>
      <c r="H1822" t="n">
        <v>1</v>
      </c>
      <c r="I1822" t="n">
        <v>0</v>
      </c>
      <c r="J1822" t="n">
        <v>0</v>
      </c>
    </row>
    <row r="1823">
      <c r="A1823" s="5" t="n">
        <v>46169</v>
      </c>
      <c r="B1823" t="inlineStr">
        <is>
          <t>google_nonbrand_growth</t>
        </is>
      </c>
      <c r="C1823" t="inlineStr">
        <is>
          <t>google</t>
        </is>
      </c>
      <c r="D1823" t="n">
        <v>19606</v>
      </c>
      <c r="E1823" t="n">
        <v>4084</v>
      </c>
      <c r="F1823" t="n">
        <v>228</v>
      </c>
      <c r="G1823" t="n">
        <v>3</v>
      </c>
      <c r="H1823" t="n">
        <v>0</v>
      </c>
      <c r="I1823" t="n">
        <v>1</v>
      </c>
      <c r="J1823" t="n">
        <v>0</v>
      </c>
    </row>
    <row r="1824">
      <c r="A1824" s="5" t="n">
        <v>46169</v>
      </c>
      <c r="B1824" t="inlineStr">
        <is>
          <t>linkedin_ceo_abm</t>
        </is>
      </c>
      <c r="C1824" t="inlineStr">
        <is>
          <t>linkedin</t>
        </is>
      </c>
      <c r="D1824" t="n">
        <v>23987</v>
      </c>
      <c r="E1824" t="n">
        <v>4612</v>
      </c>
      <c r="F1824" t="n">
        <v>34</v>
      </c>
      <c r="G1824" t="n">
        <v>1</v>
      </c>
      <c r="H1824" t="n">
        <v>2</v>
      </c>
      <c r="I1824" t="n">
        <v>0</v>
      </c>
      <c r="J1824" t="n">
        <v>1</v>
      </c>
    </row>
    <row r="1825">
      <c r="A1825" s="5" t="n">
        <v>46169</v>
      </c>
      <c r="B1825" t="inlineStr">
        <is>
          <t>meta_prospecting_founder</t>
        </is>
      </c>
      <c r="C1825" t="inlineStr">
        <is>
          <t>meta</t>
        </is>
      </c>
      <c r="D1825" t="n">
        <v>39500</v>
      </c>
      <c r="E1825" t="n">
        <v>28214</v>
      </c>
      <c r="F1825" t="n">
        <v>299</v>
      </c>
      <c r="G1825" t="n">
        <v>11</v>
      </c>
      <c r="H1825" t="n">
        <v>1</v>
      </c>
      <c r="I1825" t="n">
        <v>2</v>
      </c>
      <c r="J1825" t="n">
        <v>0</v>
      </c>
    </row>
    <row r="1826">
      <c r="A1826" s="5" t="n">
        <v>46169</v>
      </c>
      <c r="B1826" t="inlineStr">
        <is>
          <t>meta_retargeting_webinar</t>
        </is>
      </c>
      <c r="C1826" t="inlineStr">
        <is>
          <t>meta</t>
        </is>
      </c>
      <c r="D1826" t="n">
        <v>9061</v>
      </c>
      <c r="E1826" t="n">
        <v>6472</v>
      </c>
      <c r="F1826" t="n">
        <v>79</v>
      </c>
      <c r="G1826" t="n">
        <v>1</v>
      </c>
      <c r="H1826" t="n">
        <v>2</v>
      </c>
      <c r="I1826" t="n">
        <v>1</v>
      </c>
      <c r="J1826" t="n">
        <v>0</v>
      </c>
    </row>
    <row r="1827">
      <c r="A1827" s="5" t="n">
        <v>46170</v>
      </c>
      <c r="B1827" t="inlineStr">
        <is>
          <t>google_brand_search</t>
        </is>
      </c>
      <c r="C1827" t="inlineStr">
        <is>
          <t>google</t>
        </is>
      </c>
      <c r="D1827" t="n">
        <v>7137</v>
      </c>
      <c r="E1827" t="n">
        <v>1486</v>
      </c>
      <c r="F1827" t="n">
        <v>83</v>
      </c>
      <c r="G1827" t="n">
        <v>6</v>
      </c>
      <c r="H1827" t="n">
        <v>2</v>
      </c>
      <c r="I1827" t="n">
        <v>0</v>
      </c>
      <c r="J1827" t="n">
        <v>1</v>
      </c>
    </row>
    <row r="1828">
      <c r="A1828" s="5" t="n">
        <v>46170</v>
      </c>
      <c r="B1828" t="inlineStr">
        <is>
          <t>google_nonbrand_growth</t>
        </is>
      </c>
      <c r="C1828" t="inlineStr">
        <is>
          <t>google</t>
        </is>
      </c>
      <c r="D1828" t="n">
        <v>18709</v>
      </c>
      <c r="E1828" t="n">
        <v>3897</v>
      </c>
      <c r="F1828" t="n">
        <v>198</v>
      </c>
      <c r="G1828" t="n">
        <v>1</v>
      </c>
      <c r="H1828" t="n">
        <v>0</v>
      </c>
      <c r="I1828" t="n">
        <v>0</v>
      </c>
      <c r="J1828" t="n">
        <v>0</v>
      </c>
    </row>
    <row r="1829">
      <c r="A1829" s="5" t="n">
        <v>46170</v>
      </c>
      <c r="B1829" t="inlineStr">
        <is>
          <t>linkedin_ceo_abm</t>
        </is>
      </c>
      <c r="C1829" t="inlineStr">
        <is>
          <t>linkedin</t>
        </is>
      </c>
      <c r="D1829" t="n">
        <v>24343</v>
      </c>
      <c r="E1829" t="n">
        <v>4681</v>
      </c>
      <c r="F1829" t="n">
        <v>26</v>
      </c>
      <c r="G1829" t="n">
        <v>3</v>
      </c>
      <c r="H1829" t="n">
        <v>1</v>
      </c>
      <c r="I1829" t="n">
        <v>0</v>
      </c>
      <c r="J1829" t="n">
        <v>0</v>
      </c>
    </row>
    <row r="1830">
      <c r="A1830" s="5" t="n">
        <v>46170</v>
      </c>
      <c r="B1830" t="inlineStr">
        <is>
          <t>meta_prospecting_founder</t>
        </is>
      </c>
      <c r="C1830" t="inlineStr">
        <is>
          <t>meta</t>
        </is>
      </c>
      <c r="D1830" t="n">
        <v>34928</v>
      </c>
      <c r="E1830" t="n">
        <v>24948</v>
      </c>
      <c r="F1830" t="n">
        <v>246</v>
      </c>
      <c r="G1830" t="n">
        <v>11</v>
      </c>
      <c r="H1830" t="n">
        <v>0</v>
      </c>
      <c r="I1830" t="n">
        <v>1</v>
      </c>
      <c r="J1830" t="n">
        <v>0</v>
      </c>
    </row>
    <row r="1831">
      <c r="A1831" s="5" t="n">
        <v>46170</v>
      </c>
      <c r="B1831" t="inlineStr">
        <is>
          <t>meta_retargeting_webinar</t>
        </is>
      </c>
      <c r="C1831" t="inlineStr">
        <is>
          <t>meta</t>
        </is>
      </c>
      <c r="D1831" t="n">
        <v>8860</v>
      </c>
      <c r="E1831" t="n">
        <v>6328</v>
      </c>
      <c r="F1831" t="n">
        <v>76</v>
      </c>
      <c r="G1831" t="n">
        <v>3</v>
      </c>
      <c r="H1831" t="n">
        <v>1</v>
      </c>
      <c r="I1831" t="n">
        <v>0</v>
      </c>
      <c r="J1831" t="n">
        <v>0</v>
      </c>
    </row>
    <row r="1832">
      <c r="A1832" s="5" t="n">
        <v>46171</v>
      </c>
      <c r="B1832" t="inlineStr">
        <is>
          <t>google_brand_search</t>
        </is>
      </c>
      <c r="C1832" t="inlineStr">
        <is>
          <t>google</t>
        </is>
      </c>
      <c r="D1832" t="n">
        <v>7228</v>
      </c>
      <c r="E1832" t="n">
        <v>1505</v>
      </c>
      <c r="F1832" t="n">
        <v>74</v>
      </c>
      <c r="G1832" t="n">
        <v>5</v>
      </c>
      <c r="H1832" t="n">
        <v>5</v>
      </c>
      <c r="I1832" t="n">
        <v>0</v>
      </c>
      <c r="J1832" t="n">
        <v>1</v>
      </c>
    </row>
    <row r="1833">
      <c r="A1833" s="5" t="n">
        <v>46171</v>
      </c>
      <c r="B1833" t="inlineStr">
        <is>
          <t>google_nonbrand_growth</t>
        </is>
      </c>
      <c r="C1833" t="inlineStr">
        <is>
          <t>google</t>
        </is>
      </c>
      <c r="D1833" t="n">
        <v>20385</v>
      </c>
      <c r="E1833" t="n">
        <v>4246</v>
      </c>
      <c r="F1833" t="n">
        <v>202</v>
      </c>
      <c r="G1833" t="n">
        <v>2</v>
      </c>
      <c r="H1833" t="n">
        <v>2</v>
      </c>
      <c r="I1833" t="n">
        <v>0</v>
      </c>
      <c r="J1833" t="n">
        <v>0</v>
      </c>
    </row>
    <row r="1834">
      <c r="A1834" s="5" t="n">
        <v>46171</v>
      </c>
      <c r="B1834" t="inlineStr">
        <is>
          <t>linkedin_ceo_abm</t>
        </is>
      </c>
      <c r="C1834" t="inlineStr">
        <is>
          <t>linkedin</t>
        </is>
      </c>
      <c r="D1834" t="n">
        <v>26529</v>
      </c>
      <c r="E1834" t="n">
        <v>5101</v>
      </c>
      <c r="F1834" t="n">
        <v>35</v>
      </c>
      <c r="G1834" t="n">
        <v>1</v>
      </c>
      <c r="H1834" t="n">
        <v>1</v>
      </c>
      <c r="I1834" t="n">
        <v>0</v>
      </c>
      <c r="J1834" t="n">
        <v>0</v>
      </c>
    </row>
    <row r="1835">
      <c r="A1835" s="5" t="n">
        <v>46171</v>
      </c>
      <c r="B1835" t="inlineStr">
        <is>
          <t>meta_prospecting_founder</t>
        </is>
      </c>
      <c r="C1835" t="inlineStr">
        <is>
          <t>meta</t>
        </is>
      </c>
      <c r="D1835" t="n">
        <v>36447</v>
      </c>
      <c r="E1835" t="n">
        <v>26033</v>
      </c>
      <c r="F1835" t="n">
        <v>266</v>
      </c>
      <c r="G1835" t="n">
        <v>17</v>
      </c>
      <c r="H1835" t="n">
        <v>2</v>
      </c>
      <c r="I1835" t="n">
        <v>0</v>
      </c>
      <c r="J1835" t="n">
        <v>0</v>
      </c>
    </row>
    <row r="1836">
      <c r="A1836" s="5" t="n">
        <v>46171</v>
      </c>
      <c r="B1836" t="inlineStr">
        <is>
          <t>meta_retargeting_webinar</t>
        </is>
      </c>
      <c r="C1836" t="inlineStr">
        <is>
          <t>meta</t>
        </is>
      </c>
      <c r="D1836" t="n">
        <v>9440</v>
      </c>
      <c r="E1836" t="n">
        <v>6742</v>
      </c>
      <c r="F1836" t="n">
        <v>63</v>
      </c>
      <c r="G1836" t="n">
        <v>2</v>
      </c>
      <c r="H1836" t="n">
        <v>2</v>
      </c>
      <c r="I1836" t="n">
        <v>0</v>
      </c>
      <c r="J1836" t="n">
        <v>0</v>
      </c>
    </row>
    <row r="1837">
      <c r="A1837" s="5" t="n">
        <v>46172</v>
      </c>
      <c r="B1837" t="inlineStr">
        <is>
          <t>google_brand_search</t>
        </is>
      </c>
      <c r="C1837" t="inlineStr">
        <is>
          <t>google</t>
        </is>
      </c>
      <c r="D1837" t="n">
        <v>6825</v>
      </c>
      <c r="E1837" t="n">
        <v>1421</v>
      </c>
      <c r="F1837" t="n">
        <v>63</v>
      </c>
      <c r="G1837" t="n">
        <v>1</v>
      </c>
      <c r="H1837" t="n">
        <v>0</v>
      </c>
      <c r="I1837" t="n">
        <v>1</v>
      </c>
      <c r="J1837" t="n">
        <v>0</v>
      </c>
    </row>
    <row r="1838">
      <c r="A1838" s="5" t="n">
        <v>46172</v>
      </c>
      <c r="B1838" t="inlineStr">
        <is>
          <t>google_nonbrand_growth</t>
        </is>
      </c>
      <c r="C1838" t="inlineStr">
        <is>
          <t>google</t>
        </is>
      </c>
      <c r="D1838" t="n">
        <v>17277</v>
      </c>
      <c r="E1838" t="n">
        <v>3599</v>
      </c>
      <c r="F1838" t="n">
        <v>211</v>
      </c>
      <c r="G1838" t="n">
        <v>1</v>
      </c>
      <c r="H1838" t="n">
        <v>0</v>
      </c>
      <c r="I1838" t="n">
        <v>0</v>
      </c>
      <c r="J1838" t="n">
        <v>0</v>
      </c>
    </row>
    <row r="1839">
      <c r="A1839" s="5" t="n">
        <v>46172</v>
      </c>
      <c r="B1839" t="inlineStr">
        <is>
          <t>linkedin_ceo_abm</t>
        </is>
      </c>
      <c r="C1839" t="inlineStr">
        <is>
          <t>linkedin</t>
        </is>
      </c>
      <c r="D1839" t="n">
        <v>25624</v>
      </c>
      <c r="E1839" t="n">
        <v>4927</v>
      </c>
      <c r="F1839" t="n">
        <v>29</v>
      </c>
      <c r="G1839" t="n">
        <v>2</v>
      </c>
      <c r="H1839" t="n">
        <v>0</v>
      </c>
      <c r="I1839" t="n">
        <v>2</v>
      </c>
      <c r="J1839" t="n">
        <v>0</v>
      </c>
    </row>
    <row r="1840">
      <c r="A1840" s="5" t="n">
        <v>46172</v>
      </c>
      <c r="B1840" t="inlineStr">
        <is>
          <t>meta_prospecting_founder</t>
        </is>
      </c>
      <c r="C1840" t="inlineStr">
        <is>
          <t>meta</t>
        </is>
      </c>
      <c r="D1840" t="n">
        <v>39371</v>
      </c>
      <c r="E1840" t="n">
        <v>28122</v>
      </c>
      <c r="F1840" t="n">
        <v>309</v>
      </c>
      <c r="G1840" t="n">
        <v>5</v>
      </c>
      <c r="H1840" t="n">
        <v>1</v>
      </c>
      <c r="I1840" t="n">
        <v>1</v>
      </c>
      <c r="J1840" t="n">
        <v>0</v>
      </c>
    </row>
    <row r="1841">
      <c r="A1841" s="5" t="n">
        <v>46172</v>
      </c>
      <c r="B1841" t="inlineStr">
        <is>
          <t>meta_retargeting_webinar</t>
        </is>
      </c>
      <c r="C1841" t="inlineStr">
        <is>
          <t>meta</t>
        </is>
      </c>
      <c r="D1841" t="n">
        <v>8582</v>
      </c>
      <c r="E1841" t="n">
        <v>6130</v>
      </c>
      <c r="F1841" t="n">
        <v>57</v>
      </c>
      <c r="G1841" t="n">
        <v>0</v>
      </c>
      <c r="H1841" t="n">
        <v>1</v>
      </c>
      <c r="I1841" t="n">
        <v>1</v>
      </c>
      <c r="J1841" t="n">
        <v>0</v>
      </c>
    </row>
    <row r="1842">
      <c r="A1842" s="5" t="n">
        <v>46173</v>
      </c>
      <c r="B1842" t="inlineStr">
        <is>
          <t>google_brand_search</t>
        </is>
      </c>
      <c r="C1842" t="inlineStr">
        <is>
          <t>google</t>
        </is>
      </c>
      <c r="D1842" t="n">
        <v>6926</v>
      </c>
      <c r="E1842" t="n">
        <v>1442</v>
      </c>
      <c r="F1842" t="n">
        <v>71</v>
      </c>
      <c r="G1842" t="n">
        <v>0</v>
      </c>
      <c r="H1842" t="n">
        <v>0</v>
      </c>
      <c r="I1842" t="n">
        <v>2</v>
      </c>
      <c r="J1842" t="n">
        <v>0</v>
      </c>
    </row>
    <row r="1843">
      <c r="A1843" s="5" t="n">
        <v>46173</v>
      </c>
      <c r="B1843" t="inlineStr">
        <is>
          <t>google_nonbrand_growth</t>
        </is>
      </c>
      <c r="C1843" t="inlineStr">
        <is>
          <t>google</t>
        </is>
      </c>
      <c r="D1843" t="n">
        <v>19824</v>
      </c>
      <c r="E1843" t="n">
        <v>4130</v>
      </c>
      <c r="F1843" t="n">
        <v>219</v>
      </c>
      <c r="G1843" t="n">
        <v>2</v>
      </c>
      <c r="H1843" t="n">
        <v>0</v>
      </c>
      <c r="I1843" t="n">
        <v>1</v>
      </c>
      <c r="J1843" t="n">
        <v>0</v>
      </c>
    </row>
    <row r="1844">
      <c r="A1844" s="5" t="n">
        <v>46173</v>
      </c>
      <c r="B1844" t="inlineStr">
        <is>
          <t>linkedin_ceo_abm</t>
        </is>
      </c>
      <c r="C1844" t="inlineStr">
        <is>
          <t>linkedin</t>
        </is>
      </c>
      <c r="D1844" t="n">
        <v>26788</v>
      </c>
      <c r="E1844" t="n">
        <v>5151</v>
      </c>
      <c r="F1844" t="n">
        <v>31</v>
      </c>
      <c r="G1844" t="n">
        <v>1</v>
      </c>
      <c r="H1844" t="n">
        <v>2</v>
      </c>
      <c r="I1844" t="n">
        <v>0</v>
      </c>
      <c r="J1844" t="n">
        <v>0</v>
      </c>
    </row>
    <row r="1845">
      <c r="A1845" s="5" t="n">
        <v>46173</v>
      </c>
      <c r="B1845" t="inlineStr">
        <is>
          <t>meta_prospecting_founder</t>
        </is>
      </c>
      <c r="C1845" t="inlineStr">
        <is>
          <t>meta</t>
        </is>
      </c>
      <c r="D1845" t="n">
        <v>39653</v>
      </c>
      <c r="E1845" t="n">
        <v>28323</v>
      </c>
      <c r="F1845" t="n">
        <v>274</v>
      </c>
      <c r="G1845" t="n">
        <v>7</v>
      </c>
      <c r="H1845" t="n">
        <v>3</v>
      </c>
      <c r="I1845" t="n">
        <v>0</v>
      </c>
      <c r="J1845" t="n">
        <v>0</v>
      </c>
    </row>
    <row r="1846">
      <c r="A1846" s="5" t="n">
        <v>46173</v>
      </c>
      <c r="B1846" t="inlineStr">
        <is>
          <t>meta_retargeting_webinar</t>
        </is>
      </c>
      <c r="C1846" t="inlineStr">
        <is>
          <t>meta</t>
        </is>
      </c>
      <c r="D1846" t="n">
        <v>9704</v>
      </c>
      <c r="E1846" t="n">
        <v>6931</v>
      </c>
      <c r="F1846" t="n">
        <v>77</v>
      </c>
      <c r="G1846" t="n">
        <v>2</v>
      </c>
      <c r="H1846" t="n">
        <v>1</v>
      </c>
      <c r="I1846" t="n">
        <v>1</v>
      </c>
      <c r="J1846" t="n">
        <v>0</v>
      </c>
    </row>
    <row r="1847">
      <c r="A1847" s="5" t="n">
        <v>46174</v>
      </c>
      <c r="B1847" t="inlineStr">
        <is>
          <t>google_brand_search</t>
        </is>
      </c>
      <c r="C1847" t="inlineStr">
        <is>
          <t>google</t>
        </is>
      </c>
      <c r="D1847" t="n">
        <v>6467</v>
      </c>
      <c r="E1847" t="n">
        <v>1347</v>
      </c>
      <c r="F1847" t="n">
        <v>70</v>
      </c>
      <c r="G1847" t="n">
        <v>1</v>
      </c>
      <c r="H1847" t="n">
        <v>1</v>
      </c>
      <c r="I1847" t="n">
        <v>1</v>
      </c>
      <c r="J1847" t="n">
        <v>1</v>
      </c>
    </row>
    <row r="1848">
      <c r="A1848" s="5" t="n">
        <v>46174</v>
      </c>
      <c r="B1848" t="inlineStr">
        <is>
          <t>google_nonbrand_growth</t>
        </is>
      </c>
      <c r="C1848" t="inlineStr">
        <is>
          <t>google</t>
        </is>
      </c>
      <c r="D1848" t="n">
        <v>17862</v>
      </c>
      <c r="E1848" t="n">
        <v>3721</v>
      </c>
      <c r="F1848" t="n">
        <v>181</v>
      </c>
      <c r="G1848" t="n">
        <v>7</v>
      </c>
      <c r="H1848" t="n">
        <v>1</v>
      </c>
      <c r="I1848" t="n">
        <v>2</v>
      </c>
      <c r="J1848" t="n">
        <v>0</v>
      </c>
    </row>
    <row r="1849">
      <c r="A1849" s="5" t="n">
        <v>46174</v>
      </c>
      <c r="B1849" t="inlineStr">
        <is>
          <t>linkedin_ceo_abm</t>
        </is>
      </c>
      <c r="C1849" t="inlineStr">
        <is>
          <t>linkedin</t>
        </is>
      </c>
      <c r="D1849" t="n">
        <v>24023</v>
      </c>
      <c r="E1849" t="n">
        <v>4619</v>
      </c>
      <c r="F1849" t="n">
        <v>34</v>
      </c>
      <c r="G1849" t="n">
        <v>0</v>
      </c>
      <c r="H1849" t="n">
        <v>0</v>
      </c>
      <c r="I1849" t="n">
        <v>0</v>
      </c>
      <c r="J1849" t="n">
        <v>0</v>
      </c>
    </row>
    <row r="1850">
      <c r="A1850" s="5" t="n">
        <v>46174</v>
      </c>
      <c r="B1850" t="inlineStr">
        <is>
          <t>meta_prospecting_founder</t>
        </is>
      </c>
      <c r="C1850" t="inlineStr">
        <is>
          <t>meta</t>
        </is>
      </c>
      <c r="D1850" t="n">
        <v>41137</v>
      </c>
      <c r="E1850" t="n">
        <v>29383</v>
      </c>
      <c r="F1850" t="n">
        <v>312</v>
      </c>
      <c r="G1850" t="n">
        <v>8</v>
      </c>
      <c r="H1850" t="n">
        <v>1</v>
      </c>
      <c r="I1850" t="n">
        <v>0</v>
      </c>
      <c r="J1850" t="n">
        <v>1</v>
      </c>
    </row>
    <row r="1851">
      <c r="A1851" s="5" t="n">
        <v>46174</v>
      </c>
      <c r="B1851" t="inlineStr">
        <is>
          <t>meta_retargeting_webinar</t>
        </is>
      </c>
      <c r="C1851" t="inlineStr">
        <is>
          <t>meta</t>
        </is>
      </c>
      <c r="D1851" t="n">
        <v>10114</v>
      </c>
      <c r="E1851" t="n">
        <v>7224</v>
      </c>
      <c r="F1851" t="n">
        <v>75</v>
      </c>
      <c r="G1851" t="n">
        <v>6</v>
      </c>
      <c r="H1851" t="n">
        <v>0</v>
      </c>
      <c r="I1851" t="n">
        <v>1</v>
      </c>
      <c r="J1851" t="n">
        <v>0</v>
      </c>
    </row>
    <row r="1852">
      <c r="A1852" s="5" t="n">
        <v>46175</v>
      </c>
      <c r="B1852" t="inlineStr">
        <is>
          <t>google_brand_search</t>
        </is>
      </c>
      <c r="C1852" t="inlineStr">
        <is>
          <t>google</t>
        </is>
      </c>
      <c r="D1852" t="n">
        <v>7416</v>
      </c>
      <c r="E1852" t="n">
        <v>1545</v>
      </c>
      <c r="F1852" t="n">
        <v>80</v>
      </c>
      <c r="G1852" t="n">
        <v>4</v>
      </c>
      <c r="H1852" t="n">
        <v>0</v>
      </c>
      <c r="I1852" t="n">
        <v>0</v>
      </c>
      <c r="J1852" t="n">
        <v>0</v>
      </c>
    </row>
    <row r="1853">
      <c r="A1853" s="5" t="n">
        <v>46175</v>
      </c>
      <c r="B1853" t="inlineStr">
        <is>
          <t>google_nonbrand_growth</t>
        </is>
      </c>
      <c r="C1853" t="inlineStr">
        <is>
          <t>google</t>
        </is>
      </c>
      <c r="D1853" t="n">
        <v>17652</v>
      </c>
      <c r="E1853" t="n">
        <v>3677</v>
      </c>
      <c r="F1853" t="n">
        <v>196</v>
      </c>
      <c r="G1853" t="n">
        <v>4</v>
      </c>
      <c r="H1853" t="n">
        <v>1</v>
      </c>
      <c r="I1853" t="n">
        <v>0</v>
      </c>
      <c r="J1853" t="n">
        <v>0</v>
      </c>
    </row>
    <row r="1854">
      <c r="A1854" s="5" t="n">
        <v>46175</v>
      </c>
      <c r="B1854" t="inlineStr">
        <is>
          <t>linkedin_ceo_abm</t>
        </is>
      </c>
      <c r="C1854" t="inlineStr">
        <is>
          <t>linkedin</t>
        </is>
      </c>
      <c r="D1854" t="n">
        <v>25103</v>
      </c>
      <c r="E1854" t="n">
        <v>4827</v>
      </c>
      <c r="F1854" t="n">
        <v>33</v>
      </c>
      <c r="G1854" t="n">
        <v>3</v>
      </c>
      <c r="H1854" t="n">
        <v>0</v>
      </c>
      <c r="I1854" t="n">
        <v>0</v>
      </c>
      <c r="J1854" t="n">
        <v>0</v>
      </c>
    </row>
    <row r="1855">
      <c r="A1855" s="5" t="n">
        <v>46175</v>
      </c>
      <c r="B1855" t="inlineStr">
        <is>
          <t>meta_prospecting_founder</t>
        </is>
      </c>
      <c r="C1855" t="inlineStr">
        <is>
          <t>meta</t>
        </is>
      </c>
      <c r="D1855" t="n">
        <v>40348</v>
      </c>
      <c r="E1855" t="n">
        <v>28820</v>
      </c>
      <c r="F1855" t="n">
        <v>331</v>
      </c>
      <c r="G1855" t="n">
        <v>11</v>
      </c>
      <c r="H1855" t="n">
        <v>0</v>
      </c>
      <c r="I1855" t="n">
        <v>2</v>
      </c>
      <c r="J1855" t="n">
        <v>0</v>
      </c>
    </row>
    <row r="1856">
      <c r="A1856" s="5" t="n">
        <v>46175</v>
      </c>
      <c r="B1856" t="inlineStr">
        <is>
          <t>meta_retargeting_webinar</t>
        </is>
      </c>
      <c r="C1856" t="inlineStr">
        <is>
          <t>meta</t>
        </is>
      </c>
      <c r="D1856" t="n">
        <v>10076</v>
      </c>
      <c r="E1856" t="n">
        <v>7197</v>
      </c>
      <c r="F1856" t="n">
        <v>72</v>
      </c>
      <c r="G1856" t="n">
        <v>5</v>
      </c>
      <c r="H1856" t="n">
        <v>1</v>
      </c>
      <c r="I1856" t="n">
        <v>0</v>
      </c>
      <c r="J1856" t="n">
        <v>1</v>
      </c>
    </row>
    <row r="1857">
      <c r="A1857" s="5" t="n">
        <v>46176</v>
      </c>
      <c r="B1857" t="inlineStr">
        <is>
          <t>google_brand_search</t>
        </is>
      </c>
      <c r="C1857" t="inlineStr">
        <is>
          <t>google</t>
        </is>
      </c>
      <c r="D1857" t="n">
        <v>6426</v>
      </c>
      <c r="E1857" t="n">
        <v>1338</v>
      </c>
      <c r="F1857" t="n">
        <v>75</v>
      </c>
      <c r="G1857" t="n">
        <v>3</v>
      </c>
      <c r="H1857" t="n">
        <v>3</v>
      </c>
      <c r="I1857" t="n">
        <v>0</v>
      </c>
      <c r="J1857" t="n">
        <v>0</v>
      </c>
    </row>
    <row r="1858">
      <c r="A1858" s="5" t="n">
        <v>46176</v>
      </c>
      <c r="B1858" t="inlineStr">
        <is>
          <t>google_nonbrand_growth</t>
        </is>
      </c>
      <c r="C1858" t="inlineStr">
        <is>
          <t>google</t>
        </is>
      </c>
      <c r="D1858" t="n">
        <v>17535</v>
      </c>
      <c r="E1858" t="n">
        <v>3653</v>
      </c>
      <c r="F1858" t="n">
        <v>209</v>
      </c>
      <c r="G1858" t="n">
        <v>6</v>
      </c>
      <c r="H1858" t="n">
        <v>0</v>
      </c>
      <c r="I1858" t="n">
        <v>0</v>
      </c>
      <c r="J1858" t="n">
        <v>0</v>
      </c>
    </row>
    <row r="1859">
      <c r="A1859" s="5" t="n">
        <v>46176</v>
      </c>
      <c r="B1859" t="inlineStr">
        <is>
          <t>linkedin_ceo_abm</t>
        </is>
      </c>
      <c r="C1859" t="inlineStr">
        <is>
          <t>linkedin</t>
        </is>
      </c>
      <c r="D1859" t="n">
        <v>26567</v>
      </c>
      <c r="E1859" t="n">
        <v>5109</v>
      </c>
      <c r="F1859" t="n">
        <v>35</v>
      </c>
      <c r="G1859" t="n">
        <v>1</v>
      </c>
      <c r="H1859" t="n">
        <v>1</v>
      </c>
      <c r="I1859" t="n">
        <v>0</v>
      </c>
      <c r="J1859" t="n">
        <v>1</v>
      </c>
    </row>
    <row r="1860">
      <c r="A1860" s="5" t="n">
        <v>46176</v>
      </c>
      <c r="B1860" t="inlineStr">
        <is>
          <t>meta_prospecting_founder</t>
        </is>
      </c>
      <c r="C1860" t="inlineStr">
        <is>
          <t>meta</t>
        </is>
      </c>
      <c r="D1860" t="n">
        <v>38497</v>
      </c>
      <c r="E1860" t="n">
        <v>27497</v>
      </c>
      <c r="F1860" t="n">
        <v>327</v>
      </c>
      <c r="G1860" t="n">
        <v>9</v>
      </c>
      <c r="H1860" t="n">
        <v>1</v>
      </c>
      <c r="I1860" t="n">
        <v>1</v>
      </c>
      <c r="J1860" t="n">
        <v>0</v>
      </c>
    </row>
    <row r="1861">
      <c r="A1861" s="5" t="n">
        <v>46176</v>
      </c>
      <c r="B1861" t="inlineStr">
        <is>
          <t>meta_retargeting_webinar</t>
        </is>
      </c>
      <c r="C1861" t="inlineStr">
        <is>
          <t>meta</t>
        </is>
      </c>
      <c r="D1861" t="n">
        <v>9098</v>
      </c>
      <c r="E1861" t="n">
        <v>6498</v>
      </c>
      <c r="F1861" t="n">
        <v>71</v>
      </c>
      <c r="G1861" t="n">
        <v>4</v>
      </c>
      <c r="H1861" t="n">
        <v>3</v>
      </c>
      <c r="I1861" t="n">
        <v>0</v>
      </c>
      <c r="J1861" t="n">
        <v>0</v>
      </c>
    </row>
    <row r="1862">
      <c r="A1862" s="5" t="n">
        <v>46177</v>
      </c>
      <c r="B1862" t="inlineStr">
        <is>
          <t>google_brand_search</t>
        </is>
      </c>
      <c r="C1862" t="inlineStr">
        <is>
          <t>google</t>
        </is>
      </c>
      <c r="D1862" t="n">
        <v>7279</v>
      </c>
      <c r="E1862" t="n">
        <v>1516</v>
      </c>
      <c r="F1862" t="n">
        <v>76</v>
      </c>
      <c r="G1862" t="n">
        <v>1</v>
      </c>
      <c r="H1862" t="n">
        <v>2</v>
      </c>
      <c r="I1862" t="n">
        <v>0</v>
      </c>
      <c r="J1862" t="n">
        <v>1</v>
      </c>
    </row>
    <row r="1863">
      <c r="A1863" s="5" t="n">
        <v>46177</v>
      </c>
      <c r="B1863" t="inlineStr">
        <is>
          <t>google_nonbrand_growth</t>
        </is>
      </c>
      <c r="C1863" t="inlineStr">
        <is>
          <t>google</t>
        </is>
      </c>
      <c r="D1863" t="n">
        <v>17988</v>
      </c>
      <c r="E1863" t="n">
        <v>3747</v>
      </c>
      <c r="F1863" t="n">
        <v>211</v>
      </c>
      <c r="G1863" t="n">
        <v>3</v>
      </c>
      <c r="H1863" t="n">
        <v>1</v>
      </c>
      <c r="I1863" t="n">
        <v>0</v>
      </c>
      <c r="J1863" t="n">
        <v>0</v>
      </c>
    </row>
    <row r="1864">
      <c r="A1864" s="5" t="n">
        <v>46177</v>
      </c>
      <c r="B1864" t="inlineStr">
        <is>
          <t>linkedin_ceo_abm</t>
        </is>
      </c>
      <c r="C1864" t="inlineStr">
        <is>
          <t>linkedin</t>
        </is>
      </c>
      <c r="D1864" t="n">
        <v>27337</v>
      </c>
      <c r="E1864" t="n">
        <v>5257</v>
      </c>
      <c r="F1864" t="n">
        <v>38</v>
      </c>
      <c r="G1864" t="n">
        <v>2</v>
      </c>
      <c r="H1864" t="n">
        <v>0</v>
      </c>
      <c r="I1864" t="n">
        <v>0</v>
      </c>
      <c r="J1864" t="n">
        <v>0</v>
      </c>
    </row>
    <row r="1865">
      <c r="A1865" s="5" t="n">
        <v>46177</v>
      </c>
      <c r="B1865" t="inlineStr">
        <is>
          <t>meta_prospecting_founder</t>
        </is>
      </c>
      <c r="C1865" t="inlineStr">
        <is>
          <t>meta</t>
        </is>
      </c>
      <c r="D1865" t="n">
        <v>37972</v>
      </c>
      <c r="E1865" t="n">
        <v>27122</v>
      </c>
      <c r="F1865" t="n">
        <v>303</v>
      </c>
      <c r="G1865" t="n">
        <v>16</v>
      </c>
      <c r="H1865" t="n">
        <v>2</v>
      </c>
      <c r="I1865" t="n">
        <v>0</v>
      </c>
      <c r="J1865" t="n">
        <v>0</v>
      </c>
    </row>
    <row r="1866">
      <c r="A1866" s="5" t="n">
        <v>46177</v>
      </c>
      <c r="B1866" t="inlineStr">
        <is>
          <t>meta_retargeting_webinar</t>
        </is>
      </c>
      <c r="C1866" t="inlineStr">
        <is>
          <t>meta</t>
        </is>
      </c>
      <c r="D1866" t="n">
        <v>9919</v>
      </c>
      <c r="E1866" t="n">
        <v>7085</v>
      </c>
      <c r="F1866" t="n">
        <v>70</v>
      </c>
      <c r="G1866" t="n">
        <v>7</v>
      </c>
      <c r="H1866" t="n">
        <v>1</v>
      </c>
      <c r="I1866" t="n">
        <v>1</v>
      </c>
      <c r="J1866" t="n">
        <v>0</v>
      </c>
    </row>
    <row r="1867">
      <c r="A1867" s="5" t="n">
        <v>46178</v>
      </c>
      <c r="B1867" t="inlineStr">
        <is>
          <t>google_brand_search</t>
        </is>
      </c>
      <c r="C1867" t="inlineStr">
        <is>
          <t>google</t>
        </is>
      </c>
      <c r="D1867" t="n">
        <v>6888</v>
      </c>
      <c r="E1867" t="n">
        <v>1434</v>
      </c>
      <c r="F1867" t="n">
        <v>85</v>
      </c>
      <c r="G1867" t="n">
        <v>1</v>
      </c>
      <c r="H1867" t="n">
        <v>1</v>
      </c>
      <c r="I1867" t="n">
        <v>0</v>
      </c>
      <c r="J1867" t="n">
        <v>0</v>
      </c>
    </row>
    <row r="1868">
      <c r="A1868" s="5" t="n">
        <v>46178</v>
      </c>
      <c r="B1868" t="inlineStr">
        <is>
          <t>google_nonbrand_growth</t>
        </is>
      </c>
      <c r="C1868" t="inlineStr">
        <is>
          <t>google</t>
        </is>
      </c>
      <c r="D1868" t="n">
        <v>18387</v>
      </c>
      <c r="E1868" t="n">
        <v>3830</v>
      </c>
      <c r="F1868" t="n">
        <v>178</v>
      </c>
      <c r="G1868" t="n">
        <v>4</v>
      </c>
      <c r="H1868" t="n">
        <v>0</v>
      </c>
      <c r="I1868" t="n">
        <v>0</v>
      </c>
      <c r="J1868" t="n">
        <v>0</v>
      </c>
    </row>
    <row r="1869">
      <c r="A1869" s="5" t="n">
        <v>46178</v>
      </c>
      <c r="B1869" t="inlineStr">
        <is>
          <t>linkedin_ceo_abm</t>
        </is>
      </c>
      <c r="C1869" t="inlineStr">
        <is>
          <t>linkedin</t>
        </is>
      </c>
      <c r="D1869" t="n">
        <v>26402</v>
      </c>
      <c r="E1869" t="n">
        <v>5077</v>
      </c>
      <c r="F1869" t="n">
        <v>32</v>
      </c>
      <c r="G1869" t="n">
        <v>0</v>
      </c>
      <c r="H1869" t="n">
        <v>1</v>
      </c>
      <c r="I1869" t="n">
        <v>0</v>
      </c>
      <c r="J1869" t="n">
        <v>0</v>
      </c>
    </row>
    <row r="1870">
      <c r="A1870" s="5" t="n">
        <v>46178</v>
      </c>
      <c r="B1870" t="inlineStr">
        <is>
          <t>meta_prospecting_founder</t>
        </is>
      </c>
      <c r="C1870" t="inlineStr">
        <is>
          <t>meta</t>
        </is>
      </c>
      <c r="D1870" t="n">
        <v>38479</v>
      </c>
      <c r="E1870" t="n">
        <v>27485</v>
      </c>
      <c r="F1870" t="n">
        <v>333</v>
      </c>
      <c r="G1870" t="n">
        <v>7</v>
      </c>
      <c r="H1870" t="n">
        <v>3</v>
      </c>
      <c r="I1870" t="n">
        <v>0</v>
      </c>
      <c r="J1870" t="n">
        <v>0</v>
      </c>
    </row>
    <row r="1871">
      <c r="A1871" s="5" t="n">
        <v>46178</v>
      </c>
      <c r="B1871" t="inlineStr">
        <is>
          <t>meta_retargeting_webinar</t>
        </is>
      </c>
      <c r="C1871" t="inlineStr">
        <is>
          <t>meta</t>
        </is>
      </c>
      <c r="D1871" t="n">
        <v>9524</v>
      </c>
      <c r="E1871" t="n">
        <v>6802</v>
      </c>
      <c r="F1871" t="n">
        <v>76</v>
      </c>
      <c r="G1871" t="n">
        <v>4</v>
      </c>
      <c r="H1871" t="n">
        <v>1</v>
      </c>
      <c r="I1871" t="n">
        <v>2</v>
      </c>
      <c r="J1871" t="n">
        <v>0</v>
      </c>
    </row>
    <row r="1872">
      <c r="A1872" s="5" t="n">
        <v>46179</v>
      </c>
      <c r="B1872" t="inlineStr">
        <is>
          <t>google_brand_search</t>
        </is>
      </c>
      <c r="C1872" t="inlineStr">
        <is>
          <t>google</t>
        </is>
      </c>
      <c r="D1872" t="n">
        <v>6258</v>
      </c>
      <c r="E1872" t="n">
        <v>1303</v>
      </c>
      <c r="F1872" t="n">
        <v>63</v>
      </c>
      <c r="G1872" t="n">
        <v>2</v>
      </c>
      <c r="H1872" t="n">
        <v>0</v>
      </c>
      <c r="I1872" t="n">
        <v>0</v>
      </c>
      <c r="J1872" t="n">
        <v>0</v>
      </c>
    </row>
    <row r="1873">
      <c r="A1873" s="5" t="n">
        <v>46179</v>
      </c>
      <c r="B1873" t="inlineStr">
        <is>
          <t>google_nonbrand_growth</t>
        </is>
      </c>
      <c r="C1873" t="inlineStr">
        <is>
          <t>google</t>
        </is>
      </c>
      <c r="D1873" t="n">
        <v>19521</v>
      </c>
      <c r="E1873" t="n">
        <v>4066</v>
      </c>
      <c r="F1873" t="n">
        <v>194</v>
      </c>
      <c r="G1873" t="n">
        <v>1</v>
      </c>
      <c r="H1873" t="n">
        <v>1</v>
      </c>
      <c r="I1873" t="n">
        <v>0</v>
      </c>
      <c r="J1873" t="n">
        <v>0</v>
      </c>
    </row>
    <row r="1874">
      <c r="A1874" s="5" t="n">
        <v>46179</v>
      </c>
      <c r="B1874" t="inlineStr">
        <is>
          <t>linkedin_ceo_abm</t>
        </is>
      </c>
      <c r="C1874" t="inlineStr">
        <is>
          <t>linkedin</t>
        </is>
      </c>
      <c r="D1874" t="n">
        <v>27309</v>
      </c>
      <c r="E1874" t="n">
        <v>5251</v>
      </c>
      <c r="F1874" t="n">
        <v>29</v>
      </c>
      <c r="G1874" t="n">
        <v>1</v>
      </c>
      <c r="H1874" t="n">
        <v>1</v>
      </c>
      <c r="I1874" t="n">
        <v>1</v>
      </c>
      <c r="J1874" t="n">
        <v>1</v>
      </c>
    </row>
    <row r="1875">
      <c r="A1875" s="5" t="n">
        <v>46179</v>
      </c>
      <c r="B1875" t="inlineStr">
        <is>
          <t>meta_prospecting_founder</t>
        </is>
      </c>
      <c r="C1875" t="inlineStr">
        <is>
          <t>meta</t>
        </is>
      </c>
      <c r="D1875" t="n">
        <v>39063</v>
      </c>
      <c r="E1875" t="n">
        <v>27902</v>
      </c>
      <c r="F1875" t="n">
        <v>319</v>
      </c>
      <c r="G1875" t="n">
        <v>14</v>
      </c>
      <c r="H1875" t="n">
        <v>1</v>
      </c>
      <c r="I1875" t="n">
        <v>2</v>
      </c>
      <c r="J1875" t="n">
        <v>1</v>
      </c>
    </row>
    <row r="1876">
      <c r="A1876" s="5" t="n">
        <v>46179</v>
      </c>
      <c r="B1876" t="inlineStr">
        <is>
          <t>meta_retargeting_webinar</t>
        </is>
      </c>
      <c r="C1876" t="inlineStr">
        <is>
          <t>meta</t>
        </is>
      </c>
      <c r="D1876" t="n">
        <v>10141</v>
      </c>
      <c r="E1876" t="n">
        <v>7243</v>
      </c>
      <c r="F1876" t="n">
        <v>71</v>
      </c>
      <c r="G1876" t="n">
        <v>4</v>
      </c>
      <c r="H1876" t="n">
        <v>2</v>
      </c>
      <c r="I1876" t="n">
        <v>0</v>
      </c>
      <c r="J1876" t="n">
        <v>1</v>
      </c>
    </row>
    <row r="1877">
      <c r="A1877" s="5" t="n">
        <v>46180</v>
      </c>
      <c r="B1877" t="inlineStr">
        <is>
          <t>google_brand_search</t>
        </is>
      </c>
      <c r="C1877" t="inlineStr">
        <is>
          <t>google</t>
        </is>
      </c>
      <c r="D1877" t="n">
        <v>6535</v>
      </c>
      <c r="E1877" t="n">
        <v>1361</v>
      </c>
      <c r="F1877" t="n">
        <v>63</v>
      </c>
      <c r="G1877" t="n">
        <v>3</v>
      </c>
      <c r="H1877" t="n">
        <v>0</v>
      </c>
      <c r="I1877" t="n">
        <v>0</v>
      </c>
      <c r="J1877" t="n">
        <v>0</v>
      </c>
    </row>
    <row r="1878">
      <c r="A1878" s="5" t="n">
        <v>46180</v>
      </c>
      <c r="B1878" t="inlineStr">
        <is>
          <t>google_nonbrand_growth</t>
        </is>
      </c>
      <c r="C1878" t="inlineStr">
        <is>
          <t>google</t>
        </is>
      </c>
      <c r="D1878" t="n">
        <v>17648</v>
      </c>
      <c r="E1878" t="n">
        <v>3676</v>
      </c>
      <c r="F1878" t="n">
        <v>213</v>
      </c>
      <c r="G1878" t="n">
        <v>0</v>
      </c>
      <c r="H1878" t="n">
        <v>1</v>
      </c>
      <c r="I1878" t="n">
        <v>0</v>
      </c>
      <c r="J1878" t="n">
        <v>0</v>
      </c>
    </row>
    <row r="1879">
      <c r="A1879" s="5" t="n">
        <v>46180</v>
      </c>
      <c r="B1879" t="inlineStr">
        <is>
          <t>linkedin_ceo_abm</t>
        </is>
      </c>
      <c r="C1879" t="inlineStr">
        <is>
          <t>linkedin</t>
        </is>
      </c>
      <c r="D1879" t="n">
        <v>26344</v>
      </c>
      <c r="E1879" t="n">
        <v>5066</v>
      </c>
      <c r="F1879" t="n">
        <v>34</v>
      </c>
      <c r="G1879" t="n">
        <v>2</v>
      </c>
      <c r="H1879" t="n">
        <v>1</v>
      </c>
      <c r="I1879" t="n">
        <v>1</v>
      </c>
      <c r="J1879" t="n">
        <v>0</v>
      </c>
    </row>
    <row r="1880">
      <c r="A1880" s="5" t="n">
        <v>46180</v>
      </c>
      <c r="B1880" t="inlineStr">
        <is>
          <t>meta_prospecting_founder</t>
        </is>
      </c>
      <c r="C1880" t="inlineStr">
        <is>
          <t>meta</t>
        </is>
      </c>
      <c r="D1880" t="n">
        <v>41781</v>
      </c>
      <c r="E1880" t="n">
        <v>29843</v>
      </c>
      <c r="F1880" t="n">
        <v>373</v>
      </c>
      <c r="G1880" t="n">
        <v>9</v>
      </c>
      <c r="H1880" t="n">
        <v>5</v>
      </c>
      <c r="I1880" t="n">
        <v>0</v>
      </c>
      <c r="J1880" t="n">
        <v>0</v>
      </c>
    </row>
    <row r="1881">
      <c r="A1881" s="5" t="n">
        <v>46180</v>
      </c>
      <c r="B1881" t="inlineStr">
        <is>
          <t>meta_retargeting_webinar</t>
        </is>
      </c>
      <c r="C1881" t="inlineStr">
        <is>
          <t>meta</t>
        </is>
      </c>
      <c r="D1881" t="n">
        <v>9845</v>
      </c>
      <c r="E1881" t="n">
        <v>7032</v>
      </c>
      <c r="F1881" t="n">
        <v>87</v>
      </c>
      <c r="G1881" t="n">
        <v>3</v>
      </c>
      <c r="H1881" t="n">
        <v>2</v>
      </c>
      <c r="I1881" t="n">
        <v>0</v>
      </c>
      <c r="J1881" t="n">
        <v>0</v>
      </c>
    </row>
    <row r="1882">
      <c r="A1882" s="5" t="n">
        <v>46181</v>
      </c>
      <c r="B1882" t="inlineStr">
        <is>
          <t>google_brand_search</t>
        </is>
      </c>
      <c r="C1882" t="inlineStr">
        <is>
          <t>google</t>
        </is>
      </c>
      <c r="D1882" t="n">
        <v>6483</v>
      </c>
      <c r="E1882" t="n">
        <v>1350</v>
      </c>
      <c r="F1882" t="n">
        <v>72</v>
      </c>
      <c r="G1882" t="n">
        <v>0</v>
      </c>
      <c r="H1882" t="n">
        <v>3</v>
      </c>
      <c r="I1882" t="n">
        <v>0</v>
      </c>
      <c r="J1882" t="n">
        <v>0</v>
      </c>
    </row>
    <row r="1883">
      <c r="A1883" s="5" t="n">
        <v>46181</v>
      </c>
      <c r="B1883" t="inlineStr">
        <is>
          <t>google_nonbrand_growth</t>
        </is>
      </c>
      <c r="C1883" t="inlineStr">
        <is>
          <t>google</t>
        </is>
      </c>
      <c r="D1883" t="n">
        <v>20745</v>
      </c>
      <c r="E1883" t="n">
        <v>4321</v>
      </c>
      <c r="F1883" t="n">
        <v>238</v>
      </c>
      <c r="G1883" t="n">
        <v>5</v>
      </c>
      <c r="H1883" t="n">
        <v>1</v>
      </c>
      <c r="I1883" t="n">
        <v>0</v>
      </c>
      <c r="J1883" t="n">
        <v>0</v>
      </c>
    </row>
    <row r="1884">
      <c r="A1884" s="5" t="n">
        <v>46181</v>
      </c>
      <c r="B1884" t="inlineStr">
        <is>
          <t>linkedin_ceo_abm</t>
        </is>
      </c>
      <c r="C1884" t="inlineStr">
        <is>
          <t>linkedin</t>
        </is>
      </c>
      <c r="D1884" t="n">
        <v>23727</v>
      </c>
      <c r="E1884" t="n">
        <v>4562</v>
      </c>
      <c r="F1884" t="n">
        <v>28</v>
      </c>
      <c r="G1884" t="n">
        <v>0</v>
      </c>
      <c r="H1884" t="n">
        <v>1</v>
      </c>
      <c r="I1884" t="n">
        <v>1</v>
      </c>
      <c r="J1884" t="n">
        <v>0</v>
      </c>
    </row>
    <row r="1885">
      <c r="A1885" s="5" t="n">
        <v>46181</v>
      </c>
      <c r="B1885" t="inlineStr">
        <is>
          <t>meta_prospecting_founder</t>
        </is>
      </c>
      <c r="C1885" t="inlineStr">
        <is>
          <t>meta</t>
        </is>
      </c>
      <c r="D1885" t="n">
        <v>35397</v>
      </c>
      <c r="E1885" t="n">
        <v>25283</v>
      </c>
      <c r="F1885" t="n">
        <v>302</v>
      </c>
      <c r="G1885" t="n">
        <v>12</v>
      </c>
      <c r="H1885" t="n">
        <v>2</v>
      </c>
      <c r="I1885" t="n">
        <v>0</v>
      </c>
      <c r="J1885" t="n">
        <v>0</v>
      </c>
    </row>
    <row r="1886">
      <c r="A1886" s="5" t="n">
        <v>46181</v>
      </c>
      <c r="B1886" t="inlineStr">
        <is>
          <t>meta_retargeting_webinar</t>
        </is>
      </c>
      <c r="C1886" t="inlineStr">
        <is>
          <t>meta</t>
        </is>
      </c>
      <c r="D1886" t="n">
        <v>9674</v>
      </c>
      <c r="E1886" t="n">
        <v>6909</v>
      </c>
      <c r="F1886" t="n">
        <v>81</v>
      </c>
      <c r="G1886" t="n">
        <v>3</v>
      </c>
      <c r="H1886" t="n">
        <v>3</v>
      </c>
      <c r="I1886" t="n">
        <v>0</v>
      </c>
      <c r="J1886" t="n">
        <v>0</v>
      </c>
    </row>
    <row r="1887">
      <c r="A1887" s="5" t="n">
        <v>46182</v>
      </c>
      <c r="B1887" t="inlineStr">
        <is>
          <t>google_brand_search</t>
        </is>
      </c>
      <c r="C1887" t="inlineStr">
        <is>
          <t>google</t>
        </is>
      </c>
      <c r="D1887" t="n">
        <v>6686</v>
      </c>
      <c r="E1887" t="n">
        <v>1392</v>
      </c>
      <c r="F1887" t="n">
        <v>65</v>
      </c>
      <c r="G1887" t="n">
        <v>6</v>
      </c>
      <c r="H1887" t="n">
        <v>0</v>
      </c>
      <c r="I1887" t="n">
        <v>0</v>
      </c>
      <c r="J1887" t="n">
        <v>0</v>
      </c>
    </row>
    <row r="1888">
      <c r="A1888" s="5" t="n">
        <v>46182</v>
      </c>
      <c r="B1888" t="inlineStr">
        <is>
          <t>google_nonbrand_growth</t>
        </is>
      </c>
      <c r="C1888" t="inlineStr">
        <is>
          <t>google</t>
        </is>
      </c>
      <c r="D1888" t="n">
        <v>20143</v>
      </c>
      <c r="E1888" t="n">
        <v>4196</v>
      </c>
      <c r="F1888" t="n">
        <v>215</v>
      </c>
      <c r="G1888" t="n">
        <v>4</v>
      </c>
      <c r="H1888" t="n">
        <v>1</v>
      </c>
      <c r="I1888" t="n">
        <v>0</v>
      </c>
      <c r="J1888" t="n">
        <v>0</v>
      </c>
    </row>
    <row r="1889">
      <c r="A1889" s="5" t="n">
        <v>46182</v>
      </c>
      <c r="B1889" t="inlineStr">
        <is>
          <t>linkedin_ceo_abm</t>
        </is>
      </c>
      <c r="C1889" t="inlineStr">
        <is>
          <t>linkedin</t>
        </is>
      </c>
      <c r="D1889" t="n">
        <v>26721</v>
      </c>
      <c r="E1889" t="n">
        <v>5138</v>
      </c>
      <c r="F1889" t="n">
        <v>35</v>
      </c>
      <c r="G1889" t="n">
        <v>1</v>
      </c>
      <c r="H1889" t="n">
        <v>1</v>
      </c>
      <c r="I1889" t="n">
        <v>1</v>
      </c>
      <c r="J1889" t="n">
        <v>0</v>
      </c>
    </row>
    <row r="1890">
      <c r="A1890" s="5" t="n">
        <v>46182</v>
      </c>
      <c r="B1890" t="inlineStr">
        <is>
          <t>meta_prospecting_founder</t>
        </is>
      </c>
      <c r="C1890" t="inlineStr">
        <is>
          <t>meta</t>
        </is>
      </c>
      <c r="D1890" t="n">
        <v>41639</v>
      </c>
      <c r="E1890" t="n">
        <v>29742</v>
      </c>
      <c r="F1890" t="n">
        <v>321</v>
      </c>
      <c r="G1890" t="n">
        <v>17</v>
      </c>
      <c r="H1890" t="n">
        <v>1</v>
      </c>
      <c r="I1890" t="n">
        <v>2</v>
      </c>
      <c r="J1890" t="n">
        <v>0</v>
      </c>
    </row>
    <row r="1891">
      <c r="A1891" s="5" t="n">
        <v>46182</v>
      </c>
      <c r="B1891" t="inlineStr">
        <is>
          <t>meta_retargeting_webinar</t>
        </is>
      </c>
      <c r="C1891" t="inlineStr">
        <is>
          <t>meta</t>
        </is>
      </c>
      <c r="D1891" t="n">
        <v>9919</v>
      </c>
      <c r="E1891" t="n">
        <v>7085</v>
      </c>
      <c r="F1891" t="n">
        <v>77</v>
      </c>
      <c r="G1891" t="n">
        <v>2</v>
      </c>
      <c r="H1891" t="n">
        <v>1</v>
      </c>
      <c r="I1891" t="n">
        <v>1</v>
      </c>
      <c r="J1891" t="n">
        <v>0</v>
      </c>
    </row>
    <row r="1892">
      <c r="A1892" s="5" t="n">
        <v>46183</v>
      </c>
      <c r="B1892" t="inlineStr">
        <is>
          <t>google_brand_search</t>
        </is>
      </c>
      <c r="C1892" t="inlineStr">
        <is>
          <t>google</t>
        </is>
      </c>
      <c r="D1892" t="n">
        <v>6962</v>
      </c>
      <c r="E1892" t="n">
        <v>1450</v>
      </c>
      <c r="F1892" t="n">
        <v>80</v>
      </c>
      <c r="G1892" t="n">
        <v>4</v>
      </c>
      <c r="H1892" t="n">
        <v>1</v>
      </c>
      <c r="I1892" t="n">
        <v>3</v>
      </c>
      <c r="J1892" t="n">
        <v>0</v>
      </c>
    </row>
    <row r="1893">
      <c r="A1893" s="5" t="n">
        <v>46183</v>
      </c>
      <c r="B1893" t="inlineStr">
        <is>
          <t>google_nonbrand_growth</t>
        </is>
      </c>
      <c r="C1893" t="inlineStr">
        <is>
          <t>google</t>
        </is>
      </c>
      <c r="D1893" t="n">
        <v>17657</v>
      </c>
      <c r="E1893" t="n">
        <v>3678</v>
      </c>
      <c r="F1893" t="n">
        <v>189</v>
      </c>
      <c r="G1893" t="n">
        <v>1</v>
      </c>
      <c r="H1893" t="n">
        <v>0</v>
      </c>
      <c r="I1893" t="n">
        <v>0</v>
      </c>
      <c r="J1893" t="n">
        <v>0</v>
      </c>
    </row>
    <row r="1894">
      <c r="A1894" s="5" t="n">
        <v>46183</v>
      </c>
      <c r="B1894" t="inlineStr">
        <is>
          <t>linkedin_ceo_abm</t>
        </is>
      </c>
      <c r="C1894" t="inlineStr">
        <is>
          <t>linkedin</t>
        </is>
      </c>
      <c r="D1894" t="n">
        <v>26312</v>
      </c>
      <c r="E1894" t="n">
        <v>5060</v>
      </c>
      <c r="F1894" t="n">
        <v>33</v>
      </c>
      <c r="G1894" t="n">
        <v>0</v>
      </c>
      <c r="H1894" t="n">
        <v>0</v>
      </c>
      <c r="I1894" t="n">
        <v>0</v>
      </c>
      <c r="J1894" t="n">
        <v>0</v>
      </c>
    </row>
    <row r="1895">
      <c r="A1895" s="5" t="n">
        <v>46183</v>
      </c>
      <c r="B1895" t="inlineStr">
        <is>
          <t>meta_prospecting_founder</t>
        </is>
      </c>
      <c r="C1895" t="inlineStr">
        <is>
          <t>meta</t>
        </is>
      </c>
      <c r="D1895" t="n">
        <v>35396</v>
      </c>
      <c r="E1895" t="n">
        <v>25282</v>
      </c>
      <c r="F1895" t="n">
        <v>318</v>
      </c>
      <c r="G1895" t="n">
        <v>11</v>
      </c>
      <c r="H1895" t="n">
        <v>1</v>
      </c>
      <c r="I1895" t="n">
        <v>1</v>
      </c>
      <c r="J1895" t="n">
        <v>0</v>
      </c>
    </row>
    <row r="1896">
      <c r="A1896" s="5" t="n">
        <v>46183</v>
      </c>
      <c r="B1896" t="inlineStr">
        <is>
          <t>meta_retargeting_webinar</t>
        </is>
      </c>
      <c r="C1896" t="inlineStr">
        <is>
          <t>meta</t>
        </is>
      </c>
      <c r="D1896" t="n">
        <v>8651</v>
      </c>
      <c r="E1896" t="n">
        <v>6179</v>
      </c>
      <c r="F1896" t="n">
        <v>71</v>
      </c>
      <c r="G1896" t="n">
        <v>4</v>
      </c>
      <c r="H1896" t="n">
        <v>2</v>
      </c>
      <c r="I1896" t="n">
        <v>1</v>
      </c>
      <c r="J1896" t="n">
        <v>0</v>
      </c>
    </row>
    <row r="1897">
      <c r="A1897" s="5" t="n">
        <v>46184</v>
      </c>
      <c r="B1897" t="inlineStr">
        <is>
          <t>google_brand_search</t>
        </is>
      </c>
      <c r="C1897" t="inlineStr">
        <is>
          <t>google</t>
        </is>
      </c>
      <c r="D1897" t="n">
        <v>6494</v>
      </c>
      <c r="E1897" t="n">
        <v>1352</v>
      </c>
      <c r="F1897" t="n">
        <v>69</v>
      </c>
      <c r="G1897" t="n">
        <v>3</v>
      </c>
      <c r="H1897" t="n">
        <v>1</v>
      </c>
      <c r="I1897" t="n">
        <v>0</v>
      </c>
      <c r="J1897" t="n">
        <v>0</v>
      </c>
    </row>
    <row r="1898">
      <c r="A1898" s="5" t="n">
        <v>46184</v>
      </c>
      <c r="B1898" t="inlineStr">
        <is>
          <t>google_nonbrand_growth</t>
        </is>
      </c>
      <c r="C1898" t="inlineStr">
        <is>
          <t>google</t>
        </is>
      </c>
      <c r="D1898" t="n">
        <v>20276</v>
      </c>
      <c r="E1898" t="n">
        <v>4224</v>
      </c>
      <c r="F1898" t="n">
        <v>233</v>
      </c>
      <c r="G1898" t="n">
        <v>6</v>
      </c>
      <c r="H1898" t="n">
        <v>0</v>
      </c>
      <c r="I1898" t="n">
        <v>2</v>
      </c>
      <c r="J1898" t="n">
        <v>0</v>
      </c>
    </row>
    <row r="1899">
      <c r="A1899" s="5" t="n">
        <v>46184</v>
      </c>
      <c r="B1899" t="inlineStr">
        <is>
          <t>linkedin_ceo_abm</t>
        </is>
      </c>
      <c r="C1899" t="inlineStr">
        <is>
          <t>linkedin</t>
        </is>
      </c>
      <c r="D1899" t="n">
        <v>27457</v>
      </c>
      <c r="E1899" t="n">
        <v>5280</v>
      </c>
      <c r="F1899" t="n">
        <v>31</v>
      </c>
      <c r="G1899" t="n">
        <v>1</v>
      </c>
      <c r="H1899" t="n">
        <v>0</v>
      </c>
      <c r="I1899" t="n">
        <v>0</v>
      </c>
      <c r="J1899" t="n">
        <v>0</v>
      </c>
    </row>
    <row r="1900">
      <c r="A1900" s="5" t="n">
        <v>46184</v>
      </c>
      <c r="B1900" t="inlineStr">
        <is>
          <t>meta_prospecting_founder</t>
        </is>
      </c>
      <c r="C1900" t="inlineStr">
        <is>
          <t>meta</t>
        </is>
      </c>
      <c r="D1900" t="n">
        <v>36701</v>
      </c>
      <c r="E1900" t="n">
        <v>26215</v>
      </c>
      <c r="F1900" t="n">
        <v>284</v>
      </c>
      <c r="G1900" t="n">
        <v>11</v>
      </c>
      <c r="H1900" t="n">
        <v>4</v>
      </c>
      <c r="I1900" t="n">
        <v>2</v>
      </c>
      <c r="J1900" t="n">
        <v>0</v>
      </c>
    </row>
    <row r="1901">
      <c r="A1901" s="5" t="n">
        <v>46184</v>
      </c>
      <c r="B1901" t="inlineStr">
        <is>
          <t>meta_retargeting_webinar</t>
        </is>
      </c>
      <c r="C1901" t="inlineStr">
        <is>
          <t>meta</t>
        </is>
      </c>
      <c r="D1901" t="n">
        <v>8619</v>
      </c>
      <c r="E1901" t="n">
        <v>6156</v>
      </c>
      <c r="F1901" t="n">
        <v>57</v>
      </c>
      <c r="G1901" t="n">
        <v>3</v>
      </c>
      <c r="H1901" t="n">
        <v>4</v>
      </c>
      <c r="I1901" t="n">
        <v>1</v>
      </c>
      <c r="J1901" t="n">
        <v>1</v>
      </c>
    </row>
    <row r="1902">
      <c r="A1902" s="5" t="n">
        <v>46185</v>
      </c>
      <c r="B1902" t="inlineStr">
        <is>
          <t>google_brand_search</t>
        </is>
      </c>
      <c r="C1902" t="inlineStr">
        <is>
          <t>google</t>
        </is>
      </c>
      <c r="D1902" t="n">
        <v>7080</v>
      </c>
      <c r="E1902" t="n">
        <v>1474</v>
      </c>
      <c r="F1902" t="n">
        <v>76</v>
      </c>
      <c r="G1902" t="n">
        <v>2</v>
      </c>
      <c r="H1902" t="n">
        <v>1</v>
      </c>
      <c r="I1902" t="n">
        <v>0</v>
      </c>
      <c r="J1902" t="n">
        <v>1</v>
      </c>
    </row>
    <row r="1903">
      <c r="A1903" s="5" t="n">
        <v>46185</v>
      </c>
      <c r="B1903" t="inlineStr">
        <is>
          <t>google_nonbrand_growth</t>
        </is>
      </c>
      <c r="C1903" t="inlineStr">
        <is>
          <t>google</t>
        </is>
      </c>
      <c r="D1903" t="n">
        <v>18983</v>
      </c>
      <c r="E1903" t="n">
        <v>3954</v>
      </c>
      <c r="F1903" t="n">
        <v>181</v>
      </c>
      <c r="G1903" t="n">
        <v>4</v>
      </c>
      <c r="H1903" t="n">
        <v>0</v>
      </c>
      <c r="I1903" t="n">
        <v>1</v>
      </c>
      <c r="J1903" t="n">
        <v>0</v>
      </c>
    </row>
    <row r="1904">
      <c r="A1904" s="5" t="n">
        <v>46185</v>
      </c>
      <c r="B1904" t="inlineStr">
        <is>
          <t>linkedin_ceo_abm</t>
        </is>
      </c>
      <c r="C1904" t="inlineStr">
        <is>
          <t>linkedin</t>
        </is>
      </c>
      <c r="D1904" t="n">
        <v>26786</v>
      </c>
      <c r="E1904" t="n">
        <v>5151</v>
      </c>
      <c r="F1904" t="n">
        <v>32</v>
      </c>
      <c r="G1904" t="n">
        <v>2</v>
      </c>
      <c r="H1904" t="n">
        <v>0</v>
      </c>
      <c r="I1904" t="n">
        <v>0</v>
      </c>
      <c r="J1904" t="n">
        <v>0</v>
      </c>
    </row>
    <row r="1905">
      <c r="A1905" s="5" t="n">
        <v>46185</v>
      </c>
      <c r="B1905" t="inlineStr">
        <is>
          <t>meta_prospecting_founder</t>
        </is>
      </c>
      <c r="C1905" t="inlineStr">
        <is>
          <t>meta</t>
        </is>
      </c>
      <c r="D1905" t="n">
        <v>39793</v>
      </c>
      <c r="E1905" t="n">
        <v>28423</v>
      </c>
      <c r="F1905" t="n">
        <v>301</v>
      </c>
      <c r="G1905" t="n">
        <v>13</v>
      </c>
      <c r="H1905" t="n">
        <v>2</v>
      </c>
      <c r="I1905" t="n">
        <v>0</v>
      </c>
      <c r="J1905" t="n">
        <v>1</v>
      </c>
    </row>
    <row r="1906">
      <c r="A1906" s="5" t="n">
        <v>46185</v>
      </c>
      <c r="B1906" t="inlineStr">
        <is>
          <t>meta_retargeting_webinar</t>
        </is>
      </c>
      <c r="C1906" t="inlineStr">
        <is>
          <t>meta</t>
        </is>
      </c>
      <c r="D1906" t="n">
        <v>10094</v>
      </c>
      <c r="E1906" t="n">
        <v>7210</v>
      </c>
      <c r="F1906" t="n">
        <v>79</v>
      </c>
      <c r="G1906" t="n">
        <v>1</v>
      </c>
      <c r="H1906" t="n">
        <v>1</v>
      </c>
      <c r="I1906" t="n">
        <v>1</v>
      </c>
      <c r="J1906" t="n">
        <v>0</v>
      </c>
    </row>
    <row r="1907">
      <c r="A1907" s="5" t="n">
        <v>46186</v>
      </c>
      <c r="B1907" t="inlineStr">
        <is>
          <t>google_brand_search</t>
        </is>
      </c>
      <c r="C1907" t="inlineStr">
        <is>
          <t>google</t>
        </is>
      </c>
      <c r="D1907" t="n">
        <v>6487</v>
      </c>
      <c r="E1907" t="n">
        <v>1351</v>
      </c>
      <c r="F1907" t="n">
        <v>62</v>
      </c>
      <c r="G1907" t="n">
        <v>1</v>
      </c>
      <c r="H1907" t="n">
        <v>2</v>
      </c>
      <c r="I1907" t="n">
        <v>0</v>
      </c>
      <c r="J1907" t="n">
        <v>0</v>
      </c>
    </row>
    <row r="1908">
      <c r="A1908" s="5" t="n">
        <v>46186</v>
      </c>
      <c r="B1908" t="inlineStr">
        <is>
          <t>google_nonbrand_growth</t>
        </is>
      </c>
      <c r="C1908" t="inlineStr">
        <is>
          <t>google</t>
        </is>
      </c>
      <c r="D1908" t="n">
        <v>20331</v>
      </c>
      <c r="E1908" t="n">
        <v>4235</v>
      </c>
      <c r="F1908" t="n">
        <v>216</v>
      </c>
      <c r="G1908" t="n">
        <v>0</v>
      </c>
      <c r="H1908" t="n">
        <v>0</v>
      </c>
      <c r="I1908" t="n">
        <v>0</v>
      </c>
      <c r="J1908" t="n">
        <v>0</v>
      </c>
    </row>
    <row r="1909">
      <c r="A1909" s="5" t="n">
        <v>46186</v>
      </c>
      <c r="B1909" t="inlineStr">
        <is>
          <t>linkedin_ceo_abm</t>
        </is>
      </c>
      <c r="C1909" t="inlineStr">
        <is>
          <t>linkedin</t>
        </is>
      </c>
      <c r="D1909" t="n">
        <v>24471</v>
      </c>
      <c r="E1909" t="n">
        <v>4705</v>
      </c>
      <c r="F1909" t="n">
        <v>32</v>
      </c>
      <c r="G1909" t="n">
        <v>0</v>
      </c>
      <c r="H1909" t="n">
        <v>2</v>
      </c>
      <c r="I1909" t="n">
        <v>0</v>
      </c>
      <c r="J1909" t="n">
        <v>0</v>
      </c>
    </row>
    <row r="1910">
      <c r="A1910" s="5" t="n">
        <v>46186</v>
      </c>
      <c r="B1910" t="inlineStr">
        <is>
          <t>meta_prospecting_founder</t>
        </is>
      </c>
      <c r="C1910" t="inlineStr">
        <is>
          <t>meta</t>
        </is>
      </c>
      <c r="D1910" t="n">
        <v>42322</v>
      </c>
      <c r="E1910" t="n">
        <v>30230</v>
      </c>
      <c r="F1910" t="n">
        <v>354</v>
      </c>
      <c r="G1910" t="n">
        <v>11</v>
      </c>
      <c r="H1910" t="n">
        <v>1</v>
      </c>
      <c r="I1910" t="n">
        <v>1</v>
      </c>
      <c r="J1910" t="n">
        <v>0</v>
      </c>
    </row>
    <row r="1911">
      <c r="A1911" s="5" t="n">
        <v>46186</v>
      </c>
      <c r="B1911" t="inlineStr">
        <is>
          <t>meta_retargeting_webinar</t>
        </is>
      </c>
      <c r="C1911" t="inlineStr">
        <is>
          <t>meta</t>
        </is>
      </c>
      <c r="D1911" t="n">
        <v>9234</v>
      </c>
      <c r="E1911" t="n">
        <v>6595</v>
      </c>
      <c r="F1911" t="n">
        <v>64</v>
      </c>
      <c r="G1911" t="n">
        <v>0</v>
      </c>
      <c r="H1911" t="n">
        <v>1</v>
      </c>
      <c r="I1911" t="n">
        <v>1</v>
      </c>
      <c r="J1911" t="n">
        <v>1</v>
      </c>
    </row>
    <row r="1912">
      <c r="A1912" s="5" t="n">
        <v>46187</v>
      </c>
      <c r="B1912" t="inlineStr">
        <is>
          <t>google_brand_search</t>
        </is>
      </c>
      <c r="C1912" t="inlineStr">
        <is>
          <t>google</t>
        </is>
      </c>
      <c r="D1912" t="n">
        <v>6890</v>
      </c>
      <c r="E1912" t="n">
        <v>1435</v>
      </c>
      <c r="F1912" t="n">
        <v>72</v>
      </c>
      <c r="G1912" t="n">
        <v>4</v>
      </c>
      <c r="H1912" t="n">
        <v>1</v>
      </c>
      <c r="I1912" t="n">
        <v>0</v>
      </c>
      <c r="J1912" t="n">
        <v>0</v>
      </c>
    </row>
    <row r="1913">
      <c r="A1913" s="5" t="n">
        <v>46187</v>
      </c>
      <c r="B1913" t="inlineStr">
        <is>
          <t>google_nonbrand_growth</t>
        </is>
      </c>
      <c r="C1913" t="inlineStr">
        <is>
          <t>google</t>
        </is>
      </c>
      <c r="D1913" t="n">
        <v>20510</v>
      </c>
      <c r="E1913" t="n">
        <v>4272</v>
      </c>
      <c r="F1913" t="n">
        <v>236</v>
      </c>
      <c r="G1913" t="n">
        <v>2</v>
      </c>
      <c r="H1913" t="n">
        <v>0</v>
      </c>
      <c r="I1913" t="n">
        <v>0</v>
      </c>
      <c r="J1913" t="n">
        <v>0</v>
      </c>
    </row>
    <row r="1914">
      <c r="A1914" s="5" t="n">
        <v>46187</v>
      </c>
      <c r="B1914" t="inlineStr">
        <is>
          <t>linkedin_ceo_abm</t>
        </is>
      </c>
      <c r="C1914" t="inlineStr">
        <is>
          <t>linkedin</t>
        </is>
      </c>
      <c r="D1914" t="n">
        <v>24650</v>
      </c>
      <c r="E1914" t="n">
        <v>4740</v>
      </c>
      <c r="F1914" t="n">
        <v>32</v>
      </c>
      <c r="G1914" t="n">
        <v>0</v>
      </c>
      <c r="H1914" t="n">
        <v>0</v>
      </c>
      <c r="I1914" t="n">
        <v>0</v>
      </c>
      <c r="J1914" t="n">
        <v>0</v>
      </c>
    </row>
    <row r="1915">
      <c r="A1915" s="5" t="n">
        <v>46187</v>
      </c>
      <c r="B1915" t="inlineStr">
        <is>
          <t>meta_prospecting_founder</t>
        </is>
      </c>
      <c r="C1915" t="inlineStr">
        <is>
          <t>meta</t>
        </is>
      </c>
      <c r="D1915" t="n">
        <v>42210</v>
      </c>
      <c r="E1915" t="n">
        <v>30150</v>
      </c>
      <c r="F1915" t="n">
        <v>355</v>
      </c>
      <c r="G1915" t="n">
        <v>8</v>
      </c>
      <c r="H1915" t="n">
        <v>3</v>
      </c>
      <c r="I1915" t="n">
        <v>2</v>
      </c>
      <c r="J1915" t="n">
        <v>0</v>
      </c>
    </row>
    <row r="1916">
      <c r="A1916" s="5" t="n">
        <v>46187</v>
      </c>
      <c r="B1916" t="inlineStr">
        <is>
          <t>meta_retargeting_webinar</t>
        </is>
      </c>
      <c r="C1916" t="inlineStr">
        <is>
          <t>meta</t>
        </is>
      </c>
      <c r="D1916" t="n">
        <v>9077</v>
      </c>
      <c r="E1916" t="n">
        <v>6483</v>
      </c>
      <c r="F1916" t="n">
        <v>79</v>
      </c>
      <c r="G1916" t="n">
        <v>3</v>
      </c>
      <c r="H1916" t="n">
        <v>0</v>
      </c>
      <c r="I1916" t="n">
        <v>0</v>
      </c>
      <c r="J1916" t="n">
        <v>0</v>
      </c>
    </row>
    <row r="1917">
      <c r="A1917" s="5" t="n">
        <v>46188</v>
      </c>
      <c r="B1917" t="inlineStr">
        <is>
          <t>google_brand_search</t>
        </is>
      </c>
      <c r="C1917" t="inlineStr">
        <is>
          <t>google</t>
        </is>
      </c>
      <c r="D1917" t="n">
        <v>6257</v>
      </c>
      <c r="E1917" t="n">
        <v>1303</v>
      </c>
      <c r="F1917" t="n">
        <v>67</v>
      </c>
      <c r="G1917" t="n">
        <v>0</v>
      </c>
      <c r="H1917" t="n">
        <v>1</v>
      </c>
      <c r="I1917" t="n">
        <v>0</v>
      </c>
      <c r="J1917" t="n">
        <v>0</v>
      </c>
    </row>
    <row r="1918">
      <c r="A1918" s="5" t="n">
        <v>46188</v>
      </c>
      <c r="B1918" t="inlineStr">
        <is>
          <t>google_nonbrand_growth</t>
        </is>
      </c>
      <c r="C1918" t="inlineStr">
        <is>
          <t>google</t>
        </is>
      </c>
      <c r="D1918" t="n">
        <v>20392</v>
      </c>
      <c r="E1918" t="n">
        <v>4248</v>
      </c>
      <c r="F1918" t="n">
        <v>222</v>
      </c>
      <c r="G1918" t="n">
        <v>7</v>
      </c>
      <c r="H1918" t="n">
        <v>0</v>
      </c>
      <c r="I1918" t="n">
        <v>0</v>
      </c>
      <c r="J1918" t="n">
        <v>0</v>
      </c>
    </row>
    <row r="1919">
      <c r="A1919" s="5" t="n">
        <v>46188</v>
      </c>
      <c r="B1919" t="inlineStr">
        <is>
          <t>linkedin_ceo_abm</t>
        </is>
      </c>
      <c r="C1919" t="inlineStr">
        <is>
          <t>linkedin</t>
        </is>
      </c>
      <c r="D1919" t="n">
        <v>26165</v>
      </c>
      <c r="E1919" t="n">
        <v>5031</v>
      </c>
      <c r="F1919" t="n">
        <v>28</v>
      </c>
      <c r="G1919" t="n">
        <v>4</v>
      </c>
      <c r="H1919" t="n">
        <v>0</v>
      </c>
      <c r="I1919" t="n">
        <v>1</v>
      </c>
      <c r="J1919" t="n">
        <v>0</v>
      </c>
    </row>
    <row r="1920">
      <c r="A1920" s="5" t="n">
        <v>46188</v>
      </c>
      <c r="B1920" t="inlineStr">
        <is>
          <t>meta_prospecting_founder</t>
        </is>
      </c>
      <c r="C1920" t="inlineStr">
        <is>
          <t>meta</t>
        </is>
      </c>
      <c r="D1920" t="n">
        <v>37967</v>
      </c>
      <c r="E1920" t="n">
        <v>27119</v>
      </c>
      <c r="F1920" t="n">
        <v>319</v>
      </c>
      <c r="G1920" t="n">
        <v>19</v>
      </c>
      <c r="H1920" t="n">
        <v>2</v>
      </c>
      <c r="I1920" t="n">
        <v>1</v>
      </c>
      <c r="J1920" t="n">
        <v>0</v>
      </c>
    </row>
    <row r="1921">
      <c r="A1921" s="5" t="n">
        <v>46188</v>
      </c>
      <c r="B1921" t="inlineStr">
        <is>
          <t>meta_retargeting_webinar</t>
        </is>
      </c>
      <c r="C1921" t="inlineStr">
        <is>
          <t>meta</t>
        </is>
      </c>
      <c r="D1921" t="n">
        <v>8565</v>
      </c>
      <c r="E1921" t="n">
        <v>6117</v>
      </c>
      <c r="F1921" t="n">
        <v>63</v>
      </c>
      <c r="G1921" t="n">
        <v>2</v>
      </c>
      <c r="H1921" t="n">
        <v>1</v>
      </c>
      <c r="I1921" t="n">
        <v>0</v>
      </c>
      <c r="J1921" t="n">
        <v>0</v>
      </c>
    </row>
    <row r="1922">
      <c r="A1922" s="5" t="n">
        <v>46189</v>
      </c>
      <c r="B1922" t="inlineStr">
        <is>
          <t>google_brand_search</t>
        </is>
      </c>
      <c r="C1922" t="inlineStr">
        <is>
          <t>google</t>
        </is>
      </c>
      <c r="D1922" t="n">
        <v>6950</v>
      </c>
      <c r="E1922" t="n">
        <v>1447</v>
      </c>
      <c r="F1922" t="n">
        <v>68</v>
      </c>
      <c r="G1922" t="n">
        <v>2</v>
      </c>
      <c r="H1922" t="n">
        <v>0</v>
      </c>
      <c r="I1922" t="n">
        <v>0</v>
      </c>
      <c r="J1922" t="n">
        <v>0</v>
      </c>
    </row>
    <row r="1923">
      <c r="A1923" s="5" t="n">
        <v>46189</v>
      </c>
      <c r="B1923" t="inlineStr">
        <is>
          <t>google_nonbrand_growth</t>
        </is>
      </c>
      <c r="C1923" t="inlineStr">
        <is>
          <t>google</t>
        </is>
      </c>
      <c r="D1923" t="n">
        <v>18957</v>
      </c>
      <c r="E1923" t="n">
        <v>3949</v>
      </c>
      <c r="F1923" t="n">
        <v>217</v>
      </c>
      <c r="G1923" t="n">
        <v>5</v>
      </c>
      <c r="H1923" t="n">
        <v>0</v>
      </c>
      <c r="I1923" t="n">
        <v>1</v>
      </c>
      <c r="J1923" t="n">
        <v>0</v>
      </c>
    </row>
    <row r="1924">
      <c r="A1924" s="5" t="n">
        <v>46189</v>
      </c>
      <c r="B1924" t="inlineStr">
        <is>
          <t>linkedin_ceo_abm</t>
        </is>
      </c>
      <c r="C1924" t="inlineStr">
        <is>
          <t>linkedin</t>
        </is>
      </c>
      <c r="D1924" t="n">
        <v>24974</v>
      </c>
      <c r="E1924" t="n">
        <v>4802</v>
      </c>
      <c r="F1924" t="n">
        <v>28</v>
      </c>
      <c r="G1924" t="n">
        <v>3</v>
      </c>
      <c r="H1924" t="n">
        <v>1</v>
      </c>
      <c r="I1924" t="n">
        <v>0</v>
      </c>
      <c r="J1924" t="n">
        <v>0</v>
      </c>
    </row>
    <row r="1925">
      <c r="A1925" s="5" t="n">
        <v>46189</v>
      </c>
      <c r="B1925" t="inlineStr">
        <is>
          <t>meta_prospecting_founder</t>
        </is>
      </c>
      <c r="C1925" t="inlineStr">
        <is>
          <t>meta</t>
        </is>
      </c>
      <c r="D1925" t="n">
        <v>40293</v>
      </c>
      <c r="E1925" t="n">
        <v>28780</v>
      </c>
      <c r="F1925" t="n">
        <v>356</v>
      </c>
      <c r="G1925" t="n">
        <v>12</v>
      </c>
      <c r="H1925" t="n">
        <v>3</v>
      </c>
      <c r="I1925" t="n">
        <v>0</v>
      </c>
      <c r="J1925" t="n">
        <v>0</v>
      </c>
    </row>
    <row r="1926">
      <c r="A1926" s="5" t="n">
        <v>46189</v>
      </c>
      <c r="B1926" t="inlineStr">
        <is>
          <t>meta_retargeting_webinar</t>
        </is>
      </c>
      <c r="C1926" t="inlineStr">
        <is>
          <t>meta</t>
        </is>
      </c>
      <c r="D1926" t="n">
        <v>9344</v>
      </c>
      <c r="E1926" t="n">
        <v>6674</v>
      </c>
      <c r="F1926" t="n">
        <v>81</v>
      </c>
      <c r="G1926" t="n">
        <v>4</v>
      </c>
      <c r="H1926" t="n">
        <v>0</v>
      </c>
      <c r="I1926" t="n">
        <v>2</v>
      </c>
      <c r="J1926" t="n">
        <v>0</v>
      </c>
    </row>
    <row r="1927">
      <c r="A1927" s="5" t="n">
        <v>46190</v>
      </c>
      <c r="B1927" t="inlineStr">
        <is>
          <t>google_brand_search</t>
        </is>
      </c>
      <c r="C1927" t="inlineStr">
        <is>
          <t>google</t>
        </is>
      </c>
      <c r="D1927" t="n">
        <v>6725</v>
      </c>
      <c r="E1927" t="n">
        <v>1401</v>
      </c>
      <c r="F1927" t="n">
        <v>65</v>
      </c>
      <c r="G1927" t="n">
        <v>4</v>
      </c>
      <c r="H1927" t="n">
        <v>2</v>
      </c>
      <c r="I1927" t="n">
        <v>0</v>
      </c>
      <c r="J1927" t="n">
        <v>1</v>
      </c>
    </row>
    <row r="1928">
      <c r="A1928" s="5" t="n">
        <v>46190</v>
      </c>
      <c r="B1928" t="inlineStr">
        <is>
          <t>google_nonbrand_growth</t>
        </is>
      </c>
      <c r="C1928" t="inlineStr">
        <is>
          <t>google</t>
        </is>
      </c>
      <c r="D1928" t="n">
        <v>20195</v>
      </c>
      <c r="E1928" t="n">
        <v>4207</v>
      </c>
      <c r="F1928" t="n">
        <v>238</v>
      </c>
      <c r="G1928" t="n">
        <v>1</v>
      </c>
      <c r="H1928" t="n">
        <v>2</v>
      </c>
      <c r="I1928" t="n">
        <v>0</v>
      </c>
      <c r="J1928" t="n">
        <v>0</v>
      </c>
    </row>
    <row r="1929">
      <c r="A1929" s="5" t="n">
        <v>46190</v>
      </c>
      <c r="B1929" t="inlineStr">
        <is>
          <t>linkedin_ceo_abm</t>
        </is>
      </c>
      <c r="C1929" t="inlineStr">
        <is>
          <t>linkedin</t>
        </is>
      </c>
      <c r="D1929" t="n">
        <v>26154</v>
      </c>
      <c r="E1929" t="n">
        <v>5029</v>
      </c>
      <c r="F1929" t="n">
        <v>29</v>
      </c>
      <c r="G1929" t="n">
        <v>3</v>
      </c>
      <c r="H1929" t="n">
        <v>1</v>
      </c>
      <c r="I1929" t="n">
        <v>0</v>
      </c>
      <c r="J1929" t="n">
        <v>0</v>
      </c>
    </row>
    <row r="1930">
      <c r="A1930" s="5" t="n">
        <v>46190</v>
      </c>
      <c r="B1930" t="inlineStr">
        <is>
          <t>meta_prospecting_founder</t>
        </is>
      </c>
      <c r="C1930" t="inlineStr">
        <is>
          <t>meta</t>
        </is>
      </c>
      <c r="D1930" t="n">
        <v>35309</v>
      </c>
      <c r="E1930" t="n">
        <v>25220</v>
      </c>
      <c r="F1930" t="n">
        <v>240</v>
      </c>
      <c r="G1930" t="n">
        <v>8</v>
      </c>
      <c r="H1930" t="n">
        <v>5</v>
      </c>
      <c r="I1930" t="n">
        <v>1</v>
      </c>
      <c r="J1930" t="n">
        <v>0</v>
      </c>
    </row>
    <row r="1931">
      <c r="A1931" s="5" t="n">
        <v>46190</v>
      </c>
      <c r="B1931" t="inlineStr">
        <is>
          <t>meta_retargeting_webinar</t>
        </is>
      </c>
      <c r="C1931" t="inlineStr">
        <is>
          <t>meta</t>
        </is>
      </c>
      <c r="D1931" t="n">
        <v>10223</v>
      </c>
      <c r="E1931" t="n">
        <v>7302</v>
      </c>
      <c r="F1931" t="n">
        <v>78</v>
      </c>
      <c r="G1931" t="n">
        <v>7</v>
      </c>
      <c r="H1931" t="n">
        <v>0</v>
      </c>
      <c r="I1931" t="n">
        <v>0</v>
      </c>
      <c r="J1931" t="n">
        <v>0</v>
      </c>
    </row>
    <row r="1932">
      <c r="A1932" s="5" t="n">
        <v>46191</v>
      </c>
      <c r="B1932" t="inlineStr">
        <is>
          <t>google_brand_search</t>
        </is>
      </c>
      <c r="C1932" t="inlineStr">
        <is>
          <t>google</t>
        </is>
      </c>
      <c r="D1932" t="n">
        <v>7046</v>
      </c>
      <c r="E1932" t="n">
        <v>1467</v>
      </c>
      <c r="F1932" t="n">
        <v>81</v>
      </c>
      <c r="G1932" t="n">
        <v>4</v>
      </c>
      <c r="H1932" t="n">
        <v>2</v>
      </c>
      <c r="I1932" t="n">
        <v>0</v>
      </c>
      <c r="J1932" t="n">
        <v>0</v>
      </c>
    </row>
    <row r="1933">
      <c r="A1933" s="5" t="n">
        <v>46191</v>
      </c>
      <c r="B1933" t="inlineStr">
        <is>
          <t>google_nonbrand_growth</t>
        </is>
      </c>
      <c r="C1933" t="inlineStr">
        <is>
          <t>google</t>
        </is>
      </c>
      <c r="D1933" t="n">
        <v>17252</v>
      </c>
      <c r="E1933" t="n">
        <v>3594</v>
      </c>
      <c r="F1933" t="n">
        <v>204</v>
      </c>
      <c r="G1933" t="n">
        <v>2</v>
      </c>
      <c r="H1933" t="n">
        <v>4</v>
      </c>
      <c r="I1933" t="n">
        <v>0</v>
      </c>
      <c r="J1933" t="n">
        <v>0</v>
      </c>
    </row>
    <row r="1934">
      <c r="A1934" s="5" t="n">
        <v>46191</v>
      </c>
      <c r="B1934" t="inlineStr">
        <is>
          <t>linkedin_ceo_abm</t>
        </is>
      </c>
      <c r="C1934" t="inlineStr">
        <is>
          <t>linkedin</t>
        </is>
      </c>
      <c r="D1934" t="n">
        <v>26490</v>
      </c>
      <c r="E1934" t="n">
        <v>5094</v>
      </c>
      <c r="F1934" t="n">
        <v>33</v>
      </c>
      <c r="G1934" t="n">
        <v>1</v>
      </c>
      <c r="H1934" t="n">
        <v>2</v>
      </c>
      <c r="I1934" t="n">
        <v>0</v>
      </c>
      <c r="J1934" t="n">
        <v>0</v>
      </c>
    </row>
    <row r="1935">
      <c r="A1935" s="5" t="n">
        <v>46191</v>
      </c>
      <c r="B1935" t="inlineStr">
        <is>
          <t>meta_prospecting_founder</t>
        </is>
      </c>
      <c r="C1935" t="inlineStr">
        <is>
          <t>meta</t>
        </is>
      </c>
      <c r="D1935" t="n">
        <v>35414</v>
      </c>
      <c r="E1935" t="n">
        <v>25295</v>
      </c>
      <c r="F1935" t="n">
        <v>244</v>
      </c>
      <c r="G1935" t="n">
        <v>8</v>
      </c>
      <c r="H1935" t="n">
        <v>4</v>
      </c>
      <c r="I1935" t="n">
        <v>2</v>
      </c>
      <c r="J1935" t="n">
        <v>0</v>
      </c>
    </row>
    <row r="1936">
      <c r="A1936" s="5" t="n">
        <v>46191</v>
      </c>
      <c r="B1936" t="inlineStr">
        <is>
          <t>meta_retargeting_webinar</t>
        </is>
      </c>
      <c r="C1936" t="inlineStr">
        <is>
          <t>meta</t>
        </is>
      </c>
      <c r="D1936" t="n">
        <v>9639</v>
      </c>
      <c r="E1936" t="n">
        <v>6885</v>
      </c>
      <c r="F1936" t="n">
        <v>81</v>
      </c>
      <c r="G1936" t="n">
        <v>2</v>
      </c>
      <c r="H1936" t="n">
        <v>4</v>
      </c>
      <c r="I1936" t="n">
        <v>1</v>
      </c>
      <c r="J1936" t="n">
        <v>1</v>
      </c>
    </row>
    <row r="1937">
      <c r="A1937" s="5" t="n">
        <v>46192</v>
      </c>
      <c r="B1937" t="inlineStr">
        <is>
          <t>google_brand_search</t>
        </is>
      </c>
      <c r="C1937" t="inlineStr">
        <is>
          <t>google</t>
        </is>
      </c>
      <c r="D1937" t="n">
        <v>6645</v>
      </c>
      <c r="E1937" t="n">
        <v>1384</v>
      </c>
      <c r="F1937" t="n">
        <v>62</v>
      </c>
      <c r="G1937" t="n">
        <v>5</v>
      </c>
      <c r="H1937" t="n">
        <v>1</v>
      </c>
      <c r="I1937" t="n">
        <v>2</v>
      </c>
      <c r="J1937" t="n">
        <v>0</v>
      </c>
    </row>
    <row r="1938">
      <c r="A1938" s="5" t="n">
        <v>46192</v>
      </c>
      <c r="B1938" t="inlineStr">
        <is>
          <t>google_nonbrand_growth</t>
        </is>
      </c>
      <c r="C1938" t="inlineStr">
        <is>
          <t>google</t>
        </is>
      </c>
      <c r="D1938" t="n">
        <v>17365</v>
      </c>
      <c r="E1938" t="n">
        <v>3617</v>
      </c>
      <c r="F1938" t="n">
        <v>194</v>
      </c>
      <c r="G1938" t="n">
        <v>3</v>
      </c>
      <c r="H1938" t="n">
        <v>0</v>
      </c>
      <c r="I1938" t="n">
        <v>0</v>
      </c>
      <c r="J1938" t="n">
        <v>0</v>
      </c>
    </row>
    <row r="1939">
      <c r="A1939" s="5" t="n">
        <v>46192</v>
      </c>
      <c r="B1939" t="inlineStr">
        <is>
          <t>linkedin_ceo_abm</t>
        </is>
      </c>
      <c r="C1939" t="inlineStr">
        <is>
          <t>linkedin</t>
        </is>
      </c>
      <c r="D1939" t="n">
        <v>27491</v>
      </c>
      <c r="E1939" t="n">
        <v>5286</v>
      </c>
      <c r="F1939" t="n">
        <v>33</v>
      </c>
      <c r="G1939" t="n">
        <v>1</v>
      </c>
      <c r="H1939" t="n">
        <v>2</v>
      </c>
      <c r="I1939" t="n">
        <v>2</v>
      </c>
      <c r="J1939" t="n">
        <v>1</v>
      </c>
    </row>
    <row r="1940">
      <c r="A1940" s="5" t="n">
        <v>46192</v>
      </c>
      <c r="B1940" t="inlineStr">
        <is>
          <t>meta_prospecting_founder</t>
        </is>
      </c>
      <c r="C1940" t="inlineStr">
        <is>
          <t>meta</t>
        </is>
      </c>
      <c r="D1940" t="n">
        <v>39232</v>
      </c>
      <c r="E1940" t="n">
        <v>28022</v>
      </c>
      <c r="F1940" t="n">
        <v>283</v>
      </c>
      <c r="G1940" t="n">
        <v>10</v>
      </c>
      <c r="H1940" t="n">
        <v>1</v>
      </c>
      <c r="I1940" t="n">
        <v>0</v>
      </c>
      <c r="J1940" t="n">
        <v>0</v>
      </c>
    </row>
    <row r="1941">
      <c r="A1941" s="5" t="n">
        <v>46192</v>
      </c>
      <c r="B1941" t="inlineStr">
        <is>
          <t>meta_retargeting_webinar</t>
        </is>
      </c>
      <c r="C1941" t="inlineStr">
        <is>
          <t>meta</t>
        </is>
      </c>
      <c r="D1941" t="n">
        <v>8896</v>
      </c>
      <c r="E1941" t="n">
        <v>6354</v>
      </c>
      <c r="F1941" t="n">
        <v>61</v>
      </c>
      <c r="G1941" t="n">
        <v>5</v>
      </c>
      <c r="H1941" t="n">
        <v>0</v>
      </c>
      <c r="I1941" t="n">
        <v>0</v>
      </c>
      <c r="J1941" t="n">
        <v>0</v>
      </c>
    </row>
    <row r="1942">
      <c r="A1942" s="5" t="n">
        <v>46193</v>
      </c>
      <c r="B1942" t="inlineStr">
        <is>
          <t>google_brand_search</t>
        </is>
      </c>
      <c r="C1942" t="inlineStr">
        <is>
          <t>google</t>
        </is>
      </c>
      <c r="D1942" t="n">
        <v>6494</v>
      </c>
      <c r="E1942" t="n">
        <v>1352</v>
      </c>
      <c r="F1942" t="n">
        <v>72</v>
      </c>
      <c r="G1942" t="n">
        <v>2</v>
      </c>
      <c r="H1942" t="n">
        <v>1</v>
      </c>
      <c r="I1942" t="n">
        <v>0</v>
      </c>
      <c r="J1942" t="n">
        <v>0</v>
      </c>
    </row>
    <row r="1943">
      <c r="A1943" s="5" t="n">
        <v>46193</v>
      </c>
      <c r="B1943" t="inlineStr">
        <is>
          <t>google_nonbrand_growth</t>
        </is>
      </c>
      <c r="C1943" t="inlineStr">
        <is>
          <t>google</t>
        </is>
      </c>
      <c r="D1943" t="n">
        <v>19663</v>
      </c>
      <c r="E1943" t="n">
        <v>4096</v>
      </c>
      <c r="F1943" t="n">
        <v>204</v>
      </c>
      <c r="G1943" t="n">
        <v>4</v>
      </c>
      <c r="H1943" t="n">
        <v>3</v>
      </c>
      <c r="I1943" t="n">
        <v>0</v>
      </c>
      <c r="J1943" t="n">
        <v>0</v>
      </c>
    </row>
    <row r="1944">
      <c r="A1944" s="5" t="n">
        <v>46193</v>
      </c>
      <c r="B1944" t="inlineStr">
        <is>
          <t>linkedin_ceo_abm</t>
        </is>
      </c>
      <c r="C1944" t="inlineStr">
        <is>
          <t>linkedin</t>
        </is>
      </c>
      <c r="D1944" t="n">
        <v>27103</v>
      </c>
      <c r="E1944" t="n">
        <v>5212</v>
      </c>
      <c r="F1944" t="n">
        <v>29</v>
      </c>
      <c r="G1944" t="n">
        <v>1</v>
      </c>
      <c r="H1944" t="n">
        <v>1</v>
      </c>
      <c r="I1944" t="n">
        <v>1</v>
      </c>
      <c r="J1944" t="n">
        <v>0</v>
      </c>
    </row>
    <row r="1945">
      <c r="A1945" s="5" t="n">
        <v>46193</v>
      </c>
      <c r="B1945" t="inlineStr">
        <is>
          <t>meta_prospecting_founder</t>
        </is>
      </c>
      <c r="C1945" t="inlineStr">
        <is>
          <t>meta</t>
        </is>
      </c>
      <c r="D1945" t="n">
        <v>42380</v>
      </c>
      <c r="E1945" t="n">
        <v>30271</v>
      </c>
      <c r="F1945" t="n">
        <v>321</v>
      </c>
      <c r="G1945" t="n">
        <v>8</v>
      </c>
      <c r="H1945" t="n">
        <v>3</v>
      </c>
      <c r="I1945" t="n">
        <v>2</v>
      </c>
      <c r="J1945" t="n">
        <v>0</v>
      </c>
    </row>
    <row r="1946">
      <c r="A1946" s="5" t="n">
        <v>46193</v>
      </c>
      <c r="B1946" t="inlineStr">
        <is>
          <t>meta_retargeting_webinar</t>
        </is>
      </c>
      <c r="C1946" t="inlineStr">
        <is>
          <t>meta</t>
        </is>
      </c>
      <c r="D1946" t="n">
        <v>9469</v>
      </c>
      <c r="E1946" t="n">
        <v>6763</v>
      </c>
      <c r="F1946" t="n">
        <v>64</v>
      </c>
      <c r="G1946" t="n">
        <v>1</v>
      </c>
      <c r="H1946" t="n">
        <v>1</v>
      </c>
      <c r="I1946" t="n">
        <v>0</v>
      </c>
      <c r="J1946" t="n">
        <v>0</v>
      </c>
    </row>
    <row r="1947">
      <c r="A1947" s="5" t="n">
        <v>46194</v>
      </c>
      <c r="B1947" t="inlineStr">
        <is>
          <t>google_brand_search</t>
        </is>
      </c>
      <c r="C1947" t="inlineStr">
        <is>
          <t>google</t>
        </is>
      </c>
      <c r="D1947" t="n">
        <v>6408</v>
      </c>
      <c r="E1947" t="n">
        <v>1335</v>
      </c>
      <c r="F1947" t="n">
        <v>61</v>
      </c>
      <c r="G1947" t="n">
        <v>3</v>
      </c>
      <c r="H1947" t="n">
        <v>1</v>
      </c>
      <c r="I1947" t="n">
        <v>0</v>
      </c>
      <c r="J1947" t="n">
        <v>0</v>
      </c>
    </row>
    <row r="1948">
      <c r="A1948" s="5" t="n">
        <v>46194</v>
      </c>
      <c r="B1948" t="inlineStr">
        <is>
          <t>google_nonbrand_growth</t>
        </is>
      </c>
      <c r="C1948" t="inlineStr">
        <is>
          <t>google</t>
        </is>
      </c>
      <c r="D1948" t="n">
        <v>19517</v>
      </c>
      <c r="E1948" t="n">
        <v>4066</v>
      </c>
      <c r="F1948" t="n">
        <v>189</v>
      </c>
      <c r="G1948" t="n">
        <v>3</v>
      </c>
      <c r="H1948" t="n">
        <v>1</v>
      </c>
      <c r="I1948" t="n">
        <v>1</v>
      </c>
      <c r="J1948" t="n">
        <v>0</v>
      </c>
    </row>
    <row r="1949">
      <c r="A1949" s="5" t="n">
        <v>46194</v>
      </c>
      <c r="B1949" t="inlineStr">
        <is>
          <t>linkedin_ceo_abm</t>
        </is>
      </c>
      <c r="C1949" t="inlineStr">
        <is>
          <t>linkedin</t>
        </is>
      </c>
      <c r="D1949" t="n">
        <v>26249</v>
      </c>
      <c r="E1949" t="n">
        <v>5047</v>
      </c>
      <c r="F1949" t="n">
        <v>31</v>
      </c>
      <c r="G1949" t="n">
        <v>2</v>
      </c>
      <c r="H1949" t="n">
        <v>0</v>
      </c>
      <c r="I1949" t="n">
        <v>0</v>
      </c>
      <c r="J1949" t="n">
        <v>0</v>
      </c>
    </row>
    <row r="1950">
      <c r="A1950" s="5" t="n">
        <v>46194</v>
      </c>
      <c r="B1950" t="inlineStr">
        <is>
          <t>meta_prospecting_founder</t>
        </is>
      </c>
      <c r="C1950" t="inlineStr">
        <is>
          <t>meta</t>
        </is>
      </c>
      <c r="D1950" t="n">
        <v>39554</v>
      </c>
      <c r="E1950" t="n">
        <v>28252</v>
      </c>
      <c r="F1950" t="n">
        <v>357</v>
      </c>
      <c r="G1950" t="n">
        <v>8</v>
      </c>
      <c r="H1950" t="n">
        <v>1</v>
      </c>
      <c r="I1950" t="n">
        <v>0</v>
      </c>
      <c r="J1950" t="n">
        <v>0</v>
      </c>
    </row>
    <row r="1951">
      <c r="A1951" s="5" t="n">
        <v>46194</v>
      </c>
      <c r="B1951" t="inlineStr">
        <is>
          <t>meta_retargeting_webinar</t>
        </is>
      </c>
      <c r="C1951" t="inlineStr">
        <is>
          <t>meta</t>
        </is>
      </c>
      <c r="D1951" t="n">
        <v>10041</v>
      </c>
      <c r="E1951" t="n">
        <v>7172</v>
      </c>
      <c r="F1951" t="n">
        <v>87</v>
      </c>
      <c r="G1951" t="n">
        <v>0</v>
      </c>
      <c r="H1951" t="n">
        <v>2</v>
      </c>
      <c r="I1951" t="n">
        <v>0</v>
      </c>
      <c r="J1951" t="n">
        <v>0</v>
      </c>
    </row>
    <row r="1952">
      <c r="A1952" s="5" t="n">
        <v>46195</v>
      </c>
      <c r="B1952" t="inlineStr">
        <is>
          <t>google_brand_search</t>
        </is>
      </c>
      <c r="C1952" t="inlineStr">
        <is>
          <t>google</t>
        </is>
      </c>
      <c r="D1952" t="n">
        <v>7460</v>
      </c>
      <c r="E1952" t="n">
        <v>1554</v>
      </c>
      <c r="F1952" t="n">
        <v>92</v>
      </c>
      <c r="G1952" t="n">
        <v>4</v>
      </c>
      <c r="H1952" t="n">
        <v>1</v>
      </c>
      <c r="I1952" t="n">
        <v>0</v>
      </c>
      <c r="J1952" t="n">
        <v>0</v>
      </c>
    </row>
    <row r="1953">
      <c r="A1953" s="5" t="n">
        <v>46195</v>
      </c>
      <c r="B1953" t="inlineStr">
        <is>
          <t>google_nonbrand_growth</t>
        </is>
      </c>
      <c r="C1953" t="inlineStr">
        <is>
          <t>google</t>
        </is>
      </c>
      <c r="D1953" t="n">
        <v>18915</v>
      </c>
      <c r="E1953" t="n">
        <v>3940</v>
      </c>
      <c r="F1953" t="n">
        <v>212</v>
      </c>
      <c r="G1953" t="n">
        <v>3</v>
      </c>
      <c r="H1953" t="n">
        <v>0</v>
      </c>
      <c r="I1953" t="n">
        <v>0</v>
      </c>
      <c r="J1953" t="n">
        <v>0</v>
      </c>
    </row>
    <row r="1954">
      <c r="A1954" s="5" t="n">
        <v>46195</v>
      </c>
      <c r="B1954" t="inlineStr">
        <is>
          <t>linkedin_ceo_abm</t>
        </is>
      </c>
      <c r="C1954" t="inlineStr">
        <is>
          <t>linkedin</t>
        </is>
      </c>
      <c r="D1954" t="n">
        <v>26782</v>
      </c>
      <c r="E1954" t="n">
        <v>5150</v>
      </c>
      <c r="F1954" t="n">
        <v>38</v>
      </c>
      <c r="G1954" t="n">
        <v>2</v>
      </c>
      <c r="H1954" t="n">
        <v>1</v>
      </c>
      <c r="I1954" t="n">
        <v>1</v>
      </c>
      <c r="J1954" t="n">
        <v>0</v>
      </c>
    </row>
    <row r="1955">
      <c r="A1955" s="5" t="n">
        <v>46195</v>
      </c>
      <c r="B1955" t="inlineStr">
        <is>
          <t>meta_prospecting_founder</t>
        </is>
      </c>
      <c r="C1955" t="inlineStr">
        <is>
          <t>meta</t>
        </is>
      </c>
      <c r="D1955" t="n">
        <v>36434</v>
      </c>
      <c r="E1955" t="n">
        <v>26024</v>
      </c>
      <c r="F1955" t="n">
        <v>279</v>
      </c>
      <c r="G1955" t="n">
        <v>7</v>
      </c>
      <c r="H1955" t="n">
        <v>2</v>
      </c>
      <c r="I1955" t="n">
        <v>3</v>
      </c>
      <c r="J1955" t="n">
        <v>0</v>
      </c>
    </row>
    <row r="1956">
      <c r="A1956" s="5" t="n">
        <v>46195</v>
      </c>
      <c r="B1956" t="inlineStr">
        <is>
          <t>meta_retargeting_webinar</t>
        </is>
      </c>
      <c r="C1956" t="inlineStr">
        <is>
          <t>meta</t>
        </is>
      </c>
      <c r="D1956" t="n">
        <v>8384</v>
      </c>
      <c r="E1956" t="n">
        <v>5988</v>
      </c>
      <c r="F1956" t="n">
        <v>65</v>
      </c>
      <c r="G1956" t="n">
        <v>4</v>
      </c>
      <c r="H1956" t="n">
        <v>0</v>
      </c>
      <c r="I1956" t="n">
        <v>0</v>
      </c>
      <c r="J1956" t="n">
        <v>0</v>
      </c>
    </row>
    <row r="1957">
      <c r="A1957" s="5" t="n">
        <v>46196</v>
      </c>
      <c r="B1957" t="inlineStr">
        <is>
          <t>google_brand_search</t>
        </is>
      </c>
      <c r="C1957" t="inlineStr">
        <is>
          <t>google</t>
        </is>
      </c>
      <c r="D1957" t="n">
        <v>6499</v>
      </c>
      <c r="E1957" t="n">
        <v>1353</v>
      </c>
      <c r="F1957" t="n">
        <v>80</v>
      </c>
      <c r="G1957" t="n">
        <v>7</v>
      </c>
      <c r="H1957" t="n">
        <v>2</v>
      </c>
      <c r="I1957" t="n">
        <v>0</v>
      </c>
      <c r="J1957" t="n">
        <v>0</v>
      </c>
    </row>
    <row r="1958">
      <c r="A1958" s="5" t="n">
        <v>46196</v>
      </c>
      <c r="B1958" t="inlineStr">
        <is>
          <t>google_nonbrand_growth</t>
        </is>
      </c>
      <c r="C1958" t="inlineStr">
        <is>
          <t>google</t>
        </is>
      </c>
      <c r="D1958" t="n">
        <v>19215</v>
      </c>
      <c r="E1958" t="n">
        <v>4003</v>
      </c>
      <c r="F1958" t="n">
        <v>212</v>
      </c>
      <c r="G1958" t="n">
        <v>3</v>
      </c>
      <c r="H1958" t="n">
        <v>2</v>
      </c>
      <c r="I1958" t="n">
        <v>0</v>
      </c>
      <c r="J1958" t="n">
        <v>0</v>
      </c>
    </row>
    <row r="1959">
      <c r="A1959" s="5" t="n">
        <v>46196</v>
      </c>
      <c r="B1959" t="inlineStr">
        <is>
          <t>linkedin_ceo_abm</t>
        </is>
      </c>
      <c r="C1959" t="inlineStr">
        <is>
          <t>linkedin</t>
        </is>
      </c>
      <c r="D1959" t="n">
        <v>27171</v>
      </c>
      <c r="E1959" t="n">
        <v>5225</v>
      </c>
      <c r="F1959" t="n">
        <v>30</v>
      </c>
      <c r="G1959" t="n">
        <v>2</v>
      </c>
      <c r="H1959" t="n">
        <v>0</v>
      </c>
      <c r="I1959" t="n">
        <v>0</v>
      </c>
      <c r="J1959" t="n">
        <v>0</v>
      </c>
    </row>
    <row r="1960">
      <c r="A1960" s="5" t="n">
        <v>46196</v>
      </c>
      <c r="B1960" t="inlineStr">
        <is>
          <t>meta_prospecting_founder</t>
        </is>
      </c>
      <c r="C1960" t="inlineStr">
        <is>
          <t>meta</t>
        </is>
      </c>
      <c r="D1960" t="n">
        <v>41023</v>
      </c>
      <c r="E1960" t="n">
        <v>29302</v>
      </c>
      <c r="F1960" t="n">
        <v>288</v>
      </c>
      <c r="G1960" t="n">
        <v>7</v>
      </c>
      <c r="H1960" t="n">
        <v>2</v>
      </c>
      <c r="I1960" t="n">
        <v>2</v>
      </c>
      <c r="J1960" t="n">
        <v>0</v>
      </c>
    </row>
    <row r="1961">
      <c r="A1961" s="5" t="n">
        <v>46196</v>
      </c>
      <c r="B1961" t="inlineStr">
        <is>
          <t>meta_retargeting_webinar</t>
        </is>
      </c>
      <c r="C1961" t="inlineStr">
        <is>
          <t>meta</t>
        </is>
      </c>
      <c r="D1961" t="n">
        <v>10126</v>
      </c>
      <c r="E1961" t="n">
        <v>7232</v>
      </c>
      <c r="F1961" t="n">
        <v>69</v>
      </c>
      <c r="G1961" t="n">
        <v>6</v>
      </c>
      <c r="H1961" t="n">
        <v>0</v>
      </c>
      <c r="I1961" t="n">
        <v>0</v>
      </c>
      <c r="J1961" t="n">
        <v>0</v>
      </c>
    </row>
    <row r="1962">
      <c r="A1962" s="5" t="n">
        <v>46197</v>
      </c>
      <c r="B1962" t="inlineStr">
        <is>
          <t>google_brand_search</t>
        </is>
      </c>
      <c r="C1962" t="inlineStr">
        <is>
          <t>google</t>
        </is>
      </c>
      <c r="D1962" t="n">
        <v>6849</v>
      </c>
      <c r="E1962" t="n">
        <v>1426</v>
      </c>
      <c r="F1962" t="n">
        <v>75</v>
      </c>
      <c r="G1962" t="n">
        <v>5</v>
      </c>
      <c r="H1962" t="n">
        <v>0</v>
      </c>
      <c r="I1962" t="n">
        <v>1</v>
      </c>
      <c r="J1962" t="n">
        <v>0</v>
      </c>
    </row>
    <row r="1963">
      <c r="A1963" s="5" t="n">
        <v>46197</v>
      </c>
      <c r="B1963" t="inlineStr">
        <is>
          <t>google_nonbrand_growth</t>
        </is>
      </c>
      <c r="C1963" t="inlineStr">
        <is>
          <t>google</t>
        </is>
      </c>
      <c r="D1963" t="n">
        <v>17738</v>
      </c>
      <c r="E1963" t="n">
        <v>3695</v>
      </c>
      <c r="F1963" t="n">
        <v>197</v>
      </c>
      <c r="G1963" t="n">
        <v>5</v>
      </c>
      <c r="H1963" t="n">
        <v>0</v>
      </c>
      <c r="I1963" t="n">
        <v>0</v>
      </c>
      <c r="J1963" t="n">
        <v>0</v>
      </c>
    </row>
    <row r="1964">
      <c r="A1964" s="5" t="n">
        <v>46197</v>
      </c>
      <c r="B1964" t="inlineStr">
        <is>
          <t>linkedin_ceo_abm</t>
        </is>
      </c>
      <c r="C1964" t="inlineStr">
        <is>
          <t>linkedin</t>
        </is>
      </c>
      <c r="D1964" t="n">
        <v>23051</v>
      </c>
      <c r="E1964" t="n">
        <v>4432</v>
      </c>
      <c r="F1964" t="n">
        <v>29</v>
      </c>
      <c r="G1964" t="n">
        <v>2</v>
      </c>
      <c r="H1964" t="n">
        <v>1</v>
      </c>
      <c r="I1964" t="n">
        <v>0</v>
      </c>
      <c r="J1964" t="n">
        <v>0</v>
      </c>
    </row>
    <row r="1965">
      <c r="A1965" s="5" t="n">
        <v>46197</v>
      </c>
      <c r="B1965" t="inlineStr">
        <is>
          <t>meta_prospecting_founder</t>
        </is>
      </c>
      <c r="C1965" t="inlineStr">
        <is>
          <t>meta</t>
        </is>
      </c>
      <c r="D1965" t="n">
        <v>35730</v>
      </c>
      <c r="E1965" t="n">
        <v>25521</v>
      </c>
      <c r="F1965" t="n">
        <v>280</v>
      </c>
      <c r="G1965" t="n">
        <v>10</v>
      </c>
      <c r="H1965" t="n">
        <v>3</v>
      </c>
      <c r="I1965" t="n">
        <v>0</v>
      </c>
      <c r="J1965" t="n">
        <v>0</v>
      </c>
    </row>
    <row r="1966">
      <c r="A1966" s="5" t="n">
        <v>46197</v>
      </c>
      <c r="B1966" t="inlineStr">
        <is>
          <t>meta_retargeting_webinar</t>
        </is>
      </c>
      <c r="C1966" t="inlineStr">
        <is>
          <t>meta</t>
        </is>
      </c>
      <c r="D1966" t="n">
        <v>8644</v>
      </c>
      <c r="E1966" t="n">
        <v>6174</v>
      </c>
      <c r="F1966" t="n">
        <v>70</v>
      </c>
      <c r="G1966" t="n">
        <v>1</v>
      </c>
      <c r="H1966" t="n">
        <v>1</v>
      </c>
      <c r="I1966" t="n">
        <v>0</v>
      </c>
      <c r="J1966" t="n">
        <v>0</v>
      </c>
    </row>
    <row r="1967">
      <c r="A1967" s="5" t="n">
        <v>46198</v>
      </c>
      <c r="B1967" t="inlineStr">
        <is>
          <t>google_brand_search</t>
        </is>
      </c>
      <c r="C1967" t="inlineStr">
        <is>
          <t>google</t>
        </is>
      </c>
      <c r="D1967" t="n">
        <v>6717</v>
      </c>
      <c r="E1967" t="n">
        <v>1399</v>
      </c>
      <c r="F1967" t="n">
        <v>77</v>
      </c>
      <c r="G1967" t="n">
        <v>4</v>
      </c>
      <c r="H1967" t="n">
        <v>4</v>
      </c>
      <c r="I1967" t="n">
        <v>1</v>
      </c>
      <c r="J1967" t="n">
        <v>0</v>
      </c>
    </row>
    <row r="1968">
      <c r="A1968" s="5" t="n">
        <v>46198</v>
      </c>
      <c r="B1968" t="inlineStr">
        <is>
          <t>google_nonbrand_growth</t>
        </is>
      </c>
      <c r="C1968" t="inlineStr">
        <is>
          <t>google</t>
        </is>
      </c>
      <c r="D1968" t="n">
        <v>19631</v>
      </c>
      <c r="E1968" t="n">
        <v>4089</v>
      </c>
      <c r="F1968" t="n">
        <v>201</v>
      </c>
      <c r="G1968" t="n">
        <v>2</v>
      </c>
      <c r="H1968" t="n">
        <v>1</v>
      </c>
      <c r="I1968" t="n">
        <v>0</v>
      </c>
      <c r="J1968" t="n">
        <v>0</v>
      </c>
    </row>
    <row r="1969">
      <c r="A1969" s="5" t="n">
        <v>46198</v>
      </c>
      <c r="B1969" t="inlineStr">
        <is>
          <t>linkedin_ceo_abm</t>
        </is>
      </c>
      <c r="C1969" t="inlineStr">
        <is>
          <t>linkedin</t>
        </is>
      </c>
      <c r="D1969" t="n">
        <v>25670</v>
      </c>
      <c r="E1969" t="n">
        <v>4936</v>
      </c>
      <c r="F1969" t="n">
        <v>35</v>
      </c>
      <c r="G1969" t="n">
        <v>3</v>
      </c>
      <c r="H1969" t="n">
        <v>1</v>
      </c>
      <c r="I1969" t="n">
        <v>0</v>
      </c>
      <c r="J1969" t="n">
        <v>0</v>
      </c>
    </row>
    <row r="1970">
      <c r="A1970" s="5" t="n">
        <v>46198</v>
      </c>
      <c r="B1970" t="inlineStr">
        <is>
          <t>meta_prospecting_founder</t>
        </is>
      </c>
      <c r="C1970" t="inlineStr">
        <is>
          <t>meta</t>
        </is>
      </c>
      <c r="D1970" t="n">
        <v>40123</v>
      </c>
      <c r="E1970" t="n">
        <v>28659</v>
      </c>
      <c r="F1970" t="n">
        <v>284</v>
      </c>
      <c r="G1970" t="n">
        <v>22</v>
      </c>
      <c r="H1970" t="n">
        <v>0</v>
      </c>
      <c r="I1970" t="n">
        <v>1</v>
      </c>
      <c r="J1970" t="n">
        <v>0</v>
      </c>
    </row>
    <row r="1971">
      <c r="A1971" s="5" t="n">
        <v>46198</v>
      </c>
      <c r="B1971" t="inlineStr">
        <is>
          <t>meta_retargeting_webinar</t>
        </is>
      </c>
      <c r="C1971" t="inlineStr">
        <is>
          <t>meta</t>
        </is>
      </c>
      <c r="D1971" t="n">
        <v>8415</v>
      </c>
      <c r="E1971" t="n">
        <v>6010</v>
      </c>
      <c r="F1971" t="n">
        <v>67</v>
      </c>
      <c r="G1971" t="n">
        <v>3</v>
      </c>
      <c r="H1971" t="n">
        <v>1</v>
      </c>
      <c r="I1971" t="n">
        <v>0</v>
      </c>
      <c r="J1971" t="n">
        <v>0</v>
      </c>
    </row>
    <row r="1972">
      <c r="A1972" s="5" t="n">
        <v>46199</v>
      </c>
      <c r="B1972" t="inlineStr">
        <is>
          <t>google_brand_search</t>
        </is>
      </c>
      <c r="C1972" t="inlineStr">
        <is>
          <t>google</t>
        </is>
      </c>
      <c r="D1972" t="n">
        <v>6237</v>
      </c>
      <c r="E1972" t="n">
        <v>1299</v>
      </c>
      <c r="F1972" t="n">
        <v>61</v>
      </c>
      <c r="G1972" t="n">
        <v>1</v>
      </c>
      <c r="H1972" t="n">
        <v>1</v>
      </c>
      <c r="I1972" t="n">
        <v>1</v>
      </c>
      <c r="J1972" t="n">
        <v>0</v>
      </c>
    </row>
    <row r="1973">
      <c r="A1973" s="5" t="n">
        <v>46199</v>
      </c>
      <c r="B1973" t="inlineStr">
        <is>
          <t>google_nonbrand_growth</t>
        </is>
      </c>
      <c r="C1973" t="inlineStr">
        <is>
          <t>google</t>
        </is>
      </c>
      <c r="D1973" t="n">
        <v>19147</v>
      </c>
      <c r="E1973" t="n">
        <v>3988</v>
      </c>
      <c r="F1973" t="n">
        <v>183</v>
      </c>
      <c r="G1973" t="n">
        <v>3</v>
      </c>
      <c r="H1973" t="n">
        <v>1</v>
      </c>
      <c r="I1973" t="n">
        <v>0</v>
      </c>
      <c r="J1973" t="n">
        <v>0</v>
      </c>
    </row>
    <row r="1974">
      <c r="A1974" s="5" t="n">
        <v>46199</v>
      </c>
      <c r="B1974" t="inlineStr">
        <is>
          <t>linkedin_ceo_abm</t>
        </is>
      </c>
      <c r="C1974" t="inlineStr">
        <is>
          <t>linkedin</t>
        </is>
      </c>
      <c r="D1974" t="n">
        <v>23295</v>
      </c>
      <c r="E1974" t="n">
        <v>4479</v>
      </c>
      <c r="F1974" t="n">
        <v>32</v>
      </c>
      <c r="G1974" t="n">
        <v>0</v>
      </c>
      <c r="H1974" t="n">
        <v>2</v>
      </c>
      <c r="I1974" t="n">
        <v>1</v>
      </c>
      <c r="J1974" t="n">
        <v>1</v>
      </c>
    </row>
    <row r="1975">
      <c r="A1975" s="5" t="n">
        <v>46199</v>
      </c>
      <c r="B1975" t="inlineStr">
        <is>
          <t>meta_prospecting_founder</t>
        </is>
      </c>
      <c r="C1975" t="inlineStr">
        <is>
          <t>meta</t>
        </is>
      </c>
      <c r="D1975" t="n">
        <v>40380</v>
      </c>
      <c r="E1975" t="n">
        <v>28842</v>
      </c>
      <c r="F1975" t="n">
        <v>337</v>
      </c>
      <c r="G1975" t="n">
        <v>12</v>
      </c>
      <c r="H1975" t="n">
        <v>3</v>
      </c>
      <c r="I1975" t="n">
        <v>0</v>
      </c>
      <c r="J1975" t="n">
        <v>0</v>
      </c>
    </row>
    <row r="1976">
      <c r="A1976" s="5" t="n">
        <v>46199</v>
      </c>
      <c r="B1976" t="inlineStr">
        <is>
          <t>meta_retargeting_webinar</t>
        </is>
      </c>
      <c r="C1976" t="inlineStr">
        <is>
          <t>meta</t>
        </is>
      </c>
      <c r="D1976" t="n">
        <v>9884</v>
      </c>
      <c r="E1976" t="n">
        <v>7060</v>
      </c>
      <c r="F1976" t="n">
        <v>66</v>
      </c>
      <c r="G1976" t="n">
        <v>4</v>
      </c>
      <c r="H1976" t="n">
        <v>0</v>
      </c>
      <c r="I1976" t="n">
        <v>2</v>
      </c>
      <c r="J1976" t="n">
        <v>0</v>
      </c>
    </row>
    <row r="1977">
      <c r="A1977" s="5" t="n">
        <v>46200</v>
      </c>
      <c r="B1977" t="inlineStr">
        <is>
          <t>google_brand_search</t>
        </is>
      </c>
      <c r="C1977" t="inlineStr">
        <is>
          <t>google</t>
        </is>
      </c>
      <c r="D1977" t="n">
        <v>6475</v>
      </c>
      <c r="E1977" t="n">
        <v>1348</v>
      </c>
      <c r="F1977" t="n">
        <v>61</v>
      </c>
      <c r="G1977" t="n">
        <v>1</v>
      </c>
      <c r="H1977" t="n">
        <v>1</v>
      </c>
      <c r="I1977" t="n">
        <v>1</v>
      </c>
      <c r="J1977" t="n">
        <v>1</v>
      </c>
    </row>
    <row r="1978">
      <c r="A1978" s="5" t="n">
        <v>46200</v>
      </c>
      <c r="B1978" t="inlineStr">
        <is>
          <t>google_nonbrand_growth</t>
        </is>
      </c>
      <c r="C1978" t="inlineStr">
        <is>
          <t>google</t>
        </is>
      </c>
      <c r="D1978" t="n">
        <v>20356</v>
      </c>
      <c r="E1978" t="n">
        <v>4240</v>
      </c>
      <c r="F1978" t="n">
        <v>208</v>
      </c>
      <c r="G1978" t="n">
        <v>1</v>
      </c>
      <c r="H1978" t="n">
        <v>0</v>
      </c>
      <c r="I1978" t="n">
        <v>0</v>
      </c>
      <c r="J1978" t="n">
        <v>0</v>
      </c>
    </row>
    <row r="1979">
      <c r="A1979" s="5" t="n">
        <v>46200</v>
      </c>
      <c r="B1979" t="inlineStr">
        <is>
          <t>linkedin_ceo_abm</t>
        </is>
      </c>
      <c r="C1979" t="inlineStr">
        <is>
          <t>linkedin</t>
        </is>
      </c>
      <c r="D1979" t="n">
        <v>25353</v>
      </c>
      <c r="E1979" t="n">
        <v>4875</v>
      </c>
      <c r="F1979" t="n">
        <v>31</v>
      </c>
      <c r="G1979" t="n">
        <v>1</v>
      </c>
      <c r="H1979" t="n">
        <v>0</v>
      </c>
      <c r="I1979" t="n">
        <v>1</v>
      </c>
      <c r="J1979" t="n">
        <v>0</v>
      </c>
    </row>
    <row r="1980">
      <c r="A1980" s="5" t="n">
        <v>46200</v>
      </c>
      <c r="B1980" t="inlineStr">
        <is>
          <t>meta_prospecting_founder</t>
        </is>
      </c>
      <c r="C1980" t="inlineStr">
        <is>
          <t>meta</t>
        </is>
      </c>
      <c r="D1980" t="n">
        <v>39984</v>
      </c>
      <c r="E1980" t="n">
        <v>28560</v>
      </c>
      <c r="F1980" t="n">
        <v>343</v>
      </c>
      <c r="G1980" t="n">
        <v>7</v>
      </c>
      <c r="H1980" t="n">
        <v>3</v>
      </c>
      <c r="I1980" t="n">
        <v>0</v>
      </c>
      <c r="J1980" t="n">
        <v>0</v>
      </c>
    </row>
    <row r="1981">
      <c r="A1981" s="5" t="n">
        <v>46200</v>
      </c>
      <c r="B1981" t="inlineStr">
        <is>
          <t>meta_retargeting_webinar</t>
        </is>
      </c>
      <c r="C1981" t="inlineStr">
        <is>
          <t>meta</t>
        </is>
      </c>
      <c r="D1981" t="n">
        <v>8525</v>
      </c>
      <c r="E1981" t="n">
        <v>6089</v>
      </c>
      <c r="F1981" t="n">
        <v>62</v>
      </c>
      <c r="G1981" t="n">
        <v>2</v>
      </c>
      <c r="H1981" t="n">
        <v>4</v>
      </c>
      <c r="I1981" t="n">
        <v>0</v>
      </c>
      <c r="J1981" t="n">
        <v>0</v>
      </c>
    </row>
    <row r="1982">
      <c r="A1982" s="5" t="n">
        <v>46201</v>
      </c>
      <c r="B1982" t="inlineStr">
        <is>
          <t>google_brand_search</t>
        </is>
      </c>
      <c r="C1982" t="inlineStr">
        <is>
          <t>google</t>
        </is>
      </c>
      <c r="D1982" t="n">
        <v>7092</v>
      </c>
      <c r="E1982" t="n">
        <v>1477</v>
      </c>
      <c r="F1982" t="n">
        <v>69</v>
      </c>
      <c r="G1982" t="n">
        <v>2</v>
      </c>
      <c r="H1982" t="n">
        <v>0</v>
      </c>
      <c r="I1982" t="n">
        <v>1</v>
      </c>
      <c r="J1982" t="n">
        <v>0</v>
      </c>
    </row>
    <row r="1983">
      <c r="A1983" s="5" t="n">
        <v>46201</v>
      </c>
      <c r="B1983" t="inlineStr">
        <is>
          <t>google_nonbrand_growth</t>
        </is>
      </c>
      <c r="C1983" t="inlineStr">
        <is>
          <t>google</t>
        </is>
      </c>
      <c r="D1983" t="n">
        <v>17958</v>
      </c>
      <c r="E1983" t="n">
        <v>3741</v>
      </c>
      <c r="F1983" t="n">
        <v>186</v>
      </c>
      <c r="G1983" t="n">
        <v>1</v>
      </c>
      <c r="H1983" t="n">
        <v>0</v>
      </c>
      <c r="I1983" t="n">
        <v>0</v>
      </c>
      <c r="J1983" t="n">
        <v>0</v>
      </c>
    </row>
    <row r="1984">
      <c r="A1984" s="5" t="n">
        <v>46201</v>
      </c>
      <c r="B1984" t="inlineStr">
        <is>
          <t>linkedin_ceo_abm</t>
        </is>
      </c>
      <c r="C1984" t="inlineStr">
        <is>
          <t>linkedin</t>
        </is>
      </c>
      <c r="D1984" t="n">
        <v>24213</v>
      </c>
      <c r="E1984" t="n">
        <v>4656</v>
      </c>
      <c r="F1984" t="n">
        <v>34</v>
      </c>
      <c r="G1984" t="n">
        <v>1</v>
      </c>
      <c r="H1984" t="n">
        <v>0</v>
      </c>
      <c r="I1984" t="n">
        <v>1</v>
      </c>
      <c r="J1984" t="n">
        <v>0</v>
      </c>
    </row>
    <row r="1985">
      <c r="A1985" s="5" t="n">
        <v>46201</v>
      </c>
      <c r="B1985" t="inlineStr">
        <is>
          <t>meta_prospecting_founder</t>
        </is>
      </c>
      <c r="C1985" t="inlineStr">
        <is>
          <t>meta</t>
        </is>
      </c>
      <c r="D1985" t="n">
        <v>37457</v>
      </c>
      <c r="E1985" t="n">
        <v>26755</v>
      </c>
      <c r="F1985" t="n">
        <v>295</v>
      </c>
      <c r="G1985" t="n">
        <v>7</v>
      </c>
      <c r="H1985" t="n">
        <v>1</v>
      </c>
      <c r="I1985" t="n">
        <v>1</v>
      </c>
      <c r="J1985" t="n">
        <v>0</v>
      </c>
    </row>
    <row r="1986">
      <c r="A1986" s="5" t="n">
        <v>46201</v>
      </c>
      <c r="B1986" t="inlineStr">
        <is>
          <t>meta_retargeting_webinar</t>
        </is>
      </c>
      <c r="C1986" t="inlineStr">
        <is>
          <t>meta</t>
        </is>
      </c>
      <c r="D1986" t="n">
        <v>9434</v>
      </c>
      <c r="E1986" t="n">
        <v>6738</v>
      </c>
      <c r="F1986" t="n">
        <v>71</v>
      </c>
      <c r="G1986" t="n">
        <v>5</v>
      </c>
      <c r="H1986" t="n">
        <v>0</v>
      </c>
      <c r="I1986" t="n">
        <v>0</v>
      </c>
      <c r="J1986" t="n">
        <v>0</v>
      </c>
    </row>
    <row r="1987">
      <c r="A1987" s="5" t="n">
        <v>46202</v>
      </c>
      <c r="B1987" t="inlineStr">
        <is>
          <t>google_brand_search</t>
        </is>
      </c>
      <c r="C1987" t="inlineStr">
        <is>
          <t>google</t>
        </is>
      </c>
      <c r="D1987" t="n">
        <v>6357</v>
      </c>
      <c r="E1987" t="n">
        <v>1324</v>
      </c>
      <c r="F1987" t="n">
        <v>68</v>
      </c>
      <c r="G1987" t="n">
        <v>4</v>
      </c>
      <c r="H1987" t="n">
        <v>0</v>
      </c>
      <c r="I1987" t="n">
        <v>1</v>
      </c>
      <c r="J1987" t="n">
        <v>0</v>
      </c>
    </row>
    <row r="1988">
      <c r="A1988" s="5" t="n">
        <v>46202</v>
      </c>
      <c r="B1988" t="inlineStr">
        <is>
          <t>google_nonbrand_growth</t>
        </is>
      </c>
      <c r="C1988" t="inlineStr">
        <is>
          <t>google</t>
        </is>
      </c>
      <c r="D1988" t="n">
        <v>18382</v>
      </c>
      <c r="E1988" t="n">
        <v>3829</v>
      </c>
      <c r="F1988" t="n">
        <v>209</v>
      </c>
      <c r="G1988" t="n">
        <v>2</v>
      </c>
      <c r="H1988" t="n">
        <v>0</v>
      </c>
      <c r="I1988" t="n">
        <v>0</v>
      </c>
      <c r="J1988" t="n">
        <v>0</v>
      </c>
    </row>
    <row r="1989">
      <c r="A1989" s="5" t="n">
        <v>46202</v>
      </c>
      <c r="B1989" t="inlineStr">
        <is>
          <t>linkedin_ceo_abm</t>
        </is>
      </c>
      <c r="C1989" t="inlineStr">
        <is>
          <t>linkedin</t>
        </is>
      </c>
      <c r="D1989" t="n">
        <v>26448</v>
      </c>
      <c r="E1989" t="n">
        <v>5086</v>
      </c>
      <c r="F1989" t="n">
        <v>28</v>
      </c>
      <c r="G1989" t="n">
        <v>0</v>
      </c>
      <c r="H1989" t="n">
        <v>0</v>
      </c>
      <c r="I1989" t="n">
        <v>0</v>
      </c>
      <c r="J1989" t="n">
        <v>1</v>
      </c>
    </row>
    <row r="1990">
      <c r="A1990" s="5" t="n">
        <v>46202</v>
      </c>
      <c r="B1990" t="inlineStr">
        <is>
          <t>meta_prospecting_founder</t>
        </is>
      </c>
      <c r="C1990" t="inlineStr">
        <is>
          <t>meta</t>
        </is>
      </c>
      <c r="D1990" t="n">
        <v>35315</v>
      </c>
      <c r="E1990" t="n">
        <v>25224</v>
      </c>
      <c r="F1990" t="n">
        <v>280</v>
      </c>
      <c r="G1990" t="n">
        <v>6</v>
      </c>
      <c r="H1990" t="n">
        <v>4</v>
      </c>
      <c r="I1990" t="n">
        <v>0</v>
      </c>
      <c r="J1990" t="n">
        <v>0</v>
      </c>
    </row>
    <row r="1991">
      <c r="A1991" s="5" t="n">
        <v>46202</v>
      </c>
      <c r="B1991" t="inlineStr">
        <is>
          <t>meta_retargeting_webinar</t>
        </is>
      </c>
      <c r="C1991" t="inlineStr">
        <is>
          <t>meta</t>
        </is>
      </c>
      <c r="D1991" t="n">
        <v>9236</v>
      </c>
      <c r="E1991" t="n">
        <v>6597</v>
      </c>
      <c r="F1991" t="n">
        <v>76</v>
      </c>
      <c r="G1991" t="n">
        <v>7</v>
      </c>
      <c r="H1991" t="n">
        <v>0</v>
      </c>
      <c r="I1991" t="n">
        <v>1</v>
      </c>
      <c r="J1991" t="n">
        <v>0</v>
      </c>
    </row>
    <row r="1992">
      <c r="A1992" s="5" t="n">
        <v>46203</v>
      </c>
      <c r="B1992" t="inlineStr">
        <is>
          <t>google_brand_search</t>
        </is>
      </c>
      <c r="C1992" t="inlineStr">
        <is>
          <t>google</t>
        </is>
      </c>
      <c r="D1992" t="n">
        <v>6437</v>
      </c>
      <c r="E1992" t="n">
        <v>1341</v>
      </c>
      <c r="F1992" t="n">
        <v>79</v>
      </c>
      <c r="G1992" t="n">
        <v>2</v>
      </c>
      <c r="H1992" t="n">
        <v>2</v>
      </c>
      <c r="I1992" t="n">
        <v>1</v>
      </c>
      <c r="J1992" t="n">
        <v>0</v>
      </c>
    </row>
    <row r="1993">
      <c r="A1993" s="5" t="n">
        <v>46203</v>
      </c>
      <c r="B1993" t="inlineStr">
        <is>
          <t>google_nonbrand_growth</t>
        </is>
      </c>
      <c r="C1993" t="inlineStr">
        <is>
          <t>google</t>
        </is>
      </c>
      <c r="D1993" t="n">
        <v>17798</v>
      </c>
      <c r="E1993" t="n">
        <v>3707</v>
      </c>
      <c r="F1993" t="n">
        <v>196</v>
      </c>
      <c r="G1993" t="n">
        <v>1</v>
      </c>
      <c r="H1993" t="n">
        <v>0</v>
      </c>
      <c r="I1993" t="n">
        <v>1</v>
      </c>
      <c r="J1993" t="n">
        <v>0</v>
      </c>
    </row>
    <row r="1994">
      <c r="A1994" s="5" t="n">
        <v>46203</v>
      </c>
      <c r="B1994" t="inlineStr">
        <is>
          <t>linkedin_ceo_abm</t>
        </is>
      </c>
      <c r="C1994" t="inlineStr">
        <is>
          <t>linkedin</t>
        </is>
      </c>
      <c r="D1994" t="n">
        <v>23668</v>
      </c>
      <c r="E1994" t="n">
        <v>4551</v>
      </c>
      <c r="F1994" t="n">
        <v>32</v>
      </c>
      <c r="G1994" t="n">
        <v>2</v>
      </c>
      <c r="H1994" t="n">
        <v>0</v>
      </c>
      <c r="I1994" t="n">
        <v>0</v>
      </c>
      <c r="J1994" t="n">
        <v>0</v>
      </c>
    </row>
    <row r="1995">
      <c r="A1995" s="5" t="n">
        <v>46203</v>
      </c>
      <c r="B1995" t="inlineStr">
        <is>
          <t>meta_prospecting_founder</t>
        </is>
      </c>
      <c r="C1995" t="inlineStr">
        <is>
          <t>meta</t>
        </is>
      </c>
      <c r="D1995" t="n">
        <v>38261</v>
      </c>
      <c r="E1995" t="n">
        <v>27329</v>
      </c>
      <c r="F1995" t="n">
        <v>342</v>
      </c>
      <c r="G1995" t="n">
        <v>13</v>
      </c>
      <c r="H1995" t="n">
        <v>4</v>
      </c>
      <c r="I1995" t="n">
        <v>1</v>
      </c>
      <c r="J1995" t="n">
        <v>0</v>
      </c>
    </row>
    <row r="1996">
      <c r="A1996" s="5" t="n">
        <v>46203</v>
      </c>
      <c r="B1996" t="inlineStr">
        <is>
          <t>meta_retargeting_webinar</t>
        </is>
      </c>
      <c r="C1996" t="inlineStr">
        <is>
          <t>meta</t>
        </is>
      </c>
      <c r="D1996" t="n">
        <v>9091</v>
      </c>
      <c r="E1996" t="n">
        <v>6493</v>
      </c>
      <c r="F1996" t="n">
        <v>71</v>
      </c>
      <c r="G1996" t="n">
        <v>4</v>
      </c>
      <c r="H1996" t="n">
        <v>2</v>
      </c>
      <c r="I1996" t="n">
        <v>1</v>
      </c>
      <c r="J1996" t="n">
        <v>0</v>
      </c>
    </row>
    <row r="1997">
      <c r="A1997" s="5" t="n">
        <v>46204</v>
      </c>
      <c r="B1997" t="inlineStr">
        <is>
          <t>google_brand_search</t>
        </is>
      </c>
      <c r="C1997" t="inlineStr">
        <is>
          <t>google</t>
        </is>
      </c>
      <c r="D1997" t="n">
        <v>6334</v>
      </c>
      <c r="E1997" t="n">
        <v>1319</v>
      </c>
      <c r="F1997" t="n">
        <v>74</v>
      </c>
      <c r="G1997" t="n">
        <v>4</v>
      </c>
      <c r="H1997" t="n">
        <v>1</v>
      </c>
      <c r="I1997" t="n">
        <v>1</v>
      </c>
      <c r="J1997" t="n">
        <v>0</v>
      </c>
    </row>
    <row r="1998">
      <c r="A1998" s="5" t="n">
        <v>46204</v>
      </c>
      <c r="B1998" t="inlineStr">
        <is>
          <t>google_nonbrand_growth</t>
        </is>
      </c>
      <c r="C1998" t="inlineStr">
        <is>
          <t>google</t>
        </is>
      </c>
      <c r="D1998" t="n">
        <v>17673</v>
      </c>
      <c r="E1998" t="n">
        <v>3681</v>
      </c>
      <c r="F1998" t="n">
        <v>200</v>
      </c>
      <c r="G1998" t="n">
        <v>1</v>
      </c>
      <c r="H1998" t="n">
        <v>0</v>
      </c>
      <c r="I1998" t="n">
        <v>0</v>
      </c>
      <c r="J1998" t="n">
        <v>0</v>
      </c>
    </row>
    <row r="1999">
      <c r="A1999" s="5" t="n">
        <v>46204</v>
      </c>
      <c r="B1999" t="inlineStr">
        <is>
          <t>linkedin_ceo_abm</t>
        </is>
      </c>
      <c r="C1999" t="inlineStr">
        <is>
          <t>linkedin</t>
        </is>
      </c>
      <c r="D1999" t="n">
        <v>23444</v>
      </c>
      <c r="E1999" t="n">
        <v>4508</v>
      </c>
      <c r="F1999" t="n">
        <v>27</v>
      </c>
      <c r="G1999" t="n">
        <v>5</v>
      </c>
      <c r="H1999" t="n">
        <v>1</v>
      </c>
      <c r="I1999" t="n">
        <v>0</v>
      </c>
      <c r="J1999" t="n">
        <v>0</v>
      </c>
    </row>
    <row r="2000">
      <c r="A2000" s="5" t="n">
        <v>46204</v>
      </c>
      <c r="B2000" t="inlineStr">
        <is>
          <t>meta_prospecting_founder</t>
        </is>
      </c>
      <c r="C2000" t="inlineStr">
        <is>
          <t>meta</t>
        </is>
      </c>
      <c r="D2000" t="n">
        <v>38143</v>
      </c>
      <c r="E2000" t="n">
        <v>27245</v>
      </c>
      <c r="F2000" t="n">
        <v>300</v>
      </c>
      <c r="G2000" t="n">
        <v>13</v>
      </c>
      <c r="H2000" t="n">
        <v>2</v>
      </c>
      <c r="I2000" t="n">
        <v>0</v>
      </c>
      <c r="J2000" t="n">
        <v>1</v>
      </c>
    </row>
    <row r="2001">
      <c r="A2001" s="5" t="n">
        <v>46204</v>
      </c>
      <c r="B2001" t="inlineStr">
        <is>
          <t>meta_retargeting_webinar</t>
        </is>
      </c>
      <c r="C2001" t="inlineStr">
        <is>
          <t>meta</t>
        </is>
      </c>
      <c r="D2001" t="n">
        <v>10244</v>
      </c>
      <c r="E2001" t="n">
        <v>7317</v>
      </c>
      <c r="F2001" t="n">
        <v>87</v>
      </c>
      <c r="G2001" t="n">
        <v>4</v>
      </c>
      <c r="H2001" t="n">
        <v>3</v>
      </c>
      <c r="I2001" t="n">
        <v>0</v>
      </c>
      <c r="J2001" t="n">
        <v>0</v>
      </c>
    </row>
    <row r="2002">
      <c r="A2002" s="5" t="n">
        <v>46205</v>
      </c>
      <c r="B2002" t="inlineStr">
        <is>
          <t>google_brand_search</t>
        </is>
      </c>
      <c r="C2002" t="inlineStr">
        <is>
          <t>google</t>
        </is>
      </c>
      <c r="D2002" t="n">
        <v>6229</v>
      </c>
      <c r="E2002" t="n">
        <v>1297</v>
      </c>
      <c r="F2002" t="n">
        <v>71</v>
      </c>
      <c r="G2002" t="n">
        <v>2</v>
      </c>
      <c r="H2002" t="n">
        <v>0</v>
      </c>
      <c r="I2002" t="n">
        <v>0</v>
      </c>
      <c r="J2002" t="n">
        <v>1</v>
      </c>
    </row>
    <row r="2003">
      <c r="A2003" s="5" t="n">
        <v>46205</v>
      </c>
      <c r="B2003" t="inlineStr">
        <is>
          <t>google_nonbrand_growth</t>
        </is>
      </c>
      <c r="C2003" t="inlineStr">
        <is>
          <t>google</t>
        </is>
      </c>
      <c r="D2003" t="n">
        <v>19987</v>
      </c>
      <c r="E2003" t="n">
        <v>4163</v>
      </c>
      <c r="F2003" t="n">
        <v>199</v>
      </c>
      <c r="G2003" t="n">
        <v>5</v>
      </c>
      <c r="H2003" t="n">
        <v>1</v>
      </c>
      <c r="I2003" t="n">
        <v>0</v>
      </c>
      <c r="J2003" t="n">
        <v>0</v>
      </c>
    </row>
    <row r="2004">
      <c r="A2004" s="5" t="n">
        <v>46205</v>
      </c>
      <c r="B2004" t="inlineStr">
        <is>
          <t>linkedin_ceo_abm</t>
        </is>
      </c>
      <c r="C2004" t="inlineStr">
        <is>
          <t>linkedin</t>
        </is>
      </c>
      <c r="D2004" t="n">
        <v>24312</v>
      </c>
      <c r="E2004" t="n">
        <v>4675</v>
      </c>
      <c r="F2004" t="n">
        <v>34</v>
      </c>
      <c r="G2004" t="n">
        <v>2</v>
      </c>
      <c r="H2004" t="n">
        <v>3</v>
      </c>
      <c r="I2004" t="n">
        <v>1</v>
      </c>
      <c r="J2004" t="n">
        <v>0</v>
      </c>
    </row>
    <row r="2005">
      <c r="A2005" s="5" t="n">
        <v>46205</v>
      </c>
      <c r="B2005" t="inlineStr">
        <is>
          <t>meta_prospecting_founder</t>
        </is>
      </c>
      <c r="C2005" t="inlineStr">
        <is>
          <t>meta</t>
        </is>
      </c>
      <c r="D2005" t="n">
        <v>42331</v>
      </c>
      <c r="E2005" t="n">
        <v>30236</v>
      </c>
      <c r="F2005" t="n">
        <v>323</v>
      </c>
      <c r="G2005" t="n">
        <v>8</v>
      </c>
      <c r="H2005" t="n">
        <v>3</v>
      </c>
      <c r="I2005" t="n">
        <v>2</v>
      </c>
      <c r="J2005" t="n">
        <v>0</v>
      </c>
    </row>
    <row r="2006">
      <c r="A2006" s="5" t="n">
        <v>46205</v>
      </c>
      <c r="B2006" t="inlineStr">
        <is>
          <t>meta_retargeting_webinar</t>
        </is>
      </c>
      <c r="C2006" t="inlineStr">
        <is>
          <t>meta</t>
        </is>
      </c>
      <c r="D2006" t="n">
        <v>8509</v>
      </c>
      <c r="E2006" t="n">
        <v>6077</v>
      </c>
      <c r="F2006" t="n">
        <v>69</v>
      </c>
      <c r="G2006" t="n">
        <v>2</v>
      </c>
      <c r="H2006" t="n">
        <v>3</v>
      </c>
      <c r="I2006" t="n">
        <v>1</v>
      </c>
      <c r="J2006" t="n">
        <v>0</v>
      </c>
    </row>
    <row r="2007">
      <c r="A2007" s="5" t="n">
        <v>46206</v>
      </c>
      <c r="B2007" t="inlineStr">
        <is>
          <t>google_brand_search</t>
        </is>
      </c>
      <c r="C2007" t="inlineStr">
        <is>
          <t>google</t>
        </is>
      </c>
      <c r="D2007" t="n">
        <v>6774</v>
      </c>
      <c r="E2007" t="n">
        <v>1411</v>
      </c>
      <c r="F2007" t="n">
        <v>82</v>
      </c>
      <c r="G2007" t="n">
        <v>4</v>
      </c>
      <c r="H2007" t="n">
        <v>1</v>
      </c>
      <c r="I2007" t="n">
        <v>0</v>
      </c>
      <c r="J2007" t="n">
        <v>0</v>
      </c>
    </row>
    <row r="2008">
      <c r="A2008" s="5" t="n">
        <v>46206</v>
      </c>
      <c r="B2008" t="inlineStr">
        <is>
          <t>google_nonbrand_growth</t>
        </is>
      </c>
      <c r="C2008" t="inlineStr">
        <is>
          <t>google</t>
        </is>
      </c>
      <c r="D2008" t="n">
        <v>20506</v>
      </c>
      <c r="E2008" t="n">
        <v>4272</v>
      </c>
      <c r="F2008" t="n">
        <v>247</v>
      </c>
      <c r="G2008" t="n">
        <v>3</v>
      </c>
      <c r="H2008" t="n">
        <v>1</v>
      </c>
      <c r="I2008" t="n">
        <v>0</v>
      </c>
      <c r="J2008" t="n">
        <v>0</v>
      </c>
    </row>
    <row r="2009">
      <c r="A2009" s="5" t="n">
        <v>46206</v>
      </c>
      <c r="B2009" t="inlineStr">
        <is>
          <t>linkedin_ceo_abm</t>
        </is>
      </c>
      <c r="C2009" t="inlineStr">
        <is>
          <t>linkedin</t>
        </is>
      </c>
      <c r="D2009" t="n">
        <v>24218</v>
      </c>
      <c r="E2009" t="n">
        <v>4657</v>
      </c>
      <c r="F2009" t="n">
        <v>31</v>
      </c>
      <c r="G2009" t="n">
        <v>2</v>
      </c>
      <c r="H2009" t="n">
        <v>2</v>
      </c>
      <c r="I2009" t="n">
        <v>1</v>
      </c>
      <c r="J2009" t="n">
        <v>0</v>
      </c>
    </row>
    <row r="2010">
      <c r="A2010" s="5" t="n">
        <v>46206</v>
      </c>
      <c r="B2010" t="inlineStr">
        <is>
          <t>meta_prospecting_founder</t>
        </is>
      </c>
      <c r="C2010" t="inlineStr">
        <is>
          <t>meta</t>
        </is>
      </c>
      <c r="D2010" t="n">
        <v>37647</v>
      </c>
      <c r="E2010" t="n">
        <v>26890</v>
      </c>
      <c r="F2010" t="n">
        <v>282</v>
      </c>
      <c r="G2010" t="n">
        <v>11</v>
      </c>
      <c r="H2010" t="n">
        <v>3</v>
      </c>
      <c r="I2010" t="n">
        <v>1</v>
      </c>
      <c r="J2010" t="n">
        <v>0</v>
      </c>
    </row>
    <row r="2011">
      <c r="A2011" s="5" t="n">
        <v>46206</v>
      </c>
      <c r="B2011" t="inlineStr">
        <is>
          <t>meta_retargeting_webinar</t>
        </is>
      </c>
      <c r="C2011" t="inlineStr">
        <is>
          <t>meta</t>
        </is>
      </c>
      <c r="D2011" t="n">
        <v>8968</v>
      </c>
      <c r="E2011" t="n">
        <v>6405</v>
      </c>
      <c r="F2011" t="n">
        <v>69</v>
      </c>
      <c r="G2011" t="n">
        <v>0</v>
      </c>
      <c r="H2011" t="n">
        <v>2</v>
      </c>
      <c r="I2011" t="n">
        <v>0</v>
      </c>
      <c r="J2011" t="n">
        <v>0</v>
      </c>
    </row>
    <row r="2012">
      <c r="A2012" s="5" t="n">
        <v>46207</v>
      </c>
      <c r="B2012" t="inlineStr">
        <is>
          <t>google_brand_search</t>
        </is>
      </c>
      <c r="C2012" t="inlineStr">
        <is>
          <t>google</t>
        </is>
      </c>
      <c r="D2012" t="n">
        <v>7457</v>
      </c>
      <c r="E2012" t="n">
        <v>1553</v>
      </c>
      <c r="F2012" t="n">
        <v>76</v>
      </c>
      <c r="G2012" t="n">
        <v>1</v>
      </c>
      <c r="H2012" t="n">
        <v>1</v>
      </c>
      <c r="I2012" t="n">
        <v>1</v>
      </c>
      <c r="J2012" t="n">
        <v>1</v>
      </c>
    </row>
    <row r="2013">
      <c r="A2013" s="5" t="n">
        <v>46207</v>
      </c>
      <c r="B2013" t="inlineStr">
        <is>
          <t>google_nonbrand_growth</t>
        </is>
      </c>
      <c r="C2013" t="inlineStr">
        <is>
          <t>google</t>
        </is>
      </c>
      <c r="D2013" t="n">
        <v>20070</v>
      </c>
      <c r="E2013" t="n">
        <v>4181</v>
      </c>
      <c r="F2013" t="n">
        <v>201</v>
      </c>
      <c r="G2013" t="n">
        <v>3</v>
      </c>
      <c r="H2013" t="n">
        <v>0</v>
      </c>
      <c r="I2013" t="n">
        <v>0</v>
      </c>
      <c r="J2013" t="n">
        <v>0</v>
      </c>
    </row>
    <row r="2014">
      <c r="A2014" s="5" t="n">
        <v>46207</v>
      </c>
      <c r="B2014" t="inlineStr">
        <is>
          <t>linkedin_ceo_abm</t>
        </is>
      </c>
      <c r="C2014" t="inlineStr">
        <is>
          <t>linkedin</t>
        </is>
      </c>
      <c r="D2014" t="n">
        <v>26519</v>
      </c>
      <c r="E2014" t="n">
        <v>5099</v>
      </c>
      <c r="F2014" t="n">
        <v>30</v>
      </c>
      <c r="G2014" t="n">
        <v>2</v>
      </c>
      <c r="H2014" t="n">
        <v>1</v>
      </c>
      <c r="I2014" t="n">
        <v>0</v>
      </c>
      <c r="J2014" t="n">
        <v>0</v>
      </c>
    </row>
    <row r="2015">
      <c r="A2015" s="5" t="n">
        <v>46207</v>
      </c>
      <c r="B2015" t="inlineStr">
        <is>
          <t>meta_prospecting_founder</t>
        </is>
      </c>
      <c r="C2015" t="inlineStr">
        <is>
          <t>meta</t>
        </is>
      </c>
      <c r="D2015" t="n">
        <v>39307</v>
      </c>
      <c r="E2015" t="n">
        <v>28076</v>
      </c>
      <c r="F2015" t="n">
        <v>300</v>
      </c>
      <c r="G2015" t="n">
        <v>8</v>
      </c>
      <c r="H2015" t="n">
        <v>0</v>
      </c>
      <c r="I2015" t="n">
        <v>0</v>
      </c>
      <c r="J2015" t="n">
        <v>1</v>
      </c>
    </row>
    <row r="2016">
      <c r="A2016" s="5" t="n">
        <v>46207</v>
      </c>
      <c r="B2016" t="inlineStr">
        <is>
          <t>meta_retargeting_webinar</t>
        </is>
      </c>
      <c r="C2016" t="inlineStr">
        <is>
          <t>meta</t>
        </is>
      </c>
      <c r="D2016" t="n">
        <v>8852</v>
      </c>
      <c r="E2016" t="n">
        <v>6322</v>
      </c>
      <c r="F2016" t="n">
        <v>77</v>
      </c>
      <c r="G2016" t="n">
        <v>2</v>
      </c>
      <c r="H2016" t="n">
        <v>1</v>
      </c>
      <c r="I2016" t="n">
        <v>1</v>
      </c>
      <c r="J2016" t="n">
        <v>0</v>
      </c>
    </row>
    <row r="2017">
      <c r="A2017" s="5" t="n">
        <v>46208</v>
      </c>
      <c r="B2017" t="inlineStr">
        <is>
          <t>google_brand_search</t>
        </is>
      </c>
      <c r="C2017" t="inlineStr">
        <is>
          <t>google</t>
        </is>
      </c>
      <c r="D2017" t="n">
        <v>6437</v>
      </c>
      <c r="E2017" t="n">
        <v>1341</v>
      </c>
      <c r="F2017" t="n">
        <v>72</v>
      </c>
      <c r="G2017" t="n">
        <v>0</v>
      </c>
      <c r="H2017" t="n">
        <v>2</v>
      </c>
      <c r="I2017" t="n">
        <v>1</v>
      </c>
      <c r="J2017" t="n">
        <v>0</v>
      </c>
    </row>
    <row r="2018">
      <c r="A2018" s="5" t="n">
        <v>46208</v>
      </c>
      <c r="B2018" t="inlineStr">
        <is>
          <t>google_nonbrand_growth</t>
        </is>
      </c>
      <c r="C2018" t="inlineStr">
        <is>
          <t>google</t>
        </is>
      </c>
      <c r="D2018" t="n">
        <v>17242</v>
      </c>
      <c r="E2018" t="n">
        <v>3592</v>
      </c>
      <c r="F2018" t="n">
        <v>208</v>
      </c>
      <c r="G2018" t="n">
        <v>1</v>
      </c>
      <c r="H2018" t="n">
        <v>0</v>
      </c>
      <c r="I2018" t="n">
        <v>0</v>
      </c>
      <c r="J2018" t="n">
        <v>0</v>
      </c>
    </row>
    <row r="2019">
      <c r="A2019" s="5" t="n">
        <v>46208</v>
      </c>
      <c r="B2019" t="inlineStr">
        <is>
          <t>linkedin_ceo_abm</t>
        </is>
      </c>
      <c r="C2019" t="inlineStr">
        <is>
          <t>linkedin</t>
        </is>
      </c>
      <c r="D2019" t="n">
        <v>23716</v>
      </c>
      <c r="E2019" t="n">
        <v>4560</v>
      </c>
      <c r="F2019" t="n">
        <v>29</v>
      </c>
      <c r="G2019" t="n">
        <v>1</v>
      </c>
      <c r="H2019" t="n">
        <v>0</v>
      </c>
      <c r="I2019" t="n">
        <v>0</v>
      </c>
      <c r="J2019" t="n">
        <v>0</v>
      </c>
    </row>
    <row r="2020">
      <c r="A2020" s="5" t="n">
        <v>46208</v>
      </c>
      <c r="B2020" t="inlineStr">
        <is>
          <t>meta_prospecting_founder</t>
        </is>
      </c>
      <c r="C2020" t="inlineStr">
        <is>
          <t>meta</t>
        </is>
      </c>
      <c r="D2020" t="n">
        <v>40047</v>
      </c>
      <c r="E2020" t="n">
        <v>28605</v>
      </c>
      <c r="F2020" t="n">
        <v>348</v>
      </c>
      <c r="G2020" t="n">
        <v>6</v>
      </c>
      <c r="H2020" t="n">
        <v>1</v>
      </c>
      <c r="I2020" t="n">
        <v>2</v>
      </c>
      <c r="J2020" t="n">
        <v>1</v>
      </c>
    </row>
    <row r="2021">
      <c r="A2021" s="5" t="n">
        <v>46208</v>
      </c>
      <c r="B2021" t="inlineStr">
        <is>
          <t>meta_retargeting_webinar</t>
        </is>
      </c>
      <c r="C2021" t="inlineStr">
        <is>
          <t>meta</t>
        </is>
      </c>
      <c r="D2021" t="n">
        <v>8634</v>
      </c>
      <c r="E2021" t="n">
        <v>6167</v>
      </c>
      <c r="F2021" t="n">
        <v>62</v>
      </c>
      <c r="G2021" t="n">
        <v>3</v>
      </c>
      <c r="H2021" t="n">
        <v>1</v>
      </c>
      <c r="I2021" t="n">
        <v>0</v>
      </c>
      <c r="J2021" t="n">
        <v>0</v>
      </c>
    </row>
    <row r="2022">
      <c r="A2022" s="5" t="n">
        <v>46209</v>
      </c>
      <c r="B2022" t="inlineStr">
        <is>
          <t>google_brand_search</t>
        </is>
      </c>
      <c r="C2022" t="inlineStr">
        <is>
          <t>google</t>
        </is>
      </c>
      <c r="D2022" t="n">
        <v>6941</v>
      </c>
      <c r="E2022" t="n">
        <v>1446</v>
      </c>
      <c r="F2022" t="n">
        <v>71</v>
      </c>
      <c r="G2022" t="n">
        <v>6</v>
      </c>
      <c r="H2022" t="n">
        <v>0</v>
      </c>
      <c r="I2022" t="n">
        <v>0</v>
      </c>
      <c r="J2022" t="n">
        <v>0</v>
      </c>
    </row>
    <row r="2023">
      <c r="A2023" s="5" t="n">
        <v>46209</v>
      </c>
      <c r="B2023" t="inlineStr">
        <is>
          <t>google_nonbrand_growth</t>
        </is>
      </c>
      <c r="C2023" t="inlineStr">
        <is>
          <t>google</t>
        </is>
      </c>
      <c r="D2023" t="n">
        <v>19983</v>
      </c>
      <c r="E2023" t="n">
        <v>4163</v>
      </c>
      <c r="F2023" t="n">
        <v>248</v>
      </c>
      <c r="G2023" t="n">
        <v>2</v>
      </c>
      <c r="H2023" t="n">
        <v>0</v>
      </c>
      <c r="I2023" t="n">
        <v>1</v>
      </c>
      <c r="J2023" t="n">
        <v>0</v>
      </c>
    </row>
    <row r="2024">
      <c r="A2024" s="5" t="n">
        <v>46209</v>
      </c>
      <c r="B2024" t="inlineStr">
        <is>
          <t>linkedin_ceo_abm</t>
        </is>
      </c>
      <c r="C2024" t="inlineStr">
        <is>
          <t>linkedin</t>
        </is>
      </c>
      <c r="D2024" t="n">
        <v>26574</v>
      </c>
      <c r="E2024" t="n">
        <v>5110</v>
      </c>
      <c r="F2024" t="n">
        <v>28</v>
      </c>
      <c r="G2024" t="n">
        <v>1</v>
      </c>
      <c r="H2024" t="n">
        <v>0</v>
      </c>
      <c r="I2024" t="n">
        <v>0</v>
      </c>
      <c r="J2024" t="n">
        <v>0</v>
      </c>
    </row>
    <row r="2025">
      <c r="A2025" s="5" t="n">
        <v>46209</v>
      </c>
      <c r="B2025" t="inlineStr">
        <is>
          <t>meta_prospecting_founder</t>
        </is>
      </c>
      <c r="C2025" t="inlineStr">
        <is>
          <t>meta</t>
        </is>
      </c>
      <c r="D2025" t="n">
        <v>36348</v>
      </c>
      <c r="E2025" t="n">
        <v>25962</v>
      </c>
      <c r="F2025" t="n">
        <v>279</v>
      </c>
      <c r="G2025" t="n">
        <v>11</v>
      </c>
      <c r="H2025" t="n">
        <v>1</v>
      </c>
      <c r="I2025" t="n">
        <v>1</v>
      </c>
      <c r="J2025" t="n">
        <v>0</v>
      </c>
    </row>
    <row r="2026">
      <c r="A2026" s="5" t="n">
        <v>46209</v>
      </c>
      <c r="B2026" t="inlineStr">
        <is>
          <t>meta_retargeting_webinar</t>
        </is>
      </c>
      <c r="C2026" t="inlineStr">
        <is>
          <t>meta</t>
        </is>
      </c>
      <c r="D2026" t="n">
        <v>9493</v>
      </c>
      <c r="E2026" t="n">
        <v>6780</v>
      </c>
      <c r="F2026" t="n">
        <v>71</v>
      </c>
      <c r="G2026" t="n">
        <v>6</v>
      </c>
      <c r="H2026" t="n">
        <v>1</v>
      </c>
      <c r="I2026" t="n">
        <v>0</v>
      </c>
      <c r="J2026" t="n">
        <v>0</v>
      </c>
    </row>
    <row r="2027">
      <c r="A2027" s="5" t="n">
        <v>46210</v>
      </c>
      <c r="B2027" t="inlineStr">
        <is>
          <t>google_brand_search</t>
        </is>
      </c>
      <c r="C2027" t="inlineStr">
        <is>
          <t>google</t>
        </is>
      </c>
      <c r="D2027" t="n">
        <v>6654</v>
      </c>
      <c r="E2027" t="n">
        <v>1386</v>
      </c>
      <c r="F2027" t="n">
        <v>62</v>
      </c>
      <c r="G2027" t="n">
        <v>5</v>
      </c>
      <c r="H2027" t="n">
        <v>4</v>
      </c>
      <c r="I2027" t="n">
        <v>0</v>
      </c>
      <c r="J2027" t="n">
        <v>1</v>
      </c>
    </row>
    <row r="2028">
      <c r="A2028" s="5" t="n">
        <v>46210</v>
      </c>
      <c r="B2028" t="inlineStr">
        <is>
          <t>google_nonbrand_growth</t>
        </is>
      </c>
      <c r="C2028" t="inlineStr">
        <is>
          <t>google</t>
        </is>
      </c>
      <c r="D2028" t="n">
        <v>17495</v>
      </c>
      <c r="E2028" t="n">
        <v>3644</v>
      </c>
      <c r="F2028" t="n">
        <v>167</v>
      </c>
      <c r="G2028" t="n">
        <v>1</v>
      </c>
      <c r="H2028" t="n">
        <v>0</v>
      </c>
      <c r="I2028" t="n">
        <v>1</v>
      </c>
      <c r="J2028" t="n">
        <v>0</v>
      </c>
    </row>
    <row r="2029">
      <c r="A2029" s="5" t="n">
        <v>46210</v>
      </c>
      <c r="B2029" t="inlineStr">
        <is>
          <t>linkedin_ceo_abm</t>
        </is>
      </c>
      <c r="C2029" t="inlineStr">
        <is>
          <t>linkedin</t>
        </is>
      </c>
      <c r="D2029" t="n">
        <v>28053</v>
      </c>
      <c r="E2029" t="n">
        <v>5394</v>
      </c>
      <c r="F2029" t="n">
        <v>33</v>
      </c>
      <c r="G2029" t="n">
        <v>1</v>
      </c>
      <c r="H2029" t="n">
        <v>2</v>
      </c>
      <c r="I2029" t="n">
        <v>2</v>
      </c>
      <c r="J2029" t="n">
        <v>0</v>
      </c>
    </row>
    <row r="2030">
      <c r="A2030" s="5" t="n">
        <v>46210</v>
      </c>
      <c r="B2030" t="inlineStr">
        <is>
          <t>meta_prospecting_founder</t>
        </is>
      </c>
      <c r="C2030" t="inlineStr">
        <is>
          <t>meta</t>
        </is>
      </c>
      <c r="D2030" t="n">
        <v>42466</v>
      </c>
      <c r="E2030" t="n">
        <v>30332</v>
      </c>
      <c r="F2030" t="n">
        <v>291</v>
      </c>
      <c r="G2030" t="n">
        <v>17</v>
      </c>
      <c r="H2030" t="n">
        <v>4</v>
      </c>
      <c r="I2030" t="n">
        <v>0</v>
      </c>
      <c r="J2030" t="n">
        <v>0</v>
      </c>
    </row>
    <row r="2031">
      <c r="A2031" s="5" t="n">
        <v>46210</v>
      </c>
      <c r="B2031" t="inlineStr">
        <is>
          <t>meta_retargeting_webinar</t>
        </is>
      </c>
      <c r="C2031" t="inlineStr">
        <is>
          <t>meta</t>
        </is>
      </c>
      <c r="D2031" t="n">
        <v>10175</v>
      </c>
      <c r="E2031" t="n">
        <v>7267</v>
      </c>
      <c r="F2031" t="n">
        <v>76</v>
      </c>
      <c r="G2031" t="n">
        <v>6</v>
      </c>
      <c r="H2031" t="n">
        <v>1</v>
      </c>
      <c r="I2031" t="n">
        <v>2</v>
      </c>
      <c r="J2031" t="n">
        <v>0</v>
      </c>
    </row>
    <row r="2032">
      <c r="A2032" s="5" t="n">
        <v>46211</v>
      </c>
      <c r="B2032" t="inlineStr">
        <is>
          <t>google_brand_search</t>
        </is>
      </c>
      <c r="C2032" t="inlineStr">
        <is>
          <t>google</t>
        </is>
      </c>
      <c r="D2032" t="n">
        <v>7202</v>
      </c>
      <c r="E2032" t="n">
        <v>1500</v>
      </c>
      <c r="F2032" t="n">
        <v>77</v>
      </c>
      <c r="G2032" t="n">
        <v>3</v>
      </c>
      <c r="H2032" t="n">
        <v>2</v>
      </c>
      <c r="I2032" t="n">
        <v>0</v>
      </c>
      <c r="J2032" t="n">
        <v>0</v>
      </c>
    </row>
    <row r="2033">
      <c r="A2033" s="5" t="n">
        <v>46211</v>
      </c>
      <c r="B2033" t="inlineStr">
        <is>
          <t>google_nonbrand_growth</t>
        </is>
      </c>
      <c r="C2033" t="inlineStr">
        <is>
          <t>google</t>
        </is>
      </c>
      <c r="D2033" t="n">
        <v>20019</v>
      </c>
      <c r="E2033" t="n">
        <v>4170</v>
      </c>
      <c r="F2033" t="n">
        <v>238</v>
      </c>
      <c r="G2033" t="n">
        <v>1</v>
      </c>
      <c r="H2033" t="n">
        <v>0</v>
      </c>
      <c r="I2033" t="n">
        <v>0</v>
      </c>
      <c r="J2033" t="n">
        <v>0</v>
      </c>
    </row>
    <row r="2034">
      <c r="A2034" s="5" t="n">
        <v>46211</v>
      </c>
      <c r="B2034" t="inlineStr">
        <is>
          <t>linkedin_ceo_abm</t>
        </is>
      </c>
      <c r="C2034" t="inlineStr">
        <is>
          <t>linkedin</t>
        </is>
      </c>
      <c r="D2034" t="n">
        <v>25880</v>
      </c>
      <c r="E2034" t="n">
        <v>4976</v>
      </c>
      <c r="F2034" t="n">
        <v>36</v>
      </c>
      <c r="G2034" t="n">
        <v>2</v>
      </c>
      <c r="H2034" t="n">
        <v>1</v>
      </c>
      <c r="I2034" t="n">
        <v>0</v>
      </c>
      <c r="J2034" t="n">
        <v>0</v>
      </c>
    </row>
    <row r="2035">
      <c r="A2035" s="5" t="n">
        <v>46211</v>
      </c>
      <c r="B2035" t="inlineStr">
        <is>
          <t>meta_prospecting_founder</t>
        </is>
      </c>
      <c r="C2035" t="inlineStr">
        <is>
          <t>meta</t>
        </is>
      </c>
      <c r="D2035" t="n">
        <v>41924</v>
      </c>
      <c r="E2035" t="n">
        <v>29945</v>
      </c>
      <c r="F2035" t="n">
        <v>316</v>
      </c>
      <c r="G2035" t="n">
        <v>8</v>
      </c>
      <c r="H2035" t="n">
        <v>3</v>
      </c>
      <c r="I2035" t="n">
        <v>1</v>
      </c>
      <c r="J2035" t="n">
        <v>0</v>
      </c>
    </row>
    <row r="2036">
      <c r="A2036" s="5" t="n">
        <v>46211</v>
      </c>
      <c r="B2036" t="inlineStr">
        <is>
          <t>meta_retargeting_webinar</t>
        </is>
      </c>
      <c r="C2036" t="inlineStr">
        <is>
          <t>meta</t>
        </is>
      </c>
      <c r="D2036" t="n">
        <v>8745</v>
      </c>
      <c r="E2036" t="n">
        <v>6246</v>
      </c>
      <c r="F2036" t="n">
        <v>59</v>
      </c>
      <c r="G2036" t="n">
        <v>6</v>
      </c>
      <c r="H2036" t="n">
        <v>3</v>
      </c>
      <c r="I2036" t="n">
        <v>0</v>
      </c>
      <c r="J2036" t="n">
        <v>0</v>
      </c>
    </row>
    <row r="2037">
      <c r="A2037" s="5" t="n">
        <v>46212</v>
      </c>
      <c r="B2037" t="inlineStr">
        <is>
          <t>google_brand_search</t>
        </is>
      </c>
      <c r="C2037" t="inlineStr">
        <is>
          <t>google</t>
        </is>
      </c>
      <c r="D2037" t="n">
        <v>6499</v>
      </c>
      <c r="E2037" t="n">
        <v>1353</v>
      </c>
      <c r="F2037" t="n">
        <v>63</v>
      </c>
      <c r="G2037" t="n">
        <v>7</v>
      </c>
      <c r="H2037" t="n">
        <v>0</v>
      </c>
      <c r="I2037" t="n">
        <v>3</v>
      </c>
      <c r="J2037" t="n">
        <v>0</v>
      </c>
    </row>
    <row r="2038">
      <c r="A2038" s="5" t="n">
        <v>46212</v>
      </c>
      <c r="B2038" t="inlineStr">
        <is>
          <t>google_nonbrand_growth</t>
        </is>
      </c>
      <c r="C2038" t="inlineStr">
        <is>
          <t>google</t>
        </is>
      </c>
      <c r="D2038" t="n">
        <v>17988</v>
      </c>
      <c r="E2038" t="n">
        <v>3747</v>
      </c>
      <c r="F2038" t="n">
        <v>191</v>
      </c>
      <c r="G2038" t="n">
        <v>1</v>
      </c>
      <c r="H2038" t="n">
        <v>0</v>
      </c>
      <c r="I2038" t="n">
        <v>0</v>
      </c>
      <c r="J2038" t="n">
        <v>0</v>
      </c>
    </row>
    <row r="2039">
      <c r="A2039" s="5" t="n">
        <v>46212</v>
      </c>
      <c r="B2039" t="inlineStr">
        <is>
          <t>linkedin_ceo_abm</t>
        </is>
      </c>
      <c r="C2039" t="inlineStr">
        <is>
          <t>linkedin</t>
        </is>
      </c>
      <c r="D2039" t="n">
        <v>27464</v>
      </c>
      <c r="E2039" t="n">
        <v>5281</v>
      </c>
      <c r="F2039" t="n">
        <v>32</v>
      </c>
      <c r="G2039" t="n">
        <v>2</v>
      </c>
      <c r="H2039" t="n">
        <v>0</v>
      </c>
      <c r="I2039" t="n">
        <v>0</v>
      </c>
      <c r="J2039" t="n">
        <v>0</v>
      </c>
    </row>
    <row r="2040">
      <c r="A2040" s="5" t="n">
        <v>46212</v>
      </c>
      <c r="B2040" t="inlineStr">
        <is>
          <t>meta_prospecting_founder</t>
        </is>
      </c>
      <c r="C2040" t="inlineStr">
        <is>
          <t>meta</t>
        </is>
      </c>
      <c r="D2040" t="n">
        <v>35546</v>
      </c>
      <c r="E2040" t="n">
        <v>25389</v>
      </c>
      <c r="F2040" t="n">
        <v>269</v>
      </c>
      <c r="G2040" t="n">
        <v>10</v>
      </c>
      <c r="H2040" t="n">
        <v>2</v>
      </c>
      <c r="I2040" t="n">
        <v>1</v>
      </c>
      <c r="J2040" t="n">
        <v>1</v>
      </c>
    </row>
    <row r="2041">
      <c r="A2041" s="5" t="n">
        <v>46212</v>
      </c>
      <c r="B2041" t="inlineStr">
        <is>
          <t>meta_retargeting_webinar</t>
        </is>
      </c>
      <c r="C2041" t="inlineStr">
        <is>
          <t>meta</t>
        </is>
      </c>
      <c r="D2041" t="n">
        <v>9118</v>
      </c>
      <c r="E2041" t="n">
        <v>6512</v>
      </c>
      <c r="F2041" t="n">
        <v>65</v>
      </c>
      <c r="G2041" t="n">
        <v>2</v>
      </c>
      <c r="H2041" t="n">
        <v>0</v>
      </c>
      <c r="I2041" t="n">
        <v>2</v>
      </c>
      <c r="J2041" t="n">
        <v>0</v>
      </c>
    </row>
    <row r="2042">
      <c r="A2042" s="5" t="n">
        <v>46213</v>
      </c>
      <c r="B2042" t="inlineStr">
        <is>
          <t>google_brand_search</t>
        </is>
      </c>
      <c r="C2042" t="inlineStr">
        <is>
          <t>google</t>
        </is>
      </c>
      <c r="D2042" t="n">
        <v>6659</v>
      </c>
      <c r="E2042" t="n">
        <v>1387</v>
      </c>
      <c r="F2042" t="n">
        <v>68</v>
      </c>
      <c r="G2042" t="n">
        <v>2</v>
      </c>
      <c r="H2042" t="n">
        <v>1</v>
      </c>
      <c r="I2042" t="n">
        <v>0</v>
      </c>
      <c r="J2042" t="n">
        <v>1</v>
      </c>
    </row>
    <row r="2043">
      <c r="A2043" s="5" t="n">
        <v>46213</v>
      </c>
      <c r="B2043" t="inlineStr">
        <is>
          <t>google_nonbrand_growth</t>
        </is>
      </c>
      <c r="C2043" t="inlineStr">
        <is>
          <t>google</t>
        </is>
      </c>
      <c r="D2043" t="n">
        <v>18393</v>
      </c>
      <c r="E2043" t="n">
        <v>3831</v>
      </c>
      <c r="F2043" t="n">
        <v>192</v>
      </c>
      <c r="G2043" t="n">
        <v>3</v>
      </c>
      <c r="H2043" t="n">
        <v>2</v>
      </c>
      <c r="I2043" t="n">
        <v>0</v>
      </c>
      <c r="J2043" t="n">
        <v>0</v>
      </c>
    </row>
    <row r="2044">
      <c r="A2044" s="5" t="n">
        <v>46213</v>
      </c>
      <c r="B2044" t="inlineStr">
        <is>
          <t>linkedin_ceo_abm</t>
        </is>
      </c>
      <c r="C2044" t="inlineStr">
        <is>
          <t>linkedin</t>
        </is>
      </c>
      <c r="D2044" t="n">
        <v>27937</v>
      </c>
      <c r="E2044" t="n">
        <v>5372</v>
      </c>
      <c r="F2044" t="n">
        <v>30</v>
      </c>
      <c r="G2044" t="n">
        <v>4</v>
      </c>
      <c r="H2044" t="n">
        <v>1</v>
      </c>
      <c r="I2044" t="n">
        <v>0</v>
      </c>
      <c r="J2044" t="n">
        <v>1</v>
      </c>
    </row>
    <row r="2045">
      <c r="A2045" s="5" t="n">
        <v>46213</v>
      </c>
      <c r="B2045" t="inlineStr">
        <is>
          <t>meta_prospecting_founder</t>
        </is>
      </c>
      <c r="C2045" t="inlineStr">
        <is>
          <t>meta</t>
        </is>
      </c>
      <c r="D2045" t="n">
        <v>39424</v>
      </c>
      <c r="E2045" t="n">
        <v>28160</v>
      </c>
      <c r="F2045" t="n">
        <v>341</v>
      </c>
      <c r="G2045" t="n">
        <v>12</v>
      </c>
      <c r="H2045" t="n">
        <v>2</v>
      </c>
      <c r="I2045" t="n">
        <v>1</v>
      </c>
      <c r="J2045" t="n">
        <v>0</v>
      </c>
    </row>
    <row r="2046">
      <c r="A2046" s="5" t="n">
        <v>46213</v>
      </c>
      <c r="B2046" t="inlineStr">
        <is>
          <t>meta_retargeting_webinar</t>
        </is>
      </c>
      <c r="C2046" t="inlineStr">
        <is>
          <t>meta</t>
        </is>
      </c>
      <c r="D2046" t="n">
        <v>9502</v>
      </c>
      <c r="E2046" t="n">
        <v>6787</v>
      </c>
      <c r="F2046" t="n">
        <v>76</v>
      </c>
      <c r="G2046" t="n">
        <v>3</v>
      </c>
      <c r="H2046" t="n">
        <v>1</v>
      </c>
      <c r="I2046" t="n">
        <v>0</v>
      </c>
      <c r="J2046" t="n">
        <v>0</v>
      </c>
    </row>
    <row r="2047">
      <c r="A2047" s="5" t="n">
        <v>46214</v>
      </c>
      <c r="B2047" t="inlineStr">
        <is>
          <t>google_brand_search</t>
        </is>
      </c>
      <c r="C2047" t="inlineStr">
        <is>
          <t>google</t>
        </is>
      </c>
      <c r="D2047" t="n">
        <v>7366</v>
      </c>
      <c r="E2047" t="n">
        <v>1534</v>
      </c>
      <c r="F2047" t="n">
        <v>85</v>
      </c>
      <c r="G2047" t="n">
        <v>0</v>
      </c>
      <c r="H2047" t="n">
        <v>1</v>
      </c>
      <c r="I2047" t="n">
        <v>1</v>
      </c>
      <c r="J2047" t="n">
        <v>0</v>
      </c>
    </row>
    <row r="2048">
      <c r="A2048" s="5" t="n">
        <v>46214</v>
      </c>
      <c r="B2048" t="inlineStr">
        <is>
          <t>google_nonbrand_growth</t>
        </is>
      </c>
      <c r="C2048" t="inlineStr">
        <is>
          <t>google</t>
        </is>
      </c>
      <c r="D2048" t="n">
        <v>20867</v>
      </c>
      <c r="E2048" t="n">
        <v>4347</v>
      </c>
      <c r="F2048" t="n">
        <v>207</v>
      </c>
      <c r="G2048" t="n">
        <v>2</v>
      </c>
      <c r="H2048" t="n">
        <v>0</v>
      </c>
      <c r="I2048" t="n">
        <v>0</v>
      </c>
      <c r="J2048" t="n">
        <v>0</v>
      </c>
    </row>
    <row r="2049">
      <c r="A2049" s="5" t="n">
        <v>46214</v>
      </c>
      <c r="B2049" t="inlineStr">
        <is>
          <t>linkedin_ceo_abm</t>
        </is>
      </c>
      <c r="C2049" t="inlineStr">
        <is>
          <t>linkedin</t>
        </is>
      </c>
      <c r="D2049" t="n">
        <v>27423</v>
      </c>
      <c r="E2049" t="n">
        <v>5273</v>
      </c>
      <c r="F2049" t="n">
        <v>34</v>
      </c>
      <c r="G2049" t="n">
        <v>1</v>
      </c>
      <c r="H2049" t="n">
        <v>0</v>
      </c>
      <c r="I2049" t="n">
        <v>1</v>
      </c>
      <c r="J2049" t="n">
        <v>0</v>
      </c>
    </row>
    <row r="2050">
      <c r="A2050" s="5" t="n">
        <v>46214</v>
      </c>
      <c r="B2050" t="inlineStr">
        <is>
          <t>meta_prospecting_founder</t>
        </is>
      </c>
      <c r="C2050" t="inlineStr">
        <is>
          <t>meta</t>
        </is>
      </c>
      <c r="D2050" t="n">
        <v>35664</v>
      </c>
      <c r="E2050" t="n">
        <v>25474</v>
      </c>
      <c r="F2050" t="n">
        <v>246</v>
      </c>
      <c r="G2050" t="n">
        <v>7</v>
      </c>
      <c r="H2050" t="n">
        <v>5</v>
      </c>
      <c r="I2050" t="n">
        <v>1</v>
      </c>
      <c r="J2050" t="n">
        <v>0</v>
      </c>
    </row>
    <row r="2051">
      <c r="A2051" s="5" t="n">
        <v>46214</v>
      </c>
      <c r="B2051" t="inlineStr">
        <is>
          <t>meta_retargeting_webinar</t>
        </is>
      </c>
      <c r="C2051" t="inlineStr">
        <is>
          <t>meta</t>
        </is>
      </c>
      <c r="D2051" t="n">
        <v>9768</v>
      </c>
      <c r="E2051" t="n">
        <v>6977</v>
      </c>
      <c r="F2051" t="n">
        <v>85</v>
      </c>
      <c r="G2051" t="n">
        <v>0</v>
      </c>
      <c r="H2051" t="n">
        <v>0</v>
      </c>
      <c r="I2051" t="n">
        <v>0</v>
      </c>
      <c r="J2051" t="n">
        <v>0</v>
      </c>
    </row>
    <row r="2052">
      <c r="A2052" s="5" t="n">
        <v>46215</v>
      </c>
      <c r="B2052" t="inlineStr">
        <is>
          <t>google_brand_search</t>
        </is>
      </c>
      <c r="C2052" t="inlineStr">
        <is>
          <t>google</t>
        </is>
      </c>
      <c r="D2052" t="n">
        <v>6827</v>
      </c>
      <c r="E2052" t="n">
        <v>1422</v>
      </c>
      <c r="F2052" t="n">
        <v>67</v>
      </c>
      <c r="G2052" t="n">
        <v>3</v>
      </c>
      <c r="H2052" t="n">
        <v>2</v>
      </c>
      <c r="I2052" t="n">
        <v>0</v>
      </c>
      <c r="J2052" t="n">
        <v>0</v>
      </c>
    </row>
    <row r="2053">
      <c r="A2053" s="5" t="n">
        <v>46215</v>
      </c>
      <c r="B2053" t="inlineStr">
        <is>
          <t>google_nonbrand_growth</t>
        </is>
      </c>
      <c r="C2053" t="inlineStr">
        <is>
          <t>google</t>
        </is>
      </c>
      <c r="D2053" t="n">
        <v>18636</v>
      </c>
      <c r="E2053" t="n">
        <v>3882</v>
      </c>
      <c r="F2053" t="n">
        <v>172</v>
      </c>
      <c r="G2053" t="n">
        <v>2</v>
      </c>
      <c r="H2053" t="n">
        <v>0</v>
      </c>
      <c r="I2053" t="n">
        <v>0</v>
      </c>
      <c r="J2053" t="n">
        <v>0</v>
      </c>
    </row>
    <row r="2054">
      <c r="A2054" s="5" t="n">
        <v>46215</v>
      </c>
      <c r="B2054" t="inlineStr">
        <is>
          <t>linkedin_ceo_abm</t>
        </is>
      </c>
      <c r="C2054" t="inlineStr">
        <is>
          <t>linkedin</t>
        </is>
      </c>
      <c r="D2054" t="n">
        <v>23958</v>
      </c>
      <c r="E2054" t="n">
        <v>4607</v>
      </c>
      <c r="F2054" t="n">
        <v>32</v>
      </c>
      <c r="G2054" t="n">
        <v>2</v>
      </c>
      <c r="H2054" t="n">
        <v>2</v>
      </c>
      <c r="I2054" t="n">
        <v>0</v>
      </c>
      <c r="J2054" t="n">
        <v>0</v>
      </c>
    </row>
    <row r="2055">
      <c r="A2055" s="5" t="n">
        <v>46215</v>
      </c>
      <c r="B2055" t="inlineStr">
        <is>
          <t>meta_prospecting_founder</t>
        </is>
      </c>
      <c r="C2055" t="inlineStr">
        <is>
          <t>meta</t>
        </is>
      </c>
      <c r="D2055" t="n">
        <v>41553</v>
      </c>
      <c r="E2055" t="n">
        <v>29680</v>
      </c>
      <c r="F2055" t="n">
        <v>338</v>
      </c>
      <c r="G2055" t="n">
        <v>7</v>
      </c>
      <c r="H2055" t="n">
        <v>4</v>
      </c>
      <c r="I2055" t="n">
        <v>0</v>
      </c>
      <c r="J2055" t="n">
        <v>0</v>
      </c>
    </row>
    <row r="2056">
      <c r="A2056" s="5" t="n">
        <v>46215</v>
      </c>
      <c r="B2056" t="inlineStr">
        <is>
          <t>meta_retargeting_webinar</t>
        </is>
      </c>
      <c r="C2056" t="inlineStr">
        <is>
          <t>meta</t>
        </is>
      </c>
      <c r="D2056" t="n">
        <v>8913</v>
      </c>
      <c r="E2056" t="n">
        <v>6366</v>
      </c>
      <c r="F2056" t="n">
        <v>78</v>
      </c>
      <c r="G2056" t="n">
        <v>1</v>
      </c>
      <c r="H2056" t="n">
        <v>0</v>
      </c>
      <c r="I2056" t="n">
        <v>1</v>
      </c>
      <c r="J2056" t="n">
        <v>0</v>
      </c>
    </row>
    <row r="2057">
      <c r="A2057" s="5" t="n">
        <v>46216</v>
      </c>
      <c r="B2057" t="inlineStr">
        <is>
          <t>google_brand_search</t>
        </is>
      </c>
      <c r="C2057" t="inlineStr">
        <is>
          <t>google</t>
        </is>
      </c>
      <c r="D2057" t="n">
        <v>7304</v>
      </c>
      <c r="E2057" t="n">
        <v>1521</v>
      </c>
      <c r="F2057" t="n">
        <v>80</v>
      </c>
      <c r="G2057" t="n">
        <v>4</v>
      </c>
      <c r="H2057" t="n">
        <v>2</v>
      </c>
      <c r="I2057" t="n">
        <v>1</v>
      </c>
      <c r="J2057" t="n">
        <v>0</v>
      </c>
    </row>
    <row r="2058">
      <c r="A2058" s="5" t="n">
        <v>46216</v>
      </c>
      <c r="B2058" t="inlineStr">
        <is>
          <t>google_nonbrand_growth</t>
        </is>
      </c>
      <c r="C2058" t="inlineStr">
        <is>
          <t>google</t>
        </is>
      </c>
      <c r="D2058" t="n">
        <v>17348</v>
      </c>
      <c r="E2058" t="n">
        <v>3614</v>
      </c>
      <c r="F2058" t="n">
        <v>206</v>
      </c>
      <c r="G2058" t="n">
        <v>5</v>
      </c>
      <c r="H2058" t="n">
        <v>0</v>
      </c>
      <c r="I2058" t="n">
        <v>0</v>
      </c>
      <c r="J2058" t="n">
        <v>0</v>
      </c>
    </row>
    <row r="2059">
      <c r="A2059" s="5" t="n">
        <v>46216</v>
      </c>
      <c r="B2059" t="inlineStr">
        <is>
          <t>linkedin_ceo_abm</t>
        </is>
      </c>
      <c r="C2059" t="inlineStr">
        <is>
          <t>linkedin</t>
        </is>
      </c>
      <c r="D2059" t="n">
        <v>25772</v>
      </c>
      <c r="E2059" t="n">
        <v>4956</v>
      </c>
      <c r="F2059" t="n">
        <v>32</v>
      </c>
      <c r="G2059" t="n">
        <v>6</v>
      </c>
      <c r="H2059" t="n">
        <v>1</v>
      </c>
      <c r="I2059" t="n">
        <v>1</v>
      </c>
      <c r="J2059" t="n">
        <v>0</v>
      </c>
    </row>
    <row r="2060">
      <c r="A2060" s="5" t="n">
        <v>46216</v>
      </c>
      <c r="B2060" t="inlineStr">
        <is>
          <t>meta_prospecting_founder</t>
        </is>
      </c>
      <c r="C2060" t="inlineStr">
        <is>
          <t>meta</t>
        </is>
      </c>
      <c r="D2060" t="n">
        <v>39119</v>
      </c>
      <c r="E2060" t="n">
        <v>27942</v>
      </c>
      <c r="F2060" t="n">
        <v>270</v>
      </c>
      <c r="G2060" t="n">
        <v>8</v>
      </c>
      <c r="H2060" t="n">
        <v>2</v>
      </c>
      <c r="I2060" t="n">
        <v>1</v>
      </c>
      <c r="J2060" t="n">
        <v>0</v>
      </c>
    </row>
    <row r="2061">
      <c r="A2061" s="5" t="n">
        <v>46216</v>
      </c>
      <c r="B2061" t="inlineStr">
        <is>
          <t>meta_retargeting_webinar</t>
        </is>
      </c>
      <c r="C2061" t="inlineStr">
        <is>
          <t>meta</t>
        </is>
      </c>
      <c r="D2061" t="n">
        <v>9092</v>
      </c>
      <c r="E2061" t="n">
        <v>6494</v>
      </c>
      <c r="F2061" t="n">
        <v>80</v>
      </c>
      <c r="G2061" t="n">
        <v>3</v>
      </c>
      <c r="H2061" t="n">
        <v>1</v>
      </c>
      <c r="I2061" t="n">
        <v>1</v>
      </c>
      <c r="J2061" t="n">
        <v>0</v>
      </c>
    </row>
    <row r="2062">
      <c r="A2062" s="5" t="n">
        <v>46217</v>
      </c>
      <c r="B2062" t="inlineStr">
        <is>
          <t>google_brand_search</t>
        </is>
      </c>
      <c r="C2062" t="inlineStr">
        <is>
          <t>google</t>
        </is>
      </c>
      <c r="D2062" t="n">
        <v>6754</v>
      </c>
      <c r="E2062" t="n">
        <v>1407</v>
      </c>
      <c r="F2062" t="n">
        <v>76</v>
      </c>
      <c r="G2062" t="n">
        <v>4</v>
      </c>
      <c r="H2062" t="n">
        <v>3</v>
      </c>
      <c r="I2062" t="n">
        <v>2</v>
      </c>
      <c r="J2062" t="n">
        <v>0</v>
      </c>
    </row>
    <row r="2063">
      <c r="A2063" s="5" t="n">
        <v>46217</v>
      </c>
      <c r="B2063" t="inlineStr">
        <is>
          <t>google_nonbrand_growth</t>
        </is>
      </c>
      <c r="C2063" t="inlineStr">
        <is>
          <t>google</t>
        </is>
      </c>
      <c r="D2063" t="n">
        <v>19337</v>
      </c>
      <c r="E2063" t="n">
        <v>4028</v>
      </c>
      <c r="F2063" t="n">
        <v>186</v>
      </c>
      <c r="G2063" t="n">
        <v>3</v>
      </c>
      <c r="H2063" t="n">
        <v>0</v>
      </c>
      <c r="I2063" t="n">
        <v>0</v>
      </c>
      <c r="J2063" t="n">
        <v>0</v>
      </c>
    </row>
    <row r="2064">
      <c r="A2064" s="5" t="n">
        <v>46217</v>
      </c>
      <c r="B2064" t="inlineStr">
        <is>
          <t>linkedin_ceo_abm</t>
        </is>
      </c>
      <c r="C2064" t="inlineStr">
        <is>
          <t>linkedin</t>
        </is>
      </c>
      <c r="D2064" t="n">
        <v>25302</v>
      </c>
      <c r="E2064" t="n">
        <v>4865</v>
      </c>
      <c r="F2064" t="n">
        <v>31</v>
      </c>
      <c r="G2064" t="n">
        <v>3</v>
      </c>
      <c r="H2064" t="n">
        <v>1</v>
      </c>
      <c r="I2064" t="n">
        <v>0</v>
      </c>
      <c r="J2064" t="n">
        <v>1</v>
      </c>
    </row>
    <row r="2065">
      <c r="A2065" s="5" t="n">
        <v>46217</v>
      </c>
      <c r="B2065" t="inlineStr">
        <is>
          <t>meta_prospecting_founder</t>
        </is>
      </c>
      <c r="C2065" t="inlineStr">
        <is>
          <t>meta</t>
        </is>
      </c>
      <c r="D2065" t="n">
        <v>42004</v>
      </c>
      <c r="E2065" t="n">
        <v>30002</v>
      </c>
      <c r="F2065" t="n">
        <v>368</v>
      </c>
      <c r="G2065" t="n">
        <v>16</v>
      </c>
      <c r="H2065" t="n">
        <v>0</v>
      </c>
      <c r="I2065" t="n">
        <v>2</v>
      </c>
      <c r="J2065" t="n">
        <v>0</v>
      </c>
    </row>
    <row r="2066">
      <c r="A2066" s="5" t="n">
        <v>46217</v>
      </c>
      <c r="B2066" t="inlineStr">
        <is>
          <t>meta_retargeting_webinar</t>
        </is>
      </c>
      <c r="C2066" t="inlineStr">
        <is>
          <t>meta</t>
        </is>
      </c>
      <c r="D2066" t="n">
        <v>8425</v>
      </c>
      <c r="E2066" t="n">
        <v>6017</v>
      </c>
      <c r="F2066" t="n">
        <v>59</v>
      </c>
      <c r="G2066" t="n">
        <v>2</v>
      </c>
      <c r="H2066" t="n">
        <v>3</v>
      </c>
      <c r="I2066" t="n">
        <v>0</v>
      </c>
      <c r="J2066" t="n">
        <v>1</v>
      </c>
    </row>
    <row r="2067">
      <c r="A2067" s="5" t="n">
        <v>46218</v>
      </c>
      <c r="B2067" t="inlineStr">
        <is>
          <t>google_brand_search</t>
        </is>
      </c>
      <c r="C2067" t="inlineStr">
        <is>
          <t>google</t>
        </is>
      </c>
      <c r="D2067" t="n">
        <v>7009</v>
      </c>
      <c r="E2067" t="n">
        <v>1460</v>
      </c>
      <c r="F2067" t="n">
        <v>74</v>
      </c>
      <c r="G2067" t="n">
        <v>2</v>
      </c>
      <c r="H2067" t="n">
        <v>0</v>
      </c>
      <c r="I2067" t="n">
        <v>0</v>
      </c>
      <c r="J2067" t="n">
        <v>0</v>
      </c>
    </row>
    <row r="2068">
      <c r="A2068" s="5" t="n">
        <v>46218</v>
      </c>
      <c r="B2068" t="inlineStr">
        <is>
          <t>google_nonbrand_growth</t>
        </is>
      </c>
      <c r="C2068" t="inlineStr">
        <is>
          <t>google</t>
        </is>
      </c>
      <c r="D2068" t="n">
        <v>20421</v>
      </c>
      <c r="E2068" t="n">
        <v>4254</v>
      </c>
      <c r="F2068" t="n">
        <v>197</v>
      </c>
      <c r="G2068" t="n">
        <v>0</v>
      </c>
      <c r="H2068" t="n">
        <v>0</v>
      </c>
      <c r="I2068" t="n">
        <v>0</v>
      </c>
      <c r="J2068" t="n">
        <v>0</v>
      </c>
    </row>
    <row r="2069">
      <c r="A2069" s="5" t="n">
        <v>46218</v>
      </c>
      <c r="B2069" t="inlineStr">
        <is>
          <t>linkedin_ceo_abm</t>
        </is>
      </c>
      <c r="C2069" t="inlineStr">
        <is>
          <t>linkedin</t>
        </is>
      </c>
      <c r="D2069" t="n">
        <v>25427</v>
      </c>
      <c r="E2069" t="n">
        <v>4889</v>
      </c>
      <c r="F2069" t="n">
        <v>27</v>
      </c>
      <c r="G2069" t="n">
        <v>1</v>
      </c>
      <c r="H2069" t="n">
        <v>0</v>
      </c>
      <c r="I2069" t="n">
        <v>0</v>
      </c>
      <c r="J2069" t="n">
        <v>0</v>
      </c>
    </row>
    <row r="2070">
      <c r="A2070" s="5" t="n">
        <v>46218</v>
      </c>
      <c r="B2070" t="inlineStr">
        <is>
          <t>meta_prospecting_founder</t>
        </is>
      </c>
      <c r="C2070" t="inlineStr">
        <is>
          <t>meta</t>
        </is>
      </c>
      <c r="D2070" t="n">
        <v>41965</v>
      </c>
      <c r="E2070" t="n">
        <v>29974</v>
      </c>
      <c r="F2070" t="n">
        <v>308</v>
      </c>
      <c r="G2070" t="n">
        <v>14</v>
      </c>
      <c r="H2070" t="n">
        <v>2</v>
      </c>
      <c r="I2070" t="n">
        <v>0</v>
      </c>
      <c r="J2070" t="n">
        <v>0</v>
      </c>
    </row>
    <row r="2071">
      <c r="A2071" s="5" t="n">
        <v>46218</v>
      </c>
      <c r="B2071" t="inlineStr">
        <is>
          <t>meta_retargeting_webinar</t>
        </is>
      </c>
      <c r="C2071" t="inlineStr">
        <is>
          <t>meta</t>
        </is>
      </c>
      <c r="D2071" t="n">
        <v>10236</v>
      </c>
      <c r="E2071" t="n">
        <v>7311</v>
      </c>
      <c r="F2071" t="n">
        <v>71</v>
      </c>
      <c r="G2071" t="n">
        <v>2</v>
      </c>
      <c r="H2071" t="n">
        <v>1</v>
      </c>
      <c r="I2071" t="n">
        <v>0</v>
      </c>
      <c r="J2071" t="n">
        <v>0</v>
      </c>
    </row>
    <row r="2072">
      <c r="A2072" s="5" t="n">
        <v>46219</v>
      </c>
      <c r="B2072" t="inlineStr">
        <is>
          <t>google_brand_search</t>
        </is>
      </c>
      <c r="C2072" t="inlineStr">
        <is>
          <t>google</t>
        </is>
      </c>
      <c r="D2072" t="n">
        <v>6392</v>
      </c>
      <c r="E2072" t="n">
        <v>1331</v>
      </c>
      <c r="F2072" t="n">
        <v>71</v>
      </c>
      <c r="G2072" t="n">
        <v>1</v>
      </c>
      <c r="H2072" t="n">
        <v>0</v>
      </c>
      <c r="I2072" t="n">
        <v>2</v>
      </c>
      <c r="J2072" t="n">
        <v>0</v>
      </c>
    </row>
    <row r="2073">
      <c r="A2073" s="5" t="n">
        <v>46219</v>
      </c>
      <c r="B2073" t="inlineStr">
        <is>
          <t>google_nonbrand_growth</t>
        </is>
      </c>
      <c r="C2073" t="inlineStr">
        <is>
          <t>google</t>
        </is>
      </c>
      <c r="D2073" t="n">
        <v>19703</v>
      </c>
      <c r="E2073" t="n">
        <v>4104</v>
      </c>
      <c r="F2073" t="n">
        <v>219</v>
      </c>
      <c r="G2073" t="n">
        <v>2</v>
      </c>
      <c r="H2073" t="n">
        <v>0</v>
      </c>
      <c r="I2073" t="n">
        <v>0</v>
      </c>
      <c r="J2073" t="n">
        <v>0</v>
      </c>
    </row>
    <row r="2074">
      <c r="A2074" s="5" t="n">
        <v>46219</v>
      </c>
      <c r="B2074" t="inlineStr">
        <is>
          <t>linkedin_ceo_abm</t>
        </is>
      </c>
      <c r="C2074" t="inlineStr">
        <is>
          <t>linkedin</t>
        </is>
      </c>
      <c r="D2074" t="n">
        <v>23847</v>
      </c>
      <c r="E2074" t="n">
        <v>4585</v>
      </c>
      <c r="F2074" t="n">
        <v>29</v>
      </c>
      <c r="G2074" t="n">
        <v>0</v>
      </c>
      <c r="H2074" t="n">
        <v>0</v>
      </c>
      <c r="I2074" t="n">
        <v>0</v>
      </c>
      <c r="J2074" t="n">
        <v>0</v>
      </c>
    </row>
    <row r="2075">
      <c r="A2075" s="5" t="n">
        <v>46219</v>
      </c>
      <c r="B2075" t="inlineStr">
        <is>
          <t>meta_prospecting_founder</t>
        </is>
      </c>
      <c r="C2075" t="inlineStr">
        <is>
          <t>meta</t>
        </is>
      </c>
      <c r="D2075" t="n">
        <v>42681</v>
      </c>
      <c r="E2075" t="n">
        <v>30486</v>
      </c>
      <c r="F2075" t="n">
        <v>310</v>
      </c>
      <c r="G2075" t="n">
        <v>9</v>
      </c>
      <c r="H2075" t="n">
        <v>7</v>
      </c>
      <c r="I2075" t="n">
        <v>1</v>
      </c>
      <c r="J2075" t="n">
        <v>0</v>
      </c>
    </row>
    <row r="2076">
      <c r="A2076" s="5" t="n">
        <v>46219</v>
      </c>
      <c r="B2076" t="inlineStr">
        <is>
          <t>meta_retargeting_webinar</t>
        </is>
      </c>
      <c r="C2076" t="inlineStr">
        <is>
          <t>meta</t>
        </is>
      </c>
      <c r="D2076" t="n">
        <v>9730</v>
      </c>
      <c r="E2076" t="n">
        <v>6950</v>
      </c>
      <c r="F2076" t="n">
        <v>71</v>
      </c>
      <c r="G2076" t="n">
        <v>2</v>
      </c>
      <c r="H2076" t="n">
        <v>0</v>
      </c>
      <c r="I2076" t="n">
        <v>1</v>
      </c>
      <c r="J2076" t="n">
        <v>0</v>
      </c>
    </row>
    <row r="2077">
      <c r="A2077" s="5" t="n">
        <v>46220</v>
      </c>
      <c r="B2077" t="inlineStr">
        <is>
          <t>google_brand_search</t>
        </is>
      </c>
      <c r="C2077" t="inlineStr">
        <is>
          <t>google</t>
        </is>
      </c>
      <c r="D2077" t="n">
        <v>7332</v>
      </c>
      <c r="E2077" t="n">
        <v>1527</v>
      </c>
      <c r="F2077" t="n">
        <v>69</v>
      </c>
      <c r="G2077" t="n">
        <v>7</v>
      </c>
      <c r="H2077" t="n">
        <v>0</v>
      </c>
      <c r="I2077" t="n">
        <v>1</v>
      </c>
      <c r="J2077" t="n">
        <v>0</v>
      </c>
    </row>
    <row r="2078">
      <c r="A2078" s="5" t="n">
        <v>46220</v>
      </c>
      <c r="B2078" t="inlineStr">
        <is>
          <t>google_nonbrand_growth</t>
        </is>
      </c>
      <c r="C2078" t="inlineStr">
        <is>
          <t>google</t>
        </is>
      </c>
      <c r="D2078" t="n">
        <v>18205</v>
      </c>
      <c r="E2078" t="n">
        <v>3792</v>
      </c>
      <c r="F2078" t="n">
        <v>197</v>
      </c>
      <c r="G2078" t="n">
        <v>5</v>
      </c>
      <c r="H2078" t="n">
        <v>0</v>
      </c>
      <c r="I2078" t="n">
        <v>0</v>
      </c>
      <c r="J2078" t="n">
        <v>0</v>
      </c>
    </row>
    <row r="2079">
      <c r="A2079" s="5" t="n">
        <v>46220</v>
      </c>
      <c r="B2079" t="inlineStr">
        <is>
          <t>linkedin_ceo_abm</t>
        </is>
      </c>
      <c r="C2079" t="inlineStr">
        <is>
          <t>linkedin</t>
        </is>
      </c>
      <c r="D2079" t="n">
        <v>26990</v>
      </c>
      <c r="E2079" t="n">
        <v>5190</v>
      </c>
      <c r="F2079" t="n">
        <v>29</v>
      </c>
      <c r="G2079" t="n">
        <v>1</v>
      </c>
      <c r="H2079" t="n">
        <v>1</v>
      </c>
      <c r="I2079" t="n">
        <v>1</v>
      </c>
      <c r="J2079" t="n">
        <v>0</v>
      </c>
    </row>
    <row r="2080">
      <c r="A2080" s="5" t="n">
        <v>46220</v>
      </c>
      <c r="B2080" t="inlineStr">
        <is>
          <t>meta_prospecting_founder</t>
        </is>
      </c>
      <c r="C2080" t="inlineStr">
        <is>
          <t>meta</t>
        </is>
      </c>
      <c r="D2080" t="n">
        <v>42516</v>
      </c>
      <c r="E2080" t="n">
        <v>30368</v>
      </c>
      <c r="F2080" t="n">
        <v>309</v>
      </c>
      <c r="G2080" t="n">
        <v>12</v>
      </c>
      <c r="H2080" t="n">
        <v>5</v>
      </c>
      <c r="I2080" t="n">
        <v>0</v>
      </c>
      <c r="J2080" t="n">
        <v>0</v>
      </c>
    </row>
    <row r="2081">
      <c r="A2081" s="5" t="n">
        <v>46220</v>
      </c>
      <c r="B2081" t="inlineStr">
        <is>
          <t>meta_retargeting_webinar</t>
        </is>
      </c>
      <c r="C2081" t="inlineStr">
        <is>
          <t>meta</t>
        </is>
      </c>
      <c r="D2081" t="n">
        <v>9165</v>
      </c>
      <c r="E2081" t="n">
        <v>6546</v>
      </c>
      <c r="F2081" t="n">
        <v>77</v>
      </c>
      <c r="G2081" t="n">
        <v>4</v>
      </c>
      <c r="H2081" t="n">
        <v>0</v>
      </c>
      <c r="I2081" t="n">
        <v>0</v>
      </c>
      <c r="J2081" t="n">
        <v>0</v>
      </c>
    </row>
    <row r="2082">
      <c r="A2082" s="5" t="n">
        <v>46221</v>
      </c>
      <c r="B2082" t="inlineStr">
        <is>
          <t>google_brand_search</t>
        </is>
      </c>
      <c r="C2082" t="inlineStr">
        <is>
          <t>google</t>
        </is>
      </c>
      <c r="D2082" t="n">
        <v>6185</v>
      </c>
      <c r="E2082" t="n">
        <v>1288</v>
      </c>
      <c r="F2082" t="n">
        <v>71</v>
      </c>
      <c r="G2082" t="n">
        <v>3</v>
      </c>
      <c r="H2082" t="n">
        <v>4</v>
      </c>
      <c r="I2082" t="n">
        <v>0</v>
      </c>
      <c r="J2082" t="n">
        <v>0</v>
      </c>
    </row>
    <row r="2083">
      <c r="A2083" s="5" t="n">
        <v>46221</v>
      </c>
      <c r="B2083" t="inlineStr">
        <is>
          <t>google_nonbrand_growth</t>
        </is>
      </c>
      <c r="C2083" t="inlineStr">
        <is>
          <t>google</t>
        </is>
      </c>
      <c r="D2083" t="n">
        <v>19194</v>
      </c>
      <c r="E2083" t="n">
        <v>3998</v>
      </c>
      <c r="F2083" t="n">
        <v>226</v>
      </c>
      <c r="G2083" t="n">
        <v>4</v>
      </c>
      <c r="H2083" t="n">
        <v>1</v>
      </c>
      <c r="I2083" t="n">
        <v>0</v>
      </c>
      <c r="J2083" t="n">
        <v>0</v>
      </c>
    </row>
    <row r="2084">
      <c r="A2084" s="5" t="n">
        <v>46221</v>
      </c>
      <c r="B2084" t="inlineStr">
        <is>
          <t>linkedin_ceo_abm</t>
        </is>
      </c>
      <c r="C2084" t="inlineStr">
        <is>
          <t>linkedin</t>
        </is>
      </c>
      <c r="D2084" t="n">
        <v>27676</v>
      </c>
      <c r="E2084" t="n">
        <v>5322</v>
      </c>
      <c r="F2084" t="n">
        <v>29</v>
      </c>
      <c r="G2084" t="n">
        <v>2</v>
      </c>
      <c r="H2084" t="n">
        <v>0</v>
      </c>
      <c r="I2084" t="n">
        <v>0</v>
      </c>
      <c r="J2084" t="n">
        <v>0</v>
      </c>
    </row>
    <row r="2085">
      <c r="A2085" s="5" t="n">
        <v>46221</v>
      </c>
      <c r="B2085" t="inlineStr">
        <is>
          <t>meta_prospecting_founder</t>
        </is>
      </c>
      <c r="C2085" t="inlineStr">
        <is>
          <t>meta</t>
        </is>
      </c>
      <c r="D2085" t="n">
        <v>35650</v>
      </c>
      <c r="E2085" t="n">
        <v>25464</v>
      </c>
      <c r="F2085" t="n">
        <v>306</v>
      </c>
      <c r="G2085" t="n">
        <v>12</v>
      </c>
      <c r="H2085" t="n">
        <v>2</v>
      </c>
      <c r="I2085" t="n">
        <v>1</v>
      </c>
      <c r="J2085" t="n">
        <v>0</v>
      </c>
    </row>
    <row r="2086">
      <c r="A2086" s="5" t="n">
        <v>46221</v>
      </c>
      <c r="B2086" t="inlineStr">
        <is>
          <t>meta_retargeting_webinar</t>
        </is>
      </c>
      <c r="C2086" t="inlineStr">
        <is>
          <t>meta</t>
        </is>
      </c>
      <c r="D2086" t="n">
        <v>9398</v>
      </c>
      <c r="E2086" t="n">
        <v>6712</v>
      </c>
      <c r="F2086" t="n">
        <v>80</v>
      </c>
      <c r="G2086" t="n">
        <v>1</v>
      </c>
      <c r="H2086" t="n">
        <v>2</v>
      </c>
      <c r="I2086" t="n">
        <v>1</v>
      </c>
      <c r="J2086" t="n">
        <v>0</v>
      </c>
    </row>
    <row r="2087">
      <c r="A2087" s="5" t="n">
        <v>46222</v>
      </c>
      <c r="B2087" t="inlineStr">
        <is>
          <t>google_brand_search</t>
        </is>
      </c>
      <c r="C2087" t="inlineStr">
        <is>
          <t>google</t>
        </is>
      </c>
      <c r="D2087" t="n">
        <v>6553</v>
      </c>
      <c r="E2087" t="n">
        <v>1365</v>
      </c>
      <c r="F2087" t="n">
        <v>67</v>
      </c>
      <c r="G2087" t="n">
        <v>3</v>
      </c>
      <c r="H2087" t="n">
        <v>1</v>
      </c>
      <c r="I2087" t="n">
        <v>1</v>
      </c>
      <c r="J2087" t="n">
        <v>0</v>
      </c>
    </row>
    <row r="2088">
      <c r="A2088" s="5" t="n">
        <v>46222</v>
      </c>
      <c r="B2088" t="inlineStr">
        <is>
          <t>google_nonbrand_growth</t>
        </is>
      </c>
      <c r="C2088" t="inlineStr">
        <is>
          <t>google</t>
        </is>
      </c>
      <c r="D2088" t="n">
        <v>19830</v>
      </c>
      <c r="E2088" t="n">
        <v>4131</v>
      </c>
      <c r="F2088" t="n">
        <v>236</v>
      </c>
      <c r="G2088" t="n">
        <v>3</v>
      </c>
      <c r="H2088" t="n">
        <v>0</v>
      </c>
      <c r="I2088" t="n">
        <v>1</v>
      </c>
      <c r="J2088" t="n">
        <v>0</v>
      </c>
    </row>
    <row r="2089">
      <c r="A2089" s="5" t="n">
        <v>46222</v>
      </c>
      <c r="B2089" t="inlineStr">
        <is>
          <t>linkedin_ceo_abm</t>
        </is>
      </c>
      <c r="C2089" t="inlineStr">
        <is>
          <t>linkedin</t>
        </is>
      </c>
      <c r="D2089" t="n">
        <v>24495</v>
      </c>
      <c r="E2089" t="n">
        <v>4710</v>
      </c>
      <c r="F2089" t="n">
        <v>27</v>
      </c>
      <c r="G2089" t="n">
        <v>1</v>
      </c>
      <c r="H2089" t="n">
        <v>1</v>
      </c>
      <c r="I2089" t="n">
        <v>1</v>
      </c>
      <c r="J2089" t="n">
        <v>0</v>
      </c>
    </row>
    <row r="2090">
      <c r="A2090" s="5" t="n">
        <v>46222</v>
      </c>
      <c r="B2090" t="inlineStr">
        <is>
          <t>meta_prospecting_founder</t>
        </is>
      </c>
      <c r="C2090" t="inlineStr">
        <is>
          <t>meta</t>
        </is>
      </c>
      <c r="D2090" t="n">
        <v>36932</v>
      </c>
      <c r="E2090" t="n">
        <v>26380</v>
      </c>
      <c r="F2090" t="n">
        <v>257</v>
      </c>
      <c r="G2090" t="n">
        <v>4</v>
      </c>
      <c r="H2090" t="n">
        <v>2</v>
      </c>
      <c r="I2090" t="n">
        <v>2</v>
      </c>
      <c r="J2090" t="n">
        <v>0</v>
      </c>
    </row>
    <row r="2091">
      <c r="A2091" s="5" t="n">
        <v>46222</v>
      </c>
      <c r="B2091" t="inlineStr">
        <is>
          <t>meta_retargeting_webinar</t>
        </is>
      </c>
      <c r="C2091" t="inlineStr">
        <is>
          <t>meta</t>
        </is>
      </c>
      <c r="D2091" t="n">
        <v>10130</v>
      </c>
      <c r="E2091" t="n">
        <v>7235</v>
      </c>
      <c r="F2091" t="n">
        <v>77</v>
      </c>
      <c r="G2091" t="n">
        <v>3</v>
      </c>
      <c r="H2091" t="n">
        <v>2</v>
      </c>
      <c r="I2091" t="n">
        <v>0</v>
      </c>
      <c r="J2091" t="n">
        <v>1</v>
      </c>
    </row>
    <row r="2092">
      <c r="A2092" s="5" t="n">
        <v>46223</v>
      </c>
      <c r="B2092" t="inlineStr">
        <is>
          <t>google_brand_search</t>
        </is>
      </c>
      <c r="C2092" t="inlineStr">
        <is>
          <t>google</t>
        </is>
      </c>
      <c r="D2092" t="n">
        <v>6338</v>
      </c>
      <c r="E2092" t="n">
        <v>1320</v>
      </c>
      <c r="F2092" t="n">
        <v>65</v>
      </c>
      <c r="G2092" t="n">
        <v>5</v>
      </c>
      <c r="H2092" t="n">
        <v>3</v>
      </c>
      <c r="I2092" t="n">
        <v>0</v>
      </c>
      <c r="J2092" t="n">
        <v>0</v>
      </c>
    </row>
    <row r="2093">
      <c r="A2093" s="5" t="n">
        <v>46223</v>
      </c>
      <c r="B2093" t="inlineStr">
        <is>
          <t>google_nonbrand_growth</t>
        </is>
      </c>
      <c r="C2093" t="inlineStr">
        <is>
          <t>google</t>
        </is>
      </c>
      <c r="D2093" t="n">
        <v>21013</v>
      </c>
      <c r="E2093" t="n">
        <v>4377</v>
      </c>
      <c r="F2093" t="n">
        <v>225</v>
      </c>
      <c r="G2093" t="n">
        <v>3</v>
      </c>
      <c r="H2093" t="n">
        <v>1</v>
      </c>
      <c r="I2093" t="n">
        <v>0</v>
      </c>
      <c r="J2093" t="n">
        <v>0</v>
      </c>
    </row>
    <row r="2094">
      <c r="A2094" s="5" t="n">
        <v>46223</v>
      </c>
      <c r="B2094" t="inlineStr">
        <is>
          <t>linkedin_ceo_abm</t>
        </is>
      </c>
      <c r="C2094" t="inlineStr">
        <is>
          <t>linkedin</t>
        </is>
      </c>
      <c r="D2094" t="n">
        <v>24062</v>
      </c>
      <c r="E2094" t="n">
        <v>4627</v>
      </c>
      <c r="F2094" t="n">
        <v>29</v>
      </c>
      <c r="G2094" t="n">
        <v>0</v>
      </c>
      <c r="H2094" t="n">
        <v>0</v>
      </c>
      <c r="I2094" t="n">
        <v>0</v>
      </c>
      <c r="J2094" t="n">
        <v>0</v>
      </c>
    </row>
    <row r="2095">
      <c r="A2095" s="5" t="n">
        <v>46223</v>
      </c>
      <c r="B2095" t="inlineStr">
        <is>
          <t>meta_prospecting_founder</t>
        </is>
      </c>
      <c r="C2095" t="inlineStr">
        <is>
          <t>meta</t>
        </is>
      </c>
      <c r="D2095" t="n">
        <v>35411</v>
      </c>
      <c r="E2095" t="n">
        <v>25293</v>
      </c>
      <c r="F2095" t="n">
        <v>244</v>
      </c>
      <c r="G2095" t="n">
        <v>7</v>
      </c>
      <c r="H2095" t="n">
        <v>1</v>
      </c>
      <c r="I2095" t="n">
        <v>2</v>
      </c>
      <c r="J2095" t="n">
        <v>0</v>
      </c>
    </row>
    <row r="2096">
      <c r="A2096" s="5" t="n">
        <v>46223</v>
      </c>
      <c r="B2096" t="inlineStr">
        <is>
          <t>meta_retargeting_webinar</t>
        </is>
      </c>
      <c r="C2096" t="inlineStr">
        <is>
          <t>meta</t>
        </is>
      </c>
      <c r="D2096" t="n">
        <v>8846</v>
      </c>
      <c r="E2096" t="n">
        <v>6318</v>
      </c>
      <c r="F2096" t="n">
        <v>77</v>
      </c>
      <c r="G2096" t="n">
        <v>2</v>
      </c>
      <c r="H2096" t="n">
        <v>1</v>
      </c>
      <c r="I2096" t="n">
        <v>1</v>
      </c>
      <c r="J2096" t="n">
        <v>0</v>
      </c>
    </row>
    <row r="2097">
      <c r="A2097" s="5" t="n">
        <v>46224</v>
      </c>
      <c r="B2097" t="inlineStr">
        <is>
          <t>google_brand_search</t>
        </is>
      </c>
      <c r="C2097" t="inlineStr">
        <is>
          <t>google</t>
        </is>
      </c>
      <c r="D2097" t="n">
        <v>6740</v>
      </c>
      <c r="E2097" t="n">
        <v>1404</v>
      </c>
      <c r="F2097" t="n">
        <v>74</v>
      </c>
      <c r="G2097" t="n">
        <v>2</v>
      </c>
      <c r="H2097" t="n">
        <v>3</v>
      </c>
      <c r="I2097" t="n">
        <v>1</v>
      </c>
      <c r="J2097" t="n">
        <v>0</v>
      </c>
    </row>
    <row r="2098">
      <c r="A2098" s="5" t="n">
        <v>46224</v>
      </c>
      <c r="B2098" t="inlineStr">
        <is>
          <t>google_nonbrand_growth</t>
        </is>
      </c>
      <c r="C2098" t="inlineStr">
        <is>
          <t>google</t>
        </is>
      </c>
      <c r="D2098" t="n">
        <v>20901</v>
      </c>
      <c r="E2098" t="n">
        <v>4354</v>
      </c>
      <c r="F2098" t="n">
        <v>237</v>
      </c>
      <c r="G2098" t="n">
        <v>3</v>
      </c>
      <c r="H2098" t="n">
        <v>0</v>
      </c>
      <c r="I2098" t="n">
        <v>0</v>
      </c>
      <c r="J2098" t="n">
        <v>0</v>
      </c>
    </row>
    <row r="2099">
      <c r="A2099" s="5" t="n">
        <v>46224</v>
      </c>
      <c r="B2099" t="inlineStr">
        <is>
          <t>linkedin_ceo_abm</t>
        </is>
      </c>
      <c r="C2099" t="inlineStr">
        <is>
          <t>linkedin</t>
        </is>
      </c>
      <c r="D2099" t="n">
        <v>26230</v>
      </c>
      <c r="E2099" t="n">
        <v>5044</v>
      </c>
      <c r="F2099" t="n">
        <v>32</v>
      </c>
      <c r="G2099" t="n">
        <v>4</v>
      </c>
      <c r="H2099" t="n">
        <v>1</v>
      </c>
      <c r="I2099" t="n">
        <v>1</v>
      </c>
      <c r="J2099" t="n">
        <v>0</v>
      </c>
    </row>
    <row r="2100">
      <c r="A2100" s="5" t="n">
        <v>46224</v>
      </c>
      <c r="B2100" t="inlineStr">
        <is>
          <t>meta_prospecting_founder</t>
        </is>
      </c>
      <c r="C2100" t="inlineStr">
        <is>
          <t>meta</t>
        </is>
      </c>
      <c r="D2100" t="n">
        <v>36322</v>
      </c>
      <c r="E2100" t="n">
        <v>25944</v>
      </c>
      <c r="F2100" t="n">
        <v>305</v>
      </c>
      <c r="G2100" t="n">
        <v>10</v>
      </c>
      <c r="H2100" t="n">
        <v>1</v>
      </c>
      <c r="I2100" t="n">
        <v>3</v>
      </c>
      <c r="J2100" t="n">
        <v>0</v>
      </c>
    </row>
    <row r="2101">
      <c r="A2101" s="5" t="n">
        <v>46224</v>
      </c>
      <c r="B2101" t="inlineStr">
        <is>
          <t>meta_retargeting_webinar</t>
        </is>
      </c>
      <c r="C2101" t="inlineStr">
        <is>
          <t>meta</t>
        </is>
      </c>
      <c r="D2101" t="n">
        <v>8961</v>
      </c>
      <c r="E2101" t="n">
        <v>6400</v>
      </c>
      <c r="F2101" t="n">
        <v>62</v>
      </c>
      <c r="G2101" t="n">
        <v>3</v>
      </c>
      <c r="H2101" t="n">
        <v>0</v>
      </c>
      <c r="I2101" t="n">
        <v>1</v>
      </c>
      <c r="J2101" t="n">
        <v>0</v>
      </c>
    </row>
    <row r="2102">
      <c r="A2102" s="5" t="n">
        <v>46225</v>
      </c>
      <c r="B2102" t="inlineStr">
        <is>
          <t>google_brand_search</t>
        </is>
      </c>
      <c r="C2102" t="inlineStr">
        <is>
          <t>google</t>
        </is>
      </c>
      <c r="D2102" t="n">
        <v>7364</v>
      </c>
      <c r="E2102" t="n">
        <v>1534</v>
      </c>
      <c r="F2102" t="n">
        <v>68</v>
      </c>
      <c r="G2102" t="n">
        <v>6</v>
      </c>
      <c r="H2102" t="n">
        <v>1</v>
      </c>
      <c r="I2102" t="n">
        <v>2</v>
      </c>
      <c r="J2102" t="n">
        <v>0</v>
      </c>
    </row>
    <row r="2103">
      <c r="A2103" s="5" t="n">
        <v>46225</v>
      </c>
      <c r="B2103" t="inlineStr">
        <is>
          <t>google_nonbrand_growth</t>
        </is>
      </c>
      <c r="C2103" t="inlineStr">
        <is>
          <t>google</t>
        </is>
      </c>
      <c r="D2103" t="n">
        <v>18781</v>
      </c>
      <c r="E2103" t="n">
        <v>3912</v>
      </c>
      <c r="F2103" t="n">
        <v>227</v>
      </c>
      <c r="G2103" t="n">
        <v>4</v>
      </c>
      <c r="H2103" t="n">
        <v>0</v>
      </c>
      <c r="I2103" t="n">
        <v>0</v>
      </c>
      <c r="J2103" t="n">
        <v>0</v>
      </c>
    </row>
    <row r="2104">
      <c r="A2104" s="5" t="n">
        <v>46225</v>
      </c>
      <c r="B2104" t="inlineStr">
        <is>
          <t>linkedin_ceo_abm</t>
        </is>
      </c>
      <c r="C2104" t="inlineStr">
        <is>
          <t>linkedin</t>
        </is>
      </c>
      <c r="D2104" t="n">
        <v>27797</v>
      </c>
      <c r="E2104" t="n">
        <v>5345</v>
      </c>
      <c r="F2104" t="n">
        <v>33</v>
      </c>
      <c r="G2104" t="n">
        <v>0</v>
      </c>
      <c r="H2104" t="n">
        <v>0</v>
      </c>
      <c r="I2104" t="n">
        <v>0</v>
      </c>
      <c r="J2104" t="n">
        <v>0</v>
      </c>
    </row>
    <row r="2105">
      <c r="A2105" s="5" t="n">
        <v>46225</v>
      </c>
      <c r="B2105" t="inlineStr">
        <is>
          <t>meta_prospecting_founder</t>
        </is>
      </c>
      <c r="C2105" t="inlineStr">
        <is>
          <t>meta</t>
        </is>
      </c>
      <c r="D2105" t="n">
        <v>42281</v>
      </c>
      <c r="E2105" t="n">
        <v>30200</v>
      </c>
      <c r="F2105" t="n">
        <v>376</v>
      </c>
      <c r="G2105" t="n">
        <v>19</v>
      </c>
      <c r="H2105" t="n">
        <v>0</v>
      </c>
      <c r="I2105" t="n">
        <v>1</v>
      </c>
      <c r="J2105" t="n">
        <v>1</v>
      </c>
    </row>
    <row r="2106">
      <c r="A2106" s="5" t="n">
        <v>46225</v>
      </c>
      <c r="B2106" t="inlineStr">
        <is>
          <t>meta_retargeting_webinar</t>
        </is>
      </c>
      <c r="C2106" t="inlineStr">
        <is>
          <t>meta</t>
        </is>
      </c>
      <c r="D2106" t="n">
        <v>8919</v>
      </c>
      <c r="E2106" t="n">
        <v>6370</v>
      </c>
      <c r="F2106" t="n">
        <v>67</v>
      </c>
      <c r="G2106" t="n">
        <v>1</v>
      </c>
      <c r="H2106" t="n">
        <v>2</v>
      </c>
      <c r="I2106" t="n">
        <v>0</v>
      </c>
      <c r="J2106" t="n">
        <v>0</v>
      </c>
    </row>
    <row r="2107">
      <c r="A2107" s="5" t="n">
        <v>46226</v>
      </c>
      <c r="B2107" t="inlineStr">
        <is>
          <t>google_brand_search</t>
        </is>
      </c>
      <c r="C2107" t="inlineStr">
        <is>
          <t>google</t>
        </is>
      </c>
      <c r="D2107" t="n">
        <v>7047</v>
      </c>
      <c r="E2107" t="n">
        <v>1468</v>
      </c>
      <c r="F2107" t="n">
        <v>79</v>
      </c>
      <c r="G2107" t="n">
        <v>1</v>
      </c>
      <c r="H2107" t="n">
        <v>3</v>
      </c>
      <c r="I2107" t="n">
        <v>2</v>
      </c>
      <c r="J2107" t="n">
        <v>0</v>
      </c>
    </row>
    <row r="2108">
      <c r="A2108" s="5" t="n">
        <v>46226</v>
      </c>
      <c r="B2108" t="inlineStr">
        <is>
          <t>google_nonbrand_growth</t>
        </is>
      </c>
      <c r="C2108" t="inlineStr">
        <is>
          <t>google</t>
        </is>
      </c>
      <c r="D2108" t="n">
        <v>18350</v>
      </c>
      <c r="E2108" t="n">
        <v>3822</v>
      </c>
      <c r="F2108" t="n">
        <v>188</v>
      </c>
      <c r="G2108" t="n">
        <v>1</v>
      </c>
      <c r="H2108" t="n">
        <v>1</v>
      </c>
      <c r="I2108" t="n">
        <v>0</v>
      </c>
      <c r="J2108" t="n">
        <v>0</v>
      </c>
    </row>
    <row r="2109">
      <c r="A2109" s="5" t="n">
        <v>46226</v>
      </c>
      <c r="B2109" t="inlineStr">
        <is>
          <t>linkedin_ceo_abm</t>
        </is>
      </c>
      <c r="C2109" t="inlineStr">
        <is>
          <t>linkedin</t>
        </is>
      </c>
      <c r="D2109" t="n">
        <v>26458</v>
      </c>
      <c r="E2109" t="n">
        <v>5088</v>
      </c>
      <c r="F2109" t="n">
        <v>33</v>
      </c>
      <c r="G2109" t="n">
        <v>3</v>
      </c>
      <c r="H2109" t="n">
        <v>1</v>
      </c>
      <c r="I2109" t="n">
        <v>1</v>
      </c>
      <c r="J2109" t="n">
        <v>0</v>
      </c>
    </row>
    <row r="2110">
      <c r="A2110" s="5" t="n">
        <v>46226</v>
      </c>
      <c r="B2110" t="inlineStr">
        <is>
          <t>meta_prospecting_founder</t>
        </is>
      </c>
      <c r="C2110" t="inlineStr">
        <is>
          <t>meta</t>
        </is>
      </c>
      <c r="D2110" t="n">
        <v>40365</v>
      </c>
      <c r="E2110" t="n">
        <v>28832</v>
      </c>
      <c r="F2110" t="n">
        <v>309</v>
      </c>
      <c r="G2110" t="n">
        <v>16</v>
      </c>
      <c r="H2110" t="n">
        <v>3</v>
      </c>
      <c r="I2110" t="n">
        <v>0</v>
      </c>
      <c r="J2110" t="n">
        <v>0</v>
      </c>
    </row>
    <row r="2111">
      <c r="A2111" s="5" t="n">
        <v>46226</v>
      </c>
      <c r="B2111" t="inlineStr">
        <is>
          <t>meta_retargeting_webinar</t>
        </is>
      </c>
      <c r="C2111" t="inlineStr">
        <is>
          <t>meta</t>
        </is>
      </c>
      <c r="D2111" t="n">
        <v>10238</v>
      </c>
      <c r="E2111" t="n">
        <v>7312</v>
      </c>
      <c r="F2111" t="n">
        <v>74</v>
      </c>
      <c r="G2111" t="n">
        <v>6</v>
      </c>
      <c r="H2111" t="n">
        <v>1</v>
      </c>
      <c r="I2111" t="n">
        <v>2</v>
      </c>
      <c r="J2111" t="n">
        <v>0</v>
      </c>
    </row>
    <row r="2112">
      <c r="A2112" s="5" t="n">
        <v>46227</v>
      </c>
      <c r="B2112" t="inlineStr">
        <is>
          <t>google_brand_search</t>
        </is>
      </c>
      <c r="C2112" t="inlineStr">
        <is>
          <t>google</t>
        </is>
      </c>
      <c r="D2112" t="n">
        <v>7203</v>
      </c>
      <c r="E2112" t="n">
        <v>1500</v>
      </c>
      <c r="F2112" t="n">
        <v>88</v>
      </c>
      <c r="G2112" t="n">
        <v>6</v>
      </c>
      <c r="H2112" t="n">
        <v>1</v>
      </c>
      <c r="I2112" t="n">
        <v>1</v>
      </c>
      <c r="J2112" t="n">
        <v>1</v>
      </c>
    </row>
    <row r="2113">
      <c r="A2113" s="5" t="n">
        <v>46227</v>
      </c>
      <c r="B2113" t="inlineStr">
        <is>
          <t>google_nonbrand_growth</t>
        </is>
      </c>
      <c r="C2113" t="inlineStr">
        <is>
          <t>google</t>
        </is>
      </c>
      <c r="D2113" t="n">
        <v>17243</v>
      </c>
      <c r="E2113" t="n">
        <v>3592</v>
      </c>
      <c r="F2113" t="n">
        <v>172</v>
      </c>
      <c r="G2113" t="n">
        <v>1</v>
      </c>
      <c r="H2113" t="n">
        <v>2</v>
      </c>
      <c r="I2113" t="n">
        <v>0</v>
      </c>
      <c r="J2113" t="n">
        <v>0</v>
      </c>
    </row>
    <row r="2114">
      <c r="A2114" s="5" t="n">
        <v>46227</v>
      </c>
      <c r="B2114" t="inlineStr">
        <is>
          <t>linkedin_ceo_abm</t>
        </is>
      </c>
      <c r="C2114" t="inlineStr">
        <is>
          <t>linkedin</t>
        </is>
      </c>
      <c r="D2114" t="n">
        <v>23040</v>
      </c>
      <c r="E2114" t="n">
        <v>4430</v>
      </c>
      <c r="F2114" t="n">
        <v>30</v>
      </c>
      <c r="G2114" t="n">
        <v>2</v>
      </c>
      <c r="H2114" t="n">
        <v>0</v>
      </c>
      <c r="I2114" t="n">
        <v>0</v>
      </c>
      <c r="J2114" t="n">
        <v>0</v>
      </c>
    </row>
    <row r="2115">
      <c r="A2115" s="5" t="n">
        <v>46227</v>
      </c>
      <c r="B2115" t="inlineStr">
        <is>
          <t>meta_prospecting_founder</t>
        </is>
      </c>
      <c r="C2115" t="inlineStr">
        <is>
          <t>meta</t>
        </is>
      </c>
      <c r="D2115" t="n">
        <v>40199</v>
      </c>
      <c r="E2115" t="n">
        <v>28713</v>
      </c>
      <c r="F2115" t="n">
        <v>270</v>
      </c>
      <c r="G2115" t="n">
        <v>10</v>
      </c>
      <c r="H2115" t="n">
        <v>4</v>
      </c>
      <c r="I2115" t="n">
        <v>0</v>
      </c>
      <c r="J2115" t="n">
        <v>0</v>
      </c>
    </row>
    <row r="2116">
      <c r="A2116" s="5" t="n">
        <v>46227</v>
      </c>
      <c r="B2116" t="inlineStr">
        <is>
          <t>meta_retargeting_webinar</t>
        </is>
      </c>
      <c r="C2116" t="inlineStr">
        <is>
          <t>meta</t>
        </is>
      </c>
      <c r="D2116" t="n">
        <v>9677</v>
      </c>
      <c r="E2116" t="n">
        <v>6912</v>
      </c>
      <c r="F2116" t="n">
        <v>75</v>
      </c>
      <c r="G2116" t="n">
        <v>1</v>
      </c>
      <c r="H2116" t="n">
        <v>0</v>
      </c>
      <c r="I2116" t="n">
        <v>1</v>
      </c>
      <c r="J2116" t="n">
        <v>1</v>
      </c>
    </row>
    <row r="2117">
      <c r="A2117" s="5" t="n">
        <v>46228</v>
      </c>
      <c r="B2117" t="inlineStr">
        <is>
          <t>google_brand_search</t>
        </is>
      </c>
      <c r="C2117" t="inlineStr">
        <is>
          <t>google</t>
        </is>
      </c>
      <c r="D2117" t="n">
        <v>7099</v>
      </c>
      <c r="E2117" t="n">
        <v>1478</v>
      </c>
      <c r="F2117" t="n">
        <v>69</v>
      </c>
      <c r="G2117" t="n">
        <v>6</v>
      </c>
      <c r="H2117" t="n">
        <v>1</v>
      </c>
      <c r="I2117" t="n">
        <v>2</v>
      </c>
      <c r="J2117" t="n">
        <v>0</v>
      </c>
    </row>
    <row r="2118">
      <c r="A2118" s="5" t="n">
        <v>46228</v>
      </c>
      <c r="B2118" t="inlineStr">
        <is>
          <t>google_nonbrand_growth</t>
        </is>
      </c>
      <c r="C2118" t="inlineStr">
        <is>
          <t>google</t>
        </is>
      </c>
      <c r="D2118" t="n">
        <v>19780</v>
      </c>
      <c r="E2118" t="n">
        <v>4120</v>
      </c>
      <c r="F2118" t="n">
        <v>191</v>
      </c>
      <c r="G2118" t="n">
        <v>4</v>
      </c>
      <c r="H2118" t="n">
        <v>1</v>
      </c>
      <c r="I2118" t="n">
        <v>0</v>
      </c>
      <c r="J2118" t="n">
        <v>0</v>
      </c>
    </row>
    <row r="2119">
      <c r="A2119" s="5" t="n">
        <v>46228</v>
      </c>
      <c r="B2119" t="inlineStr">
        <is>
          <t>linkedin_ceo_abm</t>
        </is>
      </c>
      <c r="C2119" t="inlineStr">
        <is>
          <t>linkedin</t>
        </is>
      </c>
      <c r="D2119" t="n">
        <v>24605</v>
      </c>
      <c r="E2119" t="n">
        <v>4731</v>
      </c>
      <c r="F2119" t="n">
        <v>28</v>
      </c>
      <c r="G2119" t="n">
        <v>4</v>
      </c>
      <c r="H2119" t="n">
        <v>0</v>
      </c>
      <c r="I2119" t="n">
        <v>0</v>
      </c>
      <c r="J2119" t="n">
        <v>0</v>
      </c>
    </row>
    <row r="2120">
      <c r="A2120" s="5" t="n">
        <v>46228</v>
      </c>
      <c r="B2120" t="inlineStr">
        <is>
          <t>meta_prospecting_founder</t>
        </is>
      </c>
      <c r="C2120" t="inlineStr">
        <is>
          <t>meta</t>
        </is>
      </c>
      <c r="D2120" t="n">
        <v>40514</v>
      </c>
      <c r="E2120" t="n">
        <v>28938</v>
      </c>
      <c r="F2120" t="n">
        <v>353</v>
      </c>
      <c r="G2120" t="n">
        <v>8</v>
      </c>
      <c r="H2120" t="n">
        <v>3</v>
      </c>
      <c r="I2120" t="n">
        <v>0</v>
      </c>
      <c r="J2120" t="n">
        <v>1</v>
      </c>
    </row>
    <row r="2121">
      <c r="A2121" s="5" t="n">
        <v>46228</v>
      </c>
      <c r="B2121" t="inlineStr">
        <is>
          <t>meta_retargeting_webinar</t>
        </is>
      </c>
      <c r="C2121" t="inlineStr">
        <is>
          <t>meta</t>
        </is>
      </c>
      <c r="D2121" t="n">
        <v>8847</v>
      </c>
      <c r="E2121" t="n">
        <v>6319</v>
      </c>
      <c r="F2121" t="n">
        <v>59</v>
      </c>
      <c r="G2121" t="n">
        <v>2</v>
      </c>
      <c r="H2121" t="n">
        <v>1</v>
      </c>
      <c r="I2121" t="n">
        <v>2</v>
      </c>
      <c r="J2121" t="n">
        <v>0</v>
      </c>
    </row>
    <row r="2122">
      <c r="A2122" s="5" t="n">
        <v>46229</v>
      </c>
      <c r="B2122" t="inlineStr">
        <is>
          <t>google_brand_search</t>
        </is>
      </c>
      <c r="C2122" t="inlineStr">
        <is>
          <t>google</t>
        </is>
      </c>
      <c r="D2122" t="n">
        <v>6468</v>
      </c>
      <c r="E2122" t="n">
        <v>1347</v>
      </c>
      <c r="F2122" t="n">
        <v>70</v>
      </c>
      <c r="G2122" t="n">
        <v>5</v>
      </c>
      <c r="H2122" t="n">
        <v>2</v>
      </c>
      <c r="I2122" t="n">
        <v>0</v>
      </c>
      <c r="J2122" t="n">
        <v>0</v>
      </c>
    </row>
    <row r="2123">
      <c r="A2123" s="5" t="n">
        <v>46229</v>
      </c>
      <c r="B2123" t="inlineStr">
        <is>
          <t>google_nonbrand_growth</t>
        </is>
      </c>
      <c r="C2123" t="inlineStr">
        <is>
          <t>google</t>
        </is>
      </c>
      <c r="D2123" t="n">
        <v>20855</v>
      </c>
      <c r="E2123" t="n">
        <v>4344</v>
      </c>
      <c r="F2123" t="n">
        <v>216</v>
      </c>
      <c r="G2123" t="n">
        <v>4</v>
      </c>
      <c r="H2123" t="n">
        <v>1</v>
      </c>
      <c r="I2123" t="n">
        <v>0</v>
      </c>
      <c r="J2123" t="n">
        <v>0</v>
      </c>
    </row>
    <row r="2124">
      <c r="A2124" s="5" t="n">
        <v>46229</v>
      </c>
      <c r="B2124" t="inlineStr">
        <is>
          <t>linkedin_ceo_abm</t>
        </is>
      </c>
      <c r="C2124" t="inlineStr">
        <is>
          <t>linkedin</t>
        </is>
      </c>
      <c r="D2124" t="n">
        <v>24808</v>
      </c>
      <c r="E2124" t="n">
        <v>4770</v>
      </c>
      <c r="F2124" t="n">
        <v>34</v>
      </c>
      <c r="G2124" t="n">
        <v>0</v>
      </c>
      <c r="H2124" t="n">
        <v>0</v>
      </c>
      <c r="I2124" t="n">
        <v>0</v>
      </c>
      <c r="J2124" t="n">
        <v>2</v>
      </c>
    </row>
    <row r="2125">
      <c r="A2125" s="5" t="n">
        <v>46229</v>
      </c>
      <c r="B2125" t="inlineStr">
        <is>
          <t>meta_prospecting_founder</t>
        </is>
      </c>
      <c r="C2125" t="inlineStr">
        <is>
          <t>meta</t>
        </is>
      </c>
      <c r="D2125" t="n">
        <v>38543</v>
      </c>
      <c r="E2125" t="n">
        <v>27530</v>
      </c>
      <c r="F2125" t="n">
        <v>342</v>
      </c>
      <c r="G2125" t="n">
        <v>6</v>
      </c>
      <c r="H2125" t="n">
        <v>6</v>
      </c>
      <c r="I2125" t="n">
        <v>3</v>
      </c>
      <c r="J2125" t="n">
        <v>0</v>
      </c>
    </row>
    <row r="2126">
      <c r="A2126" s="5" t="n">
        <v>46229</v>
      </c>
      <c r="B2126" t="inlineStr">
        <is>
          <t>meta_retargeting_webinar</t>
        </is>
      </c>
      <c r="C2126" t="inlineStr">
        <is>
          <t>meta</t>
        </is>
      </c>
      <c r="D2126" t="n">
        <v>9003</v>
      </c>
      <c r="E2126" t="n">
        <v>6430</v>
      </c>
      <c r="F2126" t="n">
        <v>79</v>
      </c>
      <c r="G2126" t="n">
        <v>5</v>
      </c>
      <c r="H2126" t="n">
        <v>0</v>
      </c>
      <c r="I2126" t="n">
        <v>0</v>
      </c>
      <c r="J2126" t="n">
        <v>0</v>
      </c>
    </row>
    <row r="2127">
      <c r="A2127" s="5" t="n">
        <v>46230</v>
      </c>
      <c r="B2127" t="inlineStr">
        <is>
          <t>google_brand_search</t>
        </is>
      </c>
      <c r="C2127" t="inlineStr">
        <is>
          <t>google</t>
        </is>
      </c>
      <c r="D2127" t="n">
        <v>6172</v>
      </c>
      <c r="E2127" t="n">
        <v>1285</v>
      </c>
      <c r="F2127" t="n">
        <v>66</v>
      </c>
      <c r="G2127" t="n">
        <v>1</v>
      </c>
      <c r="H2127" t="n">
        <v>5</v>
      </c>
      <c r="I2127" t="n">
        <v>0</v>
      </c>
      <c r="J2127" t="n">
        <v>0</v>
      </c>
    </row>
    <row r="2128">
      <c r="A2128" s="5" t="n">
        <v>46230</v>
      </c>
      <c r="B2128" t="inlineStr">
        <is>
          <t>google_nonbrand_growth</t>
        </is>
      </c>
      <c r="C2128" t="inlineStr">
        <is>
          <t>google</t>
        </is>
      </c>
      <c r="D2128" t="n">
        <v>21021</v>
      </c>
      <c r="E2128" t="n">
        <v>4379</v>
      </c>
      <c r="F2128" t="n">
        <v>238</v>
      </c>
      <c r="G2128" t="n">
        <v>1</v>
      </c>
      <c r="H2128" t="n">
        <v>0</v>
      </c>
      <c r="I2128" t="n">
        <v>0</v>
      </c>
      <c r="J2128" t="n">
        <v>0</v>
      </c>
    </row>
    <row r="2129">
      <c r="A2129" s="5" t="n">
        <v>46230</v>
      </c>
      <c r="B2129" t="inlineStr">
        <is>
          <t>linkedin_ceo_abm</t>
        </is>
      </c>
      <c r="C2129" t="inlineStr">
        <is>
          <t>linkedin</t>
        </is>
      </c>
      <c r="D2129" t="n">
        <v>25938</v>
      </c>
      <c r="E2129" t="n">
        <v>4988</v>
      </c>
      <c r="F2129" t="n">
        <v>35</v>
      </c>
      <c r="G2129" t="n">
        <v>3</v>
      </c>
      <c r="H2129" t="n">
        <v>0</v>
      </c>
      <c r="I2129" t="n">
        <v>0</v>
      </c>
      <c r="J2129" t="n">
        <v>0</v>
      </c>
    </row>
    <row r="2130">
      <c r="A2130" s="5" t="n">
        <v>46230</v>
      </c>
      <c r="B2130" t="inlineStr">
        <is>
          <t>meta_prospecting_founder</t>
        </is>
      </c>
      <c r="C2130" t="inlineStr">
        <is>
          <t>meta</t>
        </is>
      </c>
      <c r="D2130" t="n">
        <v>41129</v>
      </c>
      <c r="E2130" t="n">
        <v>29377</v>
      </c>
      <c r="F2130" t="n">
        <v>353</v>
      </c>
      <c r="G2130" t="n">
        <v>11</v>
      </c>
      <c r="H2130" t="n">
        <v>4</v>
      </c>
      <c r="I2130" t="n">
        <v>2</v>
      </c>
      <c r="J2130" t="n">
        <v>1</v>
      </c>
    </row>
    <row r="2131">
      <c r="A2131" s="5" t="n">
        <v>46230</v>
      </c>
      <c r="B2131" t="inlineStr">
        <is>
          <t>meta_retargeting_webinar</t>
        </is>
      </c>
      <c r="C2131" t="inlineStr">
        <is>
          <t>meta</t>
        </is>
      </c>
      <c r="D2131" t="n">
        <v>10241</v>
      </c>
      <c r="E2131" t="n">
        <v>7314</v>
      </c>
      <c r="F2131" t="n">
        <v>81</v>
      </c>
      <c r="G2131" t="n">
        <v>1</v>
      </c>
      <c r="H2131" t="n">
        <v>4</v>
      </c>
      <c r="I2131" t="n">
        <v>0</v>
      </c>
      <c r="J2131" t="n">
        <v>0</v>
      </c>
    </row>
    <row r="2132">
      <c r="A2132" s="5" t="n">
        <v>46231</v>
      </c>
      <c r="B2132" t="inlineStr">
        <is>
          <t>google_brand_search</t>
        </is>
      </c>
      <c r="C2132" t="inlineStr">
        <is>
          <t>google</t>
        </is>
      </c>
      <c r="D2132" t="n">
        <v>7515</v>
      </c>
      <c r="E2132" t="n">
        <v>1565</v>
      </c>
      <c r="F2132" t="n">
        <v>73</v>
      </c>
      <c r="G2132" t="n">
        <v>3</v>
      </c>
      <c r="H2132" t="n">
        <v>0</v>
      </c>
      <c r="I2132" t="n">
        <v>2</v>
      </c>
      <c r="J2132" t="n">
        <v>0</v>
      </c>
    </row>
    <row r="2133">
      <c r="A2133" s="5" t="n">
        <v>46231</v>
      </c>
      <c r="B2133" t="inlineStr">
        <is>
          <t>google_nonbrand_growth</t>
        </is>
      </c>
      <c r="C2133" t="inlineStr">
        <is>
          <t>google</t>
        </is>
      </c>
      <c r="D2133" t="n">
        <v>20053</v>
      </c>
      <c r="E2133" t="n">
        <v>4177</v>
      </c>
      <c r="F2133" t="n">
        <v>203</v>
      </c>
      <c r="G2133" t="n">
        <v>2</v>
      </c>
      <c r="H2133" t="n">
        <v>2</v>
      </c>
      <c r="I2133" t="n">
        <v>1</v>
      </c>
      <c r="J2133" t="n">
        <v>0</v>
      </c>
    </row>
    <row r="2134">
      <c r="A2134" s="5" t="n">
        <v>46231</v>
      </c>
      <c r="B2134" t="inlineStr">
        <is>
          <t>linkedin_ceo_abm</t>
        </is>
      </c>
      <c r="C2134" t="inlineStr">
        <is>
          <t>linkedin</t>
        </is>
      </c>
      <c r="D2134" t="n">
        <v>24817</v>
      </c>
      <c r="E2134" t="n">
        <v>4772</v>
      </c>
      <c r="F2134" t="n">
        <v>32</v>
      </c>
      <c r="G2134" t="n">
        <v>0</v>
      </c>
      <c r="H2134" t="n">
        <v>2</v>
      </c>
      <c r="I2134" t="n">
        <v>0</v>
      </c>
      <c r="J2134" t="n">
        <v>0</v>
      </c>
    </row>
    <row r="2135">
      <c r="A2135" s="5" t="n">
        <v>46231</v>
      </c>
      <c r="B2135" t="inlineStr">
        <is>
          <t>meta_prospecting_founder</t>
        </is>
      </c>
      <c r="C2135" t="inlineStr">
        <is>
          <t>meta</t>
        </is>
      </c>
      <c r="D2135" t="n">
        <v>41695</v>
      </c>
      <c r="E2135" t="n">
        <v>29782</v>
      </c>
      <c r="F2135" t="n">
        <v>306</v>
      </c>
      <c r="G2135" t="n">
        <v>10</v>
      </c>
      <c r="H2135" t="n">
        <v>1</v>
      </c>
      <c r="I2135" t="n">
        <v>3</v>
      </c>
      <c r="J2135" t="n">
        <v>0</v>
      </c>
    </row>
    <row r="2136">
      <c r="A2136" s="5" t="n">
        <v>46231</v>
      </c>
      <c r="B2136" t="inlineStr">
        <is>
          <t>meta_retargeting_webinar</t>
        </is>
      </c>
      <c r="C2136" t="inlineStr">
        <is>
          <t>meta</t>
        </is>
      </c>
      <c r="D2136" t="n">
        <v>9002</v>
      </c>
      <c r="E2136" t="n">
        <v>6430</v>
      </c>
      <c r="F2136" t="n">
        <v>80</v>
      </c>
      <c r="G2136" t="n">
        <v>2</v>
      </c>
      <c r="H2136" t="n">
        <v>0</v>
      </c>
      <c r="I2136" t="n">
        <v>1</v>
      </c>
      <c r="J2136" t="n">
        <v>0</v>
      </c>
    </row>
    <row r="2137">
      <c r="A2137" s="5" t="n">
        <v>46232</v>
      </c>
      <c r="B2137" t="inlineStr">
        <is>
          <t>google_brand_search</t>
        </is>
      </c>
      <c r="C2137" t="inlineStr">
        <is>
          <t>google</t>
        </is>
      </c>
      <c r="D2137" t="n">
        <v>6220</v>
      </c>
      <c r="E2137" t="n">
        <v>1295</v>
      </c>
      <c r="F2137" t="n">
        <v>75</v>
      </c>
      <c r="G2137" t="n">
        <v>2</v>
      </c>
      <c r="H2137" t="n">
        <v>2</v>
      </c>
      <c r="I2137" t="n">
        <v>1</v>
      </c>
      <c r="J2137" t="n">
        <v>0</v>
      </c>
    </row>
    <row r="2138">
      <c r="A2138" s="5" t="n">
        <v>46232</v>
      </c>
      <c r="B2138" t="inlineStr">
        <is>
          <t>google_nonbrand_growth</t>
        </is>
      </c>
      <c r="C2138" t="inlineStr">
        <is>
          <t>google</t>
        </is>
      </c>
      <c r="D2138" t="n">
        <v>20147</v>
      </c>
      <c r="E2138" t="n">
        <v>4197</v>
      </c>
      <c r="F2138" t="n">
        <v>242</v>
      </c>
      <c r="G2138" t="n">
        <v>2</v>
      </c>
      <c r="H2138" t="n">
        <v>1</v>
      </c>
      <c r="I2138" t="n">
        <v>0</v>
      </c>
      <c r="J2138" t="n">
        <v>0</v>
      </c>
    </row>
    <row r="2139">
      <c r="A2139" s="5" t="n">
        <v>46232</v>
      </c>
      <c r="B2139" t="inlineStr">
        <is>
          <t>linkedin_ceo_abm</t>
        </is>
      </c>
      <c r="C2139" t="inlineStr">
        <is>
          <t>linkedin</t>
        </is>
      </c>
      <c r="D2139" t="n">
        <v>27198</v>
      </c>
      <c r="E2139" t="n">
        <v>5230</v>
      </c>
      <c r="F2139" t="n">
        <v>30</v>
      </c>
      <c r="G2139" t="n">
        <v>2</v>
      </c>
      <c r="H2139" t="n">
        <v>0</v>
      </c>
      <c r="I2139" t="n">
        <v>2</v>
      </c>
      <c r="J2139" t="n">
        <v>0</v>
      </c>
    </row>
    <row r="2140">
      <c r="A2140" s="5" t="n">
        <v>46232</v>
      </c>
      <c r="B2140" t="inlineStr">
        <is>
          <t>meta_prospecting_founder</t>
        </is>
      </c>
      <c r="C2140" t="inlineStr">
        <is>
          <t>meta</t>
        </is>
      </c>
      <c r="D2140" t="n">
        <v>42720</v>
      </c>
      <c r="E2140" t="n">
        <v>30514</v>
      </c>
      <c r="F2140" t="n">
        <v>310</v>
      </c>
      <c r="G2140" t="n">
        <v>9</v>
      </c>
      <c r="H2140" t="n">
        <v>0</v>
      </c>
      <c r="I2140" t="n">
        <v>0</v>
      </c>
      <c r="J2140" t="n">
        <v>0</v>
      </c>
    </row>
    <row r="2141">
      <c r="A2141" s="5" t="n">
        <v>46232</v>
      </c>
      <c r="B2141" t="inlineStr">
        <is>
          <t>meta_retargeting_webinar</t>
        </is>
      </c>
      <c r="C2141" t="inlineStr">
        <is>
          <t>meta</t>
        </is>
      </c>
      <c r="D2141" t="n">
        <v>8923</v>
      </c>
      <c r="E2141" t="n">
        <v>6373</v>
      </c>
      <c r="F2141" t="n">
        <v>70</v>
      </c>
      <c r="G2141" t="n">
        <v>3</v>
      </c>
      <c r="H2141" t="n">
        <v>1</v>
      </c>
      <c r="I2141" t="n">
        <v>1</v>
      </c>
      <c r="J2141" t="n">
        <v>0</v>
      </c>
    </row>
    <row r="2142">
      <c r="A2142" s="5" t="n">
        <v>46233</v>
      </c>
      <c r="B2142" t="inlineStr">
        <is>
          <t>google_brand_search</t>
        </is>
      </c>
      <c r="C2142" t="inlineStr">
        <is>
          <t>google</t>
        </is>
      </c>
      <c r="D2142" t="n">
        <v>6495</v>
      </c>
      <c r="E2142" t="n">
        <v>1353</v>
      </c>
      <c r="F2142" t="n">
        <v>67</v>
      </c>
      <c r="G2142" t="n">
        <v>7</v>
      </c>
      <c r="H2142" t="n">
        <v>1</v>
      </c>
      <c r="I2142" t="n">
        <v>0</v>
      </c>
      <c r="J2142" t="n">
        <v>0</v>
      </c>
    </row>
    <row r="2143">
      <c r="A2143" s="5" t="n">
        <v>46233</v>
      </c>
      <c r="B2143" t="inlineStr">
        <is>
          <t>google_nonbrand_growth</t>
        </is>
      </c>
      <c r="C2143" t="inlineStr">
        <is>
          <t>google</t>
        </is>
      </c>
      <c r="D2143" t="n">
        <v>18283</v>
      </c>
      <c r="E2143" t="n">
        <v>3808</v>
      </c>
      <c r="F2143" t="n">
        <v>174</v>
      </c>
      <c r="G2143" t="n">
        <v>3</v>
      </c>
      <c r="H2143" t="n">
        <v>0</v>
      </c>
      <c r="I2143" t="n">
        <v>0</v>
      </c>
      <c r="J2143" t="n">
        <v>0</v>
      </c>
    </row>
    <row r="2144">
      <c r="A2144" s="5" t="n">
        <v>46233</v>
      </c>
      <c r="B2144" t="inlineStr">
        <is>
          <t>linkedin_ceo_abm</t>
        </is>
      </c>
      <c r="C2144" t="inlineStr">
        <is>
          <t>linkedin</t>
        </is>
      </c>
      <c r="D2144" t="n">
        <v>27865</v>
      </c>
      <c r="E2144" t="n">
        <v>5358</v>
      </c>
      <c r="F2144" t="n">
        <v>39</v>
      </c>
      <c r="G2144" t="n">
        <v>3</v>
      </c>
      <c r="H2144" t="n">
        <v>2</v>
      </c>
      <c r="I2144" t="n">
        <v>0</v>
      </c>
      <c r="J2144" t="n">
        <v>0</v>
      </c>
    </row>
    <row r="2145">
      <c r="A2145" s="5" t="n">
        <v>46233</v>
      </c>
      <c r="B2145" t="inlineStr">
        <is>
          <t>meta_prospecting_founder</t>
        </is>
      </c>
      <c r="C2145" t="inlineStr">
        <is>
          <t>meta</t>
        </is>
      </c>
      <c r="D2145" t="n">
        <v>42683</v>
      </c>
      <c r="E2145" t="n">
        <v>30487</v>
      </c>
      <c r="F2145" t="n">
        <v>355</v>
      </c>
      <c r="G2145" t="n">
        <v>11</v>
      </c>
      <c r="H2145" t="n">
        <v>3</v>
      </c>
      <c r="I2145" t="n">
        <v>1</v>
      </c>
      <c r="J2145" t="n">
        <v>0</v>
      </c>
    </row>
    <row r="2146">
      <c r="A2146" s="5" t="n">
        <v>46233</v>
      </c>
      <c r="B2146" t="inlineStr">
        <is>
          <t>meta_retargeting_webinar</t>
        </is>
      </c>
      <c r="C2146" t="inlineStr">
        <is>
          <t>meta</t>
        </is>
      </c>
      <c r="D2146" t="n">
        <v>9509</v>
      </c>
      <c r="E2146" t="n">
        <v>6792</v>
      </c>
      <c r="F2146" t="n">
        <v>66</v>
      </c>
      <c r="G2146" t="n">
        <v>4</v>
      </c>
      <c r="H2146" t="n">
        <v>0</v>
      </c>
      <c r="I2146" t="n">
        <v>0</v>
      </c>
      <c r="J2146" t="n">
        <v>0</v>
      </c>
    </row>
    <row r="2147">
      <c r="A2147" s="5" t="n">
        <v>46234</v>
      </c>
      <c r="B2147" t="inlineStr">
        <is>
          <t>google_brand_search</t>
        </is>
      </c>
      <c r="C2147" t="inlineStr">
        <is>
          <t>google</t>
        </is>
      </c>
      <c r="D2147" t="n">
        <v>7379</v>
      </c>
      <c r="E2147" t="n">
        <v>1537</v>
      </c>
      <c r="F2147" t="n">
        <v>71</v>
      </c>
      <c r="G2147" t="n">
        <v>4</v>
      </c>
      <c r="H2147" t="n">
        <v>2</v>
      </c>
      <c r="I2147" t="n">
        <v>1</v>
      </c>
      <c r="J2147" t="n">
        <v>0</v>
      </c>
    </row>
    <row r="2148">
      <c r="A2148" s="5" t="n">
        <v>46234</v>
      </c>
      <c r="B2148" t="inlineStr">
        <is>
          <t>google_nonbrand_growth</t>
        </is>
      </c>
      <c r="C2148" t="inlineStr">
        <is>
          <t>google</t>
        </is>
      </c>
      <c r="D2148" t="n">
        <v>18551</v>
      </c>
      <c r="E2148" t="n">
        <v>3864</v>
      </c>
      <c r="F2148" t="n">
        <v>212</v>
      </c>
      <c r="G2148" t="n">
        <v>4</v>
      </c>
      <c r="H2148" t="n">
        <v>1</v>
      </c>
      <c r="I2148" t="n">
        <v>1</v>
      </c>
      <c r="J2148" t="n">
        <v>0</v>
      </c>
    </row>
    <row r="2149">
      <c r="A2149" s="5" t="n">
        <v>46234</v>
      </c>
      <c r="B2149" t="inlineStr">
        <is>
          <t>linkedin_ceo_abm</t>
        </is>
      </c>
      <c r="C2149" t="inlineStr">
        <is>
          <t>linkedin</t>
        </is>
      </c>
      <c r="D2149" t="n">
        <v>24112</v>
      </c>
      <c r="E2149" t="n">
        <v>4636</v>
      </c>
      <c r="F2149" t="n">
        <v>32</v>
      </c>
      <c r="G2149" t="n">
        <v>3</v>
      </c>
      <c r="H2149" t="n">
        <v>1</v>
      </c>
      <c r="I2149" t="n">
        <v>1</v>
      </c>
      <c r="J2149" t="n">
        <v>0</v>
      </c>
    </row>
    <row r="2150">
      <c r="A2150" s="5" t="n">
        <v>46234</v>
      </c>
      <c r="B2150" t="inlineStr">
        <is>
          <t>meta_prospecting_founder</t>
        </is>
      </c>
      <c r="C2150" t="inlineStr">
        <is>
          <t>meta</t>
        </is>
      </c>
      <c r="D2150" t="n">
        <v>41612</v>
      </c>
      <c r="E2150" t="n">
        <v>29722</v>
      </c>
      <c r="F2150" t="n">
        <v>291</v>
      </c>
      <c r="G2150" t="n">
        <v>16</v>
      </c>
      <c r="H2150" t="n">
        <v>1</v>
      </c>
      <c r="I2150" t="n">
        <v>1</v>
      </c>
      <c r="J2150" t="n">
        <v>0</v>
      </c>
    </row>
    <row r="2151">
      <c r="A2151" s="5" t="n">
        <v>46234</v>
      </c>
      <c r="B2151" t="inlineStr">
        <is>
          <t>meta_retargeting_webinar</t>
        </is>
      </c>
      <c r="C2151" t="inlineStr">
        <is>
          <t>meta</t>
        </is>
      </c>
      <c r="D2151" t="n">
        <v>9427</v>
      </c>
      <c r="E2151" t="n">
        <v>6733</v>
      </c>
      <c r="F2151" t="n">
        <v>68</v>
      </c>
      <c r="G2151" t="n">
        <v>5</v>
      </c>
      <c r="H2151" t="n">
        <v>1</v>
      </c>
      <c r="I2151" t="n">
        <v>2</v>
      </c>
      <c r="J2151" t="n">
        <v>0</v>
      </c>
    </row>
    <row r="2152">
      <c r="A2152" s="5" t="n">
        <v>46235</v>
      </c>
      <c r="B2152" t="inlineStr">
        <is>
          <t>google_brand_search</t>
        </is>
      </c>
      <c r="C2152" t="inlineStr">
        <is>
          <t>google</t>
        </is>
      </c>
      <c r="D2152" t="n">
        <v>6527</v>
      </c>
      <c r="E2152" t="n">
        <v>1359</v>
      </c>
      <c r="F2152" t="n">
        <v>79</v>
      </c>
      <c r="G2152" t="n">
        <v>2</v>
      </c>
      <c r="H2152" t="n">
        <v>3</v>
      </c>
      <c r="I2152" t="n">
        <v>1</v>
      </c>
      <c r="J2152" t="n">
        <v>0</v>
      </c>
    </row>
    <row r="2153">
      <c r="A2153" s="5" t="n">
        <v>46235</v>
      </c>
      <c r="B2153" t="inlineStr">
        <is>
          <t>google_nonbrand_growth</t>
        </is>
      </c>
      <c r="C2153" t="inlineStr">
        <is>
          <t>google</t>
        </is>
      </c>
      <c r="D2153" t="n">
        <v>20184</v>
      </c>
      <c r="E2153" t="n">
        <v>4205</v>
      </c>
      <c r="F2153" t="n">
        <v>205</v>
      </c>
      <c r="G2153" t="n">
        <v>4</v>
      </c>
      <c r="H2153" t="n">
        <v>1</v>
      </c>
      <c r="I2153" t="n">
        <v>0</v>
      </c>
      <c r="J2153" t="n">
        <v>0</v>
      </c>
    </row>
    <row r="2154">
      <c r="A2154" s="5" t="n">
        <v>46235</v>
      </c>
      <c r="B2154" t="inlineStr">
        <is>
          <t>linkedin_ceo_abm</t>
        </is>
      </c>
      <c r="C2154" t="inlineStr">
        <is>
          <t>linkedin</t>
        </is>
      </c>
      <c r="D2154" t="n">
        <v>23263</v>
      </c>
      <c r="E2154" t="n">
        <v>4473</v>
      </c>
      <c r="F2154" t="n">
        <v>29</v>
      </c>
      <c r="G2154" t="n">
        <v>1</v>
      </c>
      <c r="H2154" t="n">
        <v>1</v>
      </c>
      <c r="I2154" t="n">
        <v>0</v>
      </c>
      <c r="J2154" t="n">
        <v>1</v>
      </c>
    </row>
    <row r="2155">
      <c r="A2155" s="5" t="n">
        <v>46235</v>
      </c>
      <c r="B2155" t="inlineStr">
        <is>
          <t>meta_prospecting_founder</t>
        </is>
      </c>
      <c r="C2155" t="inlineStr">
        <is>
          <t>meta</t>
        </is>
      </c>
      <c r="D2155" t="n">
        <v>37353</v>
      </c>
      <c r="E2155" t="n">
        <v>26680</v>
      </c>
      <c r="F2155" t="n">
        <v>317</v>
      </c>
      <c r="G2155" t="n">
        <v>7</v>
      </c>
      <c r="H2155" t="n">
        <v>4</v>
      </c>
      <c r="I2155" t="n">
        <v>1</v>
      </c>
      <c r="J2155" t="n">
        <v>0</v>
      </c>
    </row>
    <row r="2156">
      <c r="A2156" s="5" t="n">
        <v>46235</v>
      </c>
      <c r="B2156" t="inlineStr">
        <is>
          <t>meta_retargeting_webinar</t>
        </is>
      </c>
      <c r="C2156" t="inlineStr">
        <is>
          <t>meta</t>
        </is>
      </c>
      <c r="D2156" t="n">
        <v>10166</v>
      </c>
      <c r="E2156" t="n">
        <v>7261</v>
      </c>
      <c r="F2156" t="n">
        <v>83</v>
      </c>
      <c r="G2156" t="n">
        <v>2</v>
      </c>
      <c r="H2156" t="n">
        <v>0</v>
      </c>
      <c r="I2156" t="n">
        <v>0</v>
      </c>
      <c r="J2156" t="n">
        <v>0</v>
      </c>
    </row>
    <row r="2157">
      <c r="A2157" s="5" t="n">
        <v>46236</v>
      </c>
      <c r="B2157" t="inlineStr">
        <is>
          <t>google_brand_search</t>
        </is>
      </c>
      <c r="C2157" t="inlineStr">
        <is>
          <t>google</t>
        </is>
      </c>
      <c r="D2157" t="n">
        <v>6497</v>
      </c>
      <c r="E2157" t="n">
        <v>1353</v>
      </c>
      <c r="F2157" t="n">
        <v>77</v>
      </c>
      <c r="G2157" t="n">
        <v>3</v>
      </c>
      <c r="H2157" t="n">
        <v>1</v>
      </c>
      <c r="I2157" t="n">
        <v>1</v>
      </c>
      <c r="J2157" t="n">
        <v>0</v>
      </c>
    </row>
    <row r="2158">
      <c r="A2158" s="5" t="n">
        <v>46236</v>
      </c>
      <c r="B2158" t="inlineStr">
        <is>
          <t>google_nonbrand_growth</t>
        </is>
      </c>
      <c r="C2158" t="inlineStr">
        <is>
          <t>google</t>
        </is>
      </c>
      <c r="D2158" t="n">
        <v>17336</v>
      </c>
      <c r="E2158" t="n">
        <v>3611</v>
      </c>
      <c r="F2158" t="n">
        <v>206</v>
      </c>
      <c r="G2158" t="n">
        <v>1</v>
      </c>
      <c r="H2158" t="n">
        <v>2</v>
      </c>
      <c r="I2158" t="n">
        <v>0</v>
      </c>
      <c r="J2158" t="n">
        <v>0</v>
      </c>
    </row>
    <row r="2159">
      <c r="A2159" s="5" t="n">
        <v>46236</v>
      </c>
      <c r="B2159" t="inlineStr">
        <is>
          <t>linkedin_ceo_abm</t>
        </is>
      </c>
      <c r="C2159" t="inlineStr">
        <is>
          <t>linkedin</t>
        </is>
      </c>
      <c r="D2159" t="n">
        <v>25193</v>
      </c>
      <c r="E2159" t="n">
        <v>4844</v>
      </c>
      <c r="F2159" t="n">
        <v>27</v>
      </c>
      <c r="G2159" t="n">
        <v>2</v>
      </c>
      <c r="H2159" t="n">
        <v>0</v>
      </c>
      <c r="I2159" t="n">
        <v>1</v>
      </c>
      <c r="J2159" t="n">
        <v>0</v>
      </c>
    </row>
    <row r="2160">
      <c r="A2160" s="5" t="n">
        <v>46236</v>
      </c>
      <c r="B2160" t="inlineStr">
        <is>
          <t>meta_prospecting_founder</t>
        </is>
      </c>
      <c r="C2160" t="inlineStr">
        <is>
          <t>meta</t>
        </is>
      </c>
      <c r="D2160" t="n">
        <v>41935</v>
      </c>
      <c r="E2160" t="n">
        <v>29953</v>
      </c>
      <c r="F2160" t="n">
        <v>364</v>
      </c>
      <c r="G2160" t="n">
        <v>7</v>
      </c>
      <c r="H2160" t="n">
        <v>8</v>
      </c>
      <c r="I2160" t="n">
        <v>1</v>
      </c>
      <c r="J2160" t="n">
        <v>1</v>
      </c>
    </row>
    <row r="2161">
      <c r="A2161" s="5" t="n">
        <v>46236</v>
      </c>
      <c r="B2161" t="inlineStr">
        <is>
          <t>meta_retargeting_webinar</t>
        </is>
      </c>
      <c r="C2161" t="inlineStr">
        <is>
          <t>meta</t>
        </is>
      </c>
      <c r="D2161" t="n">
        <v>8609</v>
      </c>
      <c r="E2161" t="n">
        <v>6149</v>
      </c>
      <c r="F2161" t="n">
        <v>57</v>
      </c>
      <c r="G2161" t="n">
        <v>2</v>
      </c>
      <c r="H2161" t="n">
        <v>1</v>
      </c>
      <c r="I2161" t="n">
        <v>0</v>
      </c>
      <c r="J2161" t="n">
        <v>0</v>
      </c>
    </row>
    <row r="2162">
      <c r="A2162" s="5" t="n">
        <v>46237</v>
      </c>
      <c r="B2162" t="inlineStr">
        <is>
          <t>google_brand_search</t>
        </is>
      </c>
      <c r="C2162" t="inlineStr">
        <is>
          <t>google</t>
        </is>
      </c>
      <c r="D2162" t="n">
        <v>6287</v>
      </c>
      <c r="E2162" t="n">
        <v>1309</v>
      </c>
      <c r="F2162" t="n">
        <v>65</v>
      </c>
      <c r="G2162" t="n">
        <v>2</v>
      </c>
      <c r="H2162" t="n">
        <v>1</v>
      </c>
      <c r="I2162" t="n">
        <v>2</v>
      </c>
      <c r="J2162" t="n">
        <v>0</v>
      </c>
    </row>
    <row r="2163">
      <c r="A2163" s="5" t="n">
        <v>46237</v>
      </c>
      <c r="B2163" t="inlineStr">
        <is>
          <t>google_nonbrand_growth</t>
        </is>
      </c>
      <c r="C2163" t="inlineStr">
        <is>
          <t>google</t>
        </is>
      </c>
      <c r="D2163" t="n">
        <v>18098</v>
      </c>
      <c r="E2163" t="n">
        <v>3770</v>
      </c>
      <c r="F2163" t="n">
        <v>195</v>
      </c>
      <c r="G2163" t="n">
        <v>2</v>
      </c>
      <c r="H2163" t="n">
        <v>1</v>
      </c>
      <c r="I2163" t="n">
        <v>0</v>
      </c>
      <c r="J2163" t="n">
        <v>0</v>
      </c>
    </row>
    <row r="2164">
      <c r="A2164" s="5" t="n">
        <v>46237</v>
      </c>
      <c r="B2164" t="inlineStr">
        <is>
          <t>linkedin_ceo_abm</t>
        </is>
      </c>
      <c r="C2164" t="inlineStr">
        <is>
          <t>linkedin</t>
        </is>
      </c>
      <c r="D2164" t="n">
        <v>26314</v>
      </c>
      <c r="E2164" t="n">
        <v>5060</v>
      </c>
      <c r="F2164" t="n">
        <v>28</v>
      </c>
      <c r="G2164" t="n">
        <v>1</v>
      </c>
      <c r="H2164" t="n">
        <v>1</v>
      </c>
      <c r="I2164" t="n">
        <v>0</v>
      </c>
      <c r="J2164" t="n">
        <v>0</v>
      </c>
    </row>
    <row r="2165">
      <c r="A2165" s="5" t="n">
        <v>46237</v>
      </c>
      <c r="B2165" t="inlineStr">
        <is>
          <t>meta_prospecting_founder</t>
        </is>
      </c>
      <c r="C2165" t="inlineStr">
        <is>
          <t>meta</t>
        </is>
      </c>
      <c r="D2165" t="n">
        <v>36927</v>
      </c>
      <c r="E2165" t="n">
        <v>26376</v>
      </c>
      <c r="F2165" t="n">
        <v>291</v>
      </c>
      <c r="G2165" t="n">
        <v>13</v>
      </c>
      <c r="H2165" t="n">
        <v>1</v>
      </c>
      <c r="I2165" t="n">
        <v>2</v>
      </c>
      <c r="J2165" t="n">
        <v>0</v>
      </c>
    </row>
    <row r="2166">
      <c r="A2166" s="5" t="n">
        <v>46237</v>
      </c>
      <c r="B2166" t="inlineStr">
        <is>
          <t>meta_retargeting_webinar</t>
        </is>
      </c>
      <c r="C2166" t="inlineStr">
        <is>
          <t>meta</t>
        </is>
      </c>
      <c r="D2166" t="n">
        <v>9582</v>
      </c>
      <c r="E2166" t="n">
        <v>6844</v>
      </c>
      <c r="F2166" t="n">
        <v>71</v>
      </c>
      <c r="G2166" t="n">
        <v>3</v>
      </c>
      <c r="H2166" t="n">
        <v>1</v>
      </c>
      <c r="I2166" t="n">
        <v>0</v>
      </c>
      <c r="J2166" t="n">
        <v>1</v>
      </c>
    </row>
    <row r="2167">
      <c r="A2167" s="5" t="n">
        <v>46238</v>
      </c>
      <c r="B2167" t="inlineStr">
        <is>
          <t>google_brand_search</t>
        </is>
      </c>
      <c r="C2167" t="inlineStr">
        <is>
          <t>google</t>
        </is>
      </c>
      <c r="D2167" t="n">
        <v>6314</v>
      </c>
      <c r="E2167" t="n">
        <v>1315</v>
      </c>
      <c r="F2167" t="n">
        <v>76</v>
      </c>
      <c r="G2167" t="n">
        <v>0</v>
      </c>
      <c r="H2167" t="n">
        <v>2</v>
      </c>
      <c r="I2167" t="n">
        <v>0</v>
      </c>
      <c r="J2167" t="n">
        <v>0</v>
      </c>
    </row>
    <row r="2168">
      <c r="A2168" s="5" t="n">
        <v>46238</v>
      </c>
      <c r="B2168" t="inlineStr">
        <is>
          <t>google_nonbrand_growth</t>
        </is>
      </c>
      <c r="C2168" t="inlineStr">
        <is>
          <t>google</t>
        </is>
      </c>
      <c r="D2168" t="n">
        <v>17551</v>
      </c>
      <c r="E2168" t="n">
        <v>3656</v>
      </c>
      <c r="F2168" t="n">
        <v>175</v>
      </c>
      <c r="G2168" t="n">
        <v>3</v>
      </c>
      <c r="H2168" t="n">
        <v>1</v>
      </c>
      <c r="I2168" t="n">
        <v>1</v>
      </c>
      <c r="J2168" t="n">
        <v>1</v>
      </c>
    </row>
    <row r="2169">
      <c r="A2169" s="5" t="n">
        <v>46238</v>
      </c>
      <c r="B2169" t="inlineStr">
        <is>
          <t>linkedin_ceo_abm</t>
        </is>
      </c>
      <c r="C2169" t="inlineStr">
        <is>
          <t>linkedin</t>
        </is>
      </c>
      <c r="D2169" t="n">
        <v>24431</v>
      </c>
      <c r="E2169" t="n">
        <v>4698</v>
      </c>
      <c r="F2169" t="n">
        <v>32</v>
      </c>
      <c r="G2169" t="n">
        <v>2</v>
      </c>
      <c r="H2169" t="n">
        <v>0</v>
      </c>
      <c r="I2169" t="n">
        <v>0</v>
      </c>
      <c r="J2169" t="n">
        <v>0</v>
      </c>
    </row>
    <row r="2170">
      <c r="A2170" s="5" t="n">
        <v>46238</v>
      </c>
      <c r="B2170" t="inlineStr">
        <is>
          <t>meta_prospecting_founder</t>
        </is>
      </c>
      <c r="C2170" t="inlineStr">
        <is>
          <t>meta</t>
        </is>
      </c>
      <c r="D2170" t="n">
        <v>37692</v>
      </c>
      <c r="E2170" t="n">
        <v>26922</v>
      </c>
      <c r="F2170" t="n">
        <v>290</v>
      </c>
      <c r="G2170" t="n">
        <v>12</v>
      </c>
      <c r="H2170" t="n">
        <v>0</v>
      </c>
      <c r="I2170" t="n">
        <v>0</v>
      </c>
      <c r="J2170" t="n">
        <v>0</v>
      </c>
    </row>
    <row r="2171">
      <c r="A2171" s="5" t="n">
        <v>46238</v>
      </c>
      <c r="B2171" t="inlineStr">
        <is>
          <t>meta_retargeting_webinar</t>
        </is>
      </c>
      <c r="C2171" t="inlineStr">
        <is>
          <t>meta</t>
        </is>
      </c>
      <c r="D2171" t="n">
        <v>10056</v>
      </c>
      <c r="E2171" t="n">
        <v>7182</v>
      </c>
      <c r="F2171" t="n">
        <v>86</v>
      </c>
      <c r="G2171" t="n">
        <v>3</v>
      </c>
      <c r="H2171" t="n">
        <v>3</v>
      </c>
      <c r="I2171" t="n">
        <v>0</v>
      </c>
      <c r="J2171" t="n">
        <v>0</v>
      </c>
    </row>
    <row r="2172">
      <c r="A2172" s="5" t="n">
        <v>46239</v>
      </c>
      <c r="B2172" t="inlineStr">
        <is>
          <t>google_brand_search</t>
        </is>
      </c>
      <c r="C2172" t="inlineStr">
        <is>
          <t>google</t>
        </is>
      </c>
      <c r="D2172" t="n">
        <v>6906</v>
      </c>
      <c r="E2172" t="n">
        <v>1438</v>
      </c>
      <c r="F2172" t="n">
        <v>69</v>
      </c>
      <c r="G2172" t="n">
        <v>2</v>
      </c>
      <c r="H2172" t="n">
        <v>1</v>
      </c>
      <c r="I2172" t="n">
        <v>0</v>
      </c>
      <c r="J2172" t="n">
        <v>0</v>
      </c>
    </row>
    <row r="2173">
      <c r="A2173" s="5" t="n">
        <v>46239</v>
      </c>
      <c r="B2173" t="inlineStr">
        <is>
          <t>google_nonbrand_growth</t>
        </is>
      </c>
      <c r="C2173" t="inlineStr">
        <is>
          <t>google</t>
        </is>
      </c>
      <c r="D2173" t="n">
        <v>19535</v>
      </c>
      <c r="E2173" t="n">
        <v>4069</v>
      </c>
      <c r="F2173" t="n">
        <v>193</v>
      </c>
      <c r="G2173" t="n">
        <v>4</v>
      </c>
      <c r="H2173" t="n">
        <v>1</v>
      </c>
      <c r="I2173" t="n">
        <v>1</v>
      </c>
      <c r="J2173" t="n">
        <v>0</v>
      </c>
    </row>
    <row r="2174">
      <c r="A2174" s="5" t="n">
        <v>46239</v>
      </c>
      <c r="B2174" t="inlineStr">
        <is>
          <t>linkedin_ceo_abm</t>
        </is>
      </c>
      <c r="C2174" t="inlineStr">
        <is>
          <t>linkedin</t>
        </is>
      </c>
      <c r="D2174" t="n">
        <v>27606</v>
      </c>
      <c r="E2174" t="n">
        <v>5308</v>
      </c>
      <c r="F2174" t="n">
        <v>37</v>
      </c>
      <c r="G2174" t="n">
        <v>2</v>
      </c>
      <c r="H2174" t="n">
        <v>1</v>
      </c>
      <c r="I2174" t="n">
        <v>1</v>
      </c>
      <c r="J2174" t="n">
        <v>0</v>
      </c>
    </row>
    <row r="2175">
      <c r="A2175" s="5" t="n">
        <v>46239</v>
      </c>
      <c r="B2175" t="inlineStr">
        <is>
          <t>meta_prospecting_founder</t>
        </is>
      </c>
      <c r="C2175" t="inlineStr">
        <is>
          <t>meta</t>
        </is>
      </c>
      <c r="D2175" t="n">
        <v>41684</v>
      </c>
      <c r="E2175" t="n">
        <v>29774</v>
      </c>
      <c r="F2175" t="n">
        <v>309</v>
      </c>
      <c r="G2175" t="n">
        <v>16</v>
      </c>
      <c r="H2175" t="n">
        <v>2</v>
      </c>
      <c r="I2175" t="n">
        <v>0</v>
      </c>
      <c r="J2175" t="n">
        <v>0</v>
      </c>
    </row>
    <row r="2176">
      <c r="A2176" s="5" t="n">
        <v>46239</v>
      </c>
      <c r="B2176" t="inlineStr">
        <is>
          <t>meta_retargeting_webinar</t>
        </is>
      </c>
      <c r="C2176" t="inlineStr">
        <is>
          <t>meta</t>
        </is>
      </c>
      <c r="D2176" t="n">
        <v>9211</v>
      </c>
      <c r="E2176" t="n">
        <v>6579</v>
      </c>
      <c r="F2176" t="n">
        <v>82</v>
      </c>
      <c r="G2176" t="n">
        <v>7</v>
      </c>
      <c r="H2176" t="n">
        <v>2</v>
      </c>
      <c r="I2176" t="n">
        <v>1</v>
      </c>
      <c r="J2176" t="n">
        <v>0</v>
      </c>
    </row>
    <row r="2177">
      <c r="A2177" s="5" t="n">
        <v>46240</v>
      </c>
      <c r="B2177" t="inlineStr">
        <is>
          <t>google_brand_search</t>
        </is>
      </c>
      <c r="C2177" t="inlineStr">
        <is>
          <t>google</t>
        </is>
      </c>
      <c r="D2177" t="n">
        <v>6249</v>
      </c>
      <c r="E2177" t="n">
        <v>1301</v>
      </c>
      <c r="F2177" t="n">
        <v>77</v>
      </c>
      <c r="G2177" t="n">
        <v>2</v>
      </c>
      <c r="H2177" t="n">
        <v>0</v>
      </c>
      <c r="I2177" t="n">
        <v>0</v>
      </c>
      <c r="J2177" t="n">
        <v>1</v>
      </c>
    </row>
    <row r="2178">
      <c r="A2178" s="5" t="n">
        <v>46240</v>
      </c>
      <c r="B2178" t="inlineStr">
        <is>
          <t>google_nonbrand_growth</t>
        </is>
      </c>
      <c r="C2178" t="inlineStr">
        <is>
          <t>google</t>
        </is>
      </c>
      <c r="D2178" t="n">
        <v>19531</v>
      </c>
      <c r="E2178" t="n">
        <v>4068</v>
      </c>
      <c r="F2178" t="n">
        <v>227</v>
      </c>
      <c r="G2178" t="n">
        <v>2</v>
      </c>
      <c r="H2178" t="n">
        <v>0</v>
      </c>
      <c r="I2178" t="n">
        <v>1</v>
      </c>
      <c r="J2178" t="n">
        <v>0</v>
      </c>
    </row>
    <row r="2179">
      <c r="A2179" s="5" t="n">
        <v>46240</v>
      </c>
      <c r="B2179" t="inlineStr">
        <is>
          <t>linkedin_ceo_abm</t>
        </is>
      </c>
      <c r="C2179" t="inlineStr">
        <is>
          <t>linkedin</t>
        </is>
      </c>
      <c r="D2179" t="n">
        <v>24300</v>
      </c>
      <c r="E2179" t="n">
        <v>4673</v>
      </c>
      <c r="F2179" t="n">
        <v>29</v>
      </c>
      <c r="G2179" t="n">
        <v>3</v>
      </c>
      <c r="H2179" t="n">
        <v>1</v>
      </c>
      <c r="I2179" t="n">
        <v>0</v>
      </c>
      <c r="J2179" t="n">
        <v>0</v>
      </c>
    </row>
    <row r="2180">
      <c r="A2180" s="5" t="n">
        <v>46240</v>
      </c>
      <c r="B2180" t="inlineStr">
        <is>
          <t>meta_prospecting_founder</t>
        </is>
      </c>
      <c r="C2180" t="inlineStr">
        <is>
          <t>meta</t>
        </is>
      </c>
      <c r="D2180" t="n">
        <v>38179</v>
      </c>
      <c r="E2180" t="n">
        <v>27270</v>
      </c>
      <c r="F2180" t="n">
        <v>282</v>
      </c>
      <c r="G2180" t="n">
        <v>10</v>
      </c>
      <c r="H2180" t="n">
        <v>3</v>
      </c>
      <c r="I2180" t="n">
        <v>1</v>
      </c>
      <c r="J2180" t="n">
        <v>0</v>
      </c>
    </row>
    <row r="2181">
      <c r="A2181" s="5" t="n">
        <v>46240</v>
      </c>
      <c r="B2181" t="inlineStr">
        <is>
          <t>meta_retargeting_webinar</t>
        </is>
      </c>
      <c r="C2181" t="inlineStr">
        <is>
          <t>meta</t>
        </is>
      </c>
      <c r="D2181" t="n">
        <v>8609</v>
      </c>
      <c r="E2181" t="n">
        <v>6149</v>
      </c>
      <c r="F2181" t="n">
        <v>58</v>
      </c>
      <c r="G2181" t="n">
        <v>3</v>
      </c>
      <c r="H2181" t="n">
        <v>3</v>
      </c>
      <c r="I2181" t="n">
        <v>0</v>
      </c>
      <c r="J2181" t="n">
        <v>0</v>
      </c>
    </row>
    <row r="2182">
      <c r="A2182" s="5" t="n">
        <v>46241</v>
      </c>
      <c r="B2182" t="inlineStr">
        <is>
          <t>google_brand_search</t>
        </is>
      </c>
      <c r="C2182" t="inlineStr">
        <is>
          <t>google</t>
        </is>
      </c>
      <c r="D2182" t="n">
        <v>7160</v>
      </c>
      <c r="E2182" t="n">
        <v>1491</v>
      </c>
      <c r="F2182" t="n">
        <v>67</v>
      </c>
      <c r="G2182" t="n">
        <v>1</v>
      </c>
      <c r="H2182" t="n">
        <v>2</v>
      </c>
      <c r="I2182" t="n">
        <v>1</v>
      </c>
      <c r="J2182" t="n">
        <v>0</v>
      </c>
    </row>
    <row r="2183">
      <c r="A2183" s="5" t="n">
        <v>46241</v>
      </c>
      <c r="B2183" t="inlineStr">
        <is>
          <t>google_nonbrand_growth</t>
        </is>
      </c>
      <c r="C2183" t="inlineStr">
        <is>
          <t>google</t>
        </is>
      </c>
      <c r="D2183" t="n">
        <v>17362</v>
      </c>
      <c r="E2183" t="n">
        <v>3617</v>
      </c>
      <c r="F2183" t="n">
        <v>163</v>
      </c>
      <c r="G2183" t="n">
        <v>5</v>
      </c>
      <c r="H2183" t="n">
        <v>0</v>
      </c>
      <c r="I2183" t="n">
        <v>0</v>
      </c>
      <c r="J2183" t="n">
        <v>0</v>
      </c>
    </row>
    <row r="2184">
      <c r="A2184" s="5" t="n">
        <v>46241</v>
      </c>
      <c r="B2184" t="inlineStr">
        <is>
          <t>linkedin_ceo_abm</t>
        </is>
      </c>
      <c r="C2184" t="inlineStr">
        <is>
          <t>linkedin</t>
        </is>
      </c>
      <c r="D2184" t="n">
        <v>27915</v>
      </c>
      <c r="E2184" t="n">
        <v>5368</v>
      </c>
      <c r="F2184" t="n">
        <v>33</v>
      </c>
      <c r="G2184" t="n">
        <v>1</v>
      </c>
      <c r="H2184" t="n">
        <v>0</v>
      </c>
      <c r="I2184" t="n">
        <v>1</v>
      </c>
      <c r="J2184" t="n">
        <v>0</v>
      </c>
    </row>
    <row r="2185">
      <c r="A2185" s="5" t="n">
        <v>46241</v>
      </c>
      <c r="B2185" t="inlineStr">
        <is>
          <t>meta_prospecting_founder</t>
        </is>
      </c>
      <c r="C2185" t="inlineStr">
        <is>
          <t>meta</t>
        </is>
      </c>
      <c r="D2185" t="n">
        <v>37034</v>
      </c>
      <c r="E2185" t="n">
        <v>26452</v>
      </c>
      <c r="F2185" t="n">
        <v>284</v>
      </c>
      <c r="G2185" t="n">
        <v>7</v>
      </c>
      <c r="H2185" t="n">
        <v>1</v>
      </c>
      <c r="I2185" t="n">
        <v>0</v>
      </c>
      <c r="J2185" t="n">
        <v>0</v>
      </c>
    </row>
    <row r="2186">
      <c r="A2186" s="5" t="n">
        <v>46241</v>
      </c>
      <c r="B2186" t="inlineStr">
        <is>
          <t>meta_retargeting_webinar</t>
        </is>
      </c>
      <c r="C2186" t="inlineStr">
        <is>
          <t>meta</t>
        </is>
      </c>
      <c r="D2186" t="n">
        <v>10162</v>
      </c>
      <c r="E2186" t="n">
        <v>7258</v>
      </c>
      <c r="F2186" t="n">
        <v>90</v>
      </c>
      <c r="G2186" t="n">
        <v>2</v>
      </c>
      <c r="H2186" t="n">
        <v>0</v>
      </c>
      <c r="I2186" t="n">
        <v>2</v>
      </c>
      <c r="J2186" t="n">
        <v>0</v>
      </c>
    </row>
    <row r="2187">
      <c r="A2187" s="5" t="n">
        <v>46242</v>
      </c>
      <c r="B2187" t="inlineStr">
        <is>
          <t>google_brand_search</t>
        </is>
      </c>
      <c r="C2187" t="inlineStr">
        <is>
          <t>google</t>
        </is>
      </c>
      <c r="D2187" t="n">
        <v>6218</v>
      </c>
      <c r="E2187" t="n">
        <v>1295</v>
      </c>
      <c r="F2187" t="n">
        <v>66</v>
      </c>
      <c r="G2187" t="n">
        <v>2</v>
      </c>
      <c r="H2187" t="n">
        <v>0</v>
      </c>
      <c r="I2187" t="n">
        <v>1</v>
      </c>
      <c r="J2187" t="n">
        <v>0</v>
      </c>
    </row>
    <row r="2188">
      <c r="A2188" s="5" t="n">
        <v>46242</v>
      </c>
      <c r="B2188" t="inlineStr">
        <is>
          <t>google_nonbrand_growth</t>
        </is>
      </c>
      <c r="C2188" t="inlineStr">
        <is>
          <t>google</t>
        </is>
      </c>
      <c r="D2188" t="n">
        <v>19843</v>
      </c>
      <c r="E2188" t="n">
        <v>4133</v>
      </c>
      <c r="F2188" t="n">
        <v>237</v>
      </c>
      <c r="G2188" t="n">
        <v>1</v>
      </c>
      <c r="H2188" t="n">
        <v>0</v>
      </c>
      <c r="I2188" t="n">
        <v>0</v>
      </c>
      <c r="J2188" t="n">
        <v>0</v>
      </c>
    </row>
    <row r="2189">
      <c r="A2189" s="5" t="n">
        <v>46242</v>
      </c>
      <c r="B2189" t="inlineStr">
        <is>
          <t>linkedin_ceo_abm</t>
        </is>
      </c>
      <c r="C2189" t="inlineStr">
        <is>
          <t>linkedin</t>
        </is>
      </c>
      <c r="D2189" t="n">
        <v>28028</v>
      </c>
      <c r="E2189" t="n">
        <v>5390</v>
      </c>
      <c r="F2189" t="n">
        <v>38</v>
      </c>
      <c r="G2189" t="n">
        <v>2</v>
      </c>
      <c r="H2189" t="n">
        <v>0</v>
      </c>
      <c r="I2189" t="n">
        <v>1</v>
      </c>
      <c r="J2189" t="n">
        <v>0</v>
      </c>
    </row>
    <row r="2190">
      <c r="A2190" s="5" t="n">
        <v>46242</v>
      </c>
      <c r="B2190" t="inlineStr">
        <is>
          <t>meta_prospecting_founder</t>
        </is>
      </c>
      <c r="C2190" t="inlineStr">
        <is>
          <t>meta</t>
        </is>
      </c>
      <c r="D2190" t="n">
        <v>41060</v>
      </c>
      <c r="E2190" t="n">
        <v>29328</v>
      </c>
      <c r="F2190" t="n">
        <v>311</v>
      </c>
      <c r="G2190" t="n">
        <v>6</v>
      </c>
      <c r="H2190" t="n">
        <v>3</v>
      </c>
      <c r="I2190" t="n">
        <v>2</v>
      </c>
      <c r="J2190" t="n">
        <v>0</v>
      </c>
    </row>
    <row r="2191">
      <c r="A2191" s="5" t="n">
        <v>46242</v>
      </c>
      <c r="B2191" t="inlineStr">
        <is>
          <t>meta_retargeting_webinar</t>
        </is>
      </c>
      <c r="C2191" t="inlineStr">
        <is>
          <t>meta</t>
        </is>
      </c>
      <c r="D2191" t="n">
        <v>8988</v>
      </c>
      <c r="E2191" t="n">
        <v>6420</v>
      </c>
      <c r="F2191" t="n">
        <v>71</v>
      </c>
      <c r="G2191" t="n">
        <v>1</v>
      </c>
      <c r="H2191" t="n">
        <v>0</v>
      </c>
      <c r="I2191" t="n">
        <v>3</v>
      </c>
      <c r="J2191" t="n">
        <v>1</v>
      </c>
    </row>
    <row r="2192">
      <c r="A2192" s="5" t="n">
        <v>46243</v>
      </c>
      <c r="B2192" t="inlineStr">
        <is>
          <t>google_brand_search</t>
        </is>
      </c>
      <c r="C2192" t="inlineStr">
        <is>
          <t>google</t>
        </is>
      </c>
      <c r="D2192" t="n">
        <v>6549</v>
      </c>
      <c r="E2192" t="n">
        <v>1364</v>
      </c>
      <c r="F2192" t="n">
        <v>74</v>
      </c>
      <c r="G2192" t="n">
        <v>3</v>
      </c>
      <c r="H2192" t="n">
        <v>2</v>
      </c>
      <c r="I2192" t="n">
        <v>0</v>
      </c>
      <c r="J2192" t="n">
        <v>0</v>
      </c>
    </row>
    <row r="2193">
      <c r="A2193" s="5" t="n">
        <v>46243</v>
      </c>
      <c r="B2193" t="inlineStr">
        <is>
          <t>google_nonbrand_growth</t>
        </is>
      </c>
      <c r="C2193" t="inlineStr">
        <is>
          <t>google</t>
        </is>
      </c>
      <c r="D2193" t="n">
        <v>17409</v>
      </c>
      <c r="E2193" t="n">
        <v>3626</v>
      </c>
      <c r="F2193" t="n">
        <v>207</v>
      </c>
      <c r="G2193" t="n">
        <v>3</v>
      </c>
      <c r="H2193" t="n">
        <v>1</v>
      </c>
      <c r="I2193" t="n">
        <v>0</v>
      </c>
      <c r="J2193" t="n">
        <v>0</v>
      </c>
    </row>
    <row r="2194">
      <c r="A2194" s="5" t="n">
        <v>46243</v>
      </c>
      <c r="B2194" t="inlineStr">
        <is>
          <t>linkedin_ceo_abm</t>
        </is>
      </c>
      <c r="C2194" t="inlineStr">
        <is>
          <t>linkedin</t>
        </is>
      </c>
      <c r="D2194" t="n">
        <v>26888</v>
      </c>
      <c r="E2194" t="n">
        <v>5170</v>
      </c>
      <c r="F2194" t="n">
        <v>32</v>
      </c>
      <c r="G2194" t="n">
        <v>0</v>
      </c>
      <c r="H2194" t="n">
        <v>3</v>
      </c>
      <c r="I2194" t="n">
        <v>0</v>
      </c>
      <c r="J2194" t="n">
        <v>0</v>
      </c>
    </row>
    <row r="2195">
      <c r="A2195" s="5" t="n">
        <v>46243</v>
      </c>
      <c r="B2195" t="inlineStr">
        <is>
          <t>meta_prospecting_founder</t>
        </is>
      </c>
      <c r="C2195" t="inlineStr">
        <is>
          <t>meta</t>
        </is>
      </c>
      <c r="D2195" t="n">
        <v>36722</v>
      </c>
      <c r="E2195" t="n">
        <v>26230</v>
      </c>
      <c r="F2195" t="n">
        <v>257</v>
      </c>
      <c r="G2195" t="n">
        <v>6</v>
      </c>
      <c r="H2195" t="n">
        <v>3</v>
      </c>
      <c r="I2195" t="n">
        <v>1</v>
      </c>
      <c r="J2195" t="n">
        <v>1</v>
      </c>
    </row>
    <row r="2196">
      <c r="A2196" s="5" t="n">
        <v>46243</v>
      </c>
      <c r="B2196" t="inlineStr">
        <is>
          <t>meta_retargeting_webinar</t>
        </is>
      </c>
      <c r="C2196" t="inlineStr">
        <is>
          <t>meta</t>
        </is>
      </c>
      <c r="D2196" t="n">
        <v>8793</v>
      </c>
      <c r="E2196" t="n">
        <v>6280</v>
      </c>
      <c r="F2196" t="n">
        <v>64</v>
      </c>
      <c r="G2196" t="n">
        <v>2</v>
      </c>
      <c r="H2196" t="n">
        <v>1</v>
      </c>
      <c r="I2196" t="n">
        <v>0</v>
      </c>
      <c r="J2196" t="n">
        <v>0</v>
      </c>
    </row>
    <row r="2197">
      <c r="A2197" s="5" t="n">
        <v>46244</v>
      </c>
      <c r="B2197" t="inlineStr">
        <is>
          <t>google_brand_search</t>
        </is>
      </c>
      <c r="C2197" t="inlineStr">
        <is>
          <t>google</t>
        </is>
      </c>
      <c r="D2197" t="n">
        <v>7474</v>
      </c>
      <c r="E2197" t="n">
        <v>1557</v>
      </c>
      <c r="F2197" t="n">
        <v>76</v>
      </c>
      <c r="G2197" t="n">
        <v>6</v>
      </c>
      <c r="H2197" t="n">
        <v>1</v>
      </c>
      <c r="I2197" t="n">
        <v>0</v>
      </c>
      <c r="J2197" t="n">
        <v>0</v>
      </c>
    </row>
    <row r="2198">
      <c r="A2198" s="5" t="n">
        <v>46244</v>
      </c>
      <c r="B2198" t="inlineStr">
        <is>
          <t>google_nonbrand_growth</t>
        </is>
      </c>
      <c r="C2198" t="inlineStr">
        <is>
          <t>google</t>
        </is>
      </c>
      <c r="D2198" t="n">
        <v>21100</v>
      </c>
      <c r="E2198" t="n">
        <v>4395</v>
      </c>
      <c r="F2198" t="n">
        <v>196</v>
      </c>
      <c r="G2198" t="n">
        <v>5</v>
      </c>
      <c r="H2198" t="n">
        <v>0</v>
      </c>
      <c r="I2198" t="n">
        <v>0</v>
      </c>
      <c r="J2198" t="n">
        <v>0</v>
      </c>
    </row>
    <row r="2199">
      <c r="A2199" s="5" t="n">
        <v>46244</v>
      </c>
      <c r="B2199" t="inlineStr">
        <is>
          <t>linkedin_ceo_abm</t>
        </is>
      </c>
      <c r="C2199" t="inlineStr">
        <is>
          <t>linkedin</t>
        </is>
      </c>
      <c r="D2199" t="n">
        <v>26595</v>
      </c>
      <c r="E2199" t="n">
        <v>5114</v>
      </c>
      <c r="F2199" t="n">
        <v>34</v>
      </c>
      <c r="G2199" t="n">
        <v>4</v>
      </c>
      <c r="H2199" t="n">
        <v>0</v>
      </c>
      <c r="I2199" t="n">
        <v>0</v>
      </c>
      <c r="J2199" t="n">
        <v>1</v>
      </c>
    </row>
    <row r="2200">
      <c r="A2200" s="5" t="n">
        <v>46244</v>
      </c>
      <c r="B2200" t="inlineStr">
        <is>
          <t>meta_broad_v17</t>
        </is>
      </c>
      <c r="C2200" t="inlineStr">
        <is>
          <t>meta</t>
        </is>
      </c>
      <c r="D2200" t="n">
        <v>47030</v>
      </c>
      <c r="E2200" t="n">
        <v>33592</v>
      </c>
      <c r="F2200" t="n">
        <v>394</v>
      </c>
      <c r="G2200" t="n">
        <v>22</v>
      </c>
      <c r="H2200" t="n">
        <v>1</v>
      </c>
      <c r="I2200" t="n">
        <v>0</v>
      </c>
      <c r="J2200" t="n">
        <v>0</v>
      </c>
    </row>
    <row r="2201">
      <c r="A2201" s="5" t="n">
        <v>46244</v>
      </c>
      <c r="B2201" t="inlineStr">
        <is>
          <t>meta_prospecting_founder</t>
        </is>
      </c>
      <c r="C2201" t="inlineStr">
        <is>
          <t>meta</t>
        </is>
      </c>
      <c r="D2201" t="n">
        <v>40123</v>
      </c>
      <c r="E2201" t="n">
        <v>28659</v>
      </c>
      <c r="F2201" t="n">
        <v>357</v>
      </c>
      <c r="G2201" t="n">
        <v>11</v>
      </c>
      <c r="H2201" t="n">
        <v>2</v>
      </c>
      <c r="I2201" t="n">
        <v>1</v>
      </c>
      <c r="J2201" t="n">
        <v>0</v>
      </c>
    </row>
    <row r="2202">
      <c r="A2202" s="5" t="n">
        <v>46244</v>
      </c>
      <c r="B2202" t="inlineStr">
        <is>
          <t>meta_retargeting_webinar</t>
        </is>
      </c>
      <c r="C2202" t="inlineStr">
        <is>
          <t>meta</t>
        </is>
      </c>
      <c r="D2202" t="n">
        <v>9382</v>
      </c>
      <c r="E2202" t="n">
        <v>6701</v>
      </c>
      <c r="F2202" t="n">
        <v>73</v>
      </c>
      <c r="G2202" t="n">
        <v>2</v>
      </c>
      <c r="H2202" t="n">
        <v>1</v>
      </c>
      <c r="I2202" t="n">
        <v>0</v>
      </c>
      <c r="J2202" t="n">
        <v>0</v>
      </c>
    </row>
    <row r="2203">
      <c r="A2203" s="5" t="n">
        <v>46245</v>
      </c>
      <c r="B2203" t="inlineStr">
        <is>
          <t>google_brand_search</t>
        </is>
      </c>
      <c r="C2203" t="inlineStr">
        <is>
          <t>google</t>
        </is>
      </c>
      <c r="D2203" t="n">
        <v>6247</v>
      </c>
      <c r="E2203" t="n">
        <v>1301</v>
      </c>
      <c r="F2203" t="n">
        <v>59</v>
      </c>
      <c r="G2203" t="n">
        <v>2</v>
      </c>
      <c r="H2203" t="n">
        <v>0</v>
      </c>
      <c r="I2203" t="n">
        <v>0</v>
      </c>
      <c r="J2203" t="n">
        <v>0</v>
      </c>
    </row>
    <row r="2204">
      <c r="A2204" s="5" t="n">
        <v>46245</v>
      </c>
      <c r="B2204" t="inlineStr">
        <is>
          <t>google_nonbrand_growth</t>
        </is>
      </c>
      <c r="C2204" t="inlineStr">
        <is>
          <t>google</t>
        </is>
      </c>
      <c r="D2204" t="n">
        <v>18314</v>
      </c>
      <c r="E2204" t="n">
        <v>3815</v>
      </c>
      <c r="F2204" t="n">
        <v>190</v>
      </c>
      <c r="G2204" t="n">
        <v>1</v>
      </c>
      <c r="H2204" t="n">
        <v>2</v>
      </c>
      <c r="I2204" t="n">
        <v>1</v>
      </c>
      <c r="J2204" t="n">
        <v>0</v>
      </c>
    </row>
    <row r="2205">
      <c r="A2205" s="5" t="n">
        <v>46245</v>
      </c>
      <c r="B2205" t="inlineStr">
        <is>
          <t>linkedin_ceo_abm</t>
        </is>
      </c>
      <c r="C2205" t="inlineStr">
        <is>
          <t>linkedin</t>
        </is>
      </c>
      <c r="D2205" t="n">
        <v>25782</v>
      </c>
      <c r="E2205" t="n">
        <v>4958</v>
      </c>
      <c r="F2205" t="n">
        <v>33</v>
      </c>
      <c r="G2205" t="n">
        <v>2</v>
      </c>
      <c r="H2205" t="n">
        <v>2</v>
      </c>
      <c r="I2205" t="n">
        <v>2</v>
      </c>
      <c r="J2205" t="n">
        <v>1</v>
      </c>
    </row>
    <row r="2206">
      <c r="A2206" s="5" t="n">
        <v>46245</v>
      </c>
      <c r="B2206" t="inlineStr">
        <is>
          <t>meta_broad_v17</t>
        </is>
      </c>
      <c r="C2206" t="inlineStr">
        <is>
          <t>meta</t>
        </is>
      </c>
      <c r="D2206" t="n">
        <v>42985</v>
      </c>
      <c r="E2206" t="n">
        <v>30703</v>
      </c>
      <c r="F2206" t="n">
        <v>307</v>
      </c>
      <c r="G2206" t="n">
        <v>28</v>
      </c>
      <c r="H2206" t="n">
        <v>1</v>
      </c>
      <c r="I2206" t="n">
        <v>0</v>
      </c>
      <c r="J2206" t="n">
        <v>0</v>
      </c>
    </row>
    <row r="2207">
      <c r="A2207" s="5" t="n">
        <v>46245</v>
      </c>
      <c r="B2207" t="inlineStr">
        <is>
          <t>meta_prospecting_founder</t>
        </is>
      </c>
      <c r="C2207" t="inlineStr">
        <is>
          <t>meta</t>
        </is>
      </c>
      <c r="D2207" t="n">
        <v>41969</v>
      </c>
      <c r="E2207" t="n">
        <v>29977</v>
      </c>
      <c r="F2207" t="n">
        <v>377</v>
      </c>
      <c r="G2207" t="n">
        <v>10</v>
      </c>
      <c r="H2207" t="n">
        <v>1</v>
      </c>
      <c r="I2207" t="n">
        <v>1</v>
      </c>
      <c r="J2207" t="n">
        <v>0</v>
      </c>
    </row>
    <row r="2208">
      <c r="A2208" s="5" t="n">
        <v>46245</v>
      </c>
      <c r="B2208" t="inlineStr">
        <is>
          <t>meta_retargeting_webinar</t>
        </is>
      </c>
      <c r="C2208" t="inlineStr">
        <is>
          <t>meta</t>
        </is>
      </c>
      <c r="D2208" t="n">
        <v>8702</v>
      </c>
      <c r="E2208" t="n">
        <v>6215</v>
      </c>
      <c r="F2208" t="n">
        <v>73</v>
      </c>
      <c r="G2208" t="n">
        <v>1</v>
      </c>
      <c r="H2208" t="n">
        <v>1</v>
      </c>
      <c r="I2208" t="n">
        <v>0</v>
      </c>
      <c r="J2208" t="n">
        <v>0</v>
      </c>
    </row>
    <row r="2209">
      <c r="A2209" s="5" t="n">
        <v>46246</v>
      </c>
      <c r="B2209" t="inlineStr">
        <is>
          <t>google_brand_search</t>
        </is>
      </c>
      <c r="C2209" t="inlineStr">
        <is>
          <t>google</t>
        </is>
      </c>
      <c r="D2209" t="n">
        <v>6858</v>
      </c>
      <c r="E2209" t="n">
        <v>1428</v>
      </c>
      <c r="F2209" t="n">
        <v>84</v>
      </c>
      <c r="G2209" t="n">
        <v>1</v>
      </c>
      <c r="H2209" t="n">
        <v>2</v>
      </c>
      <c r="I2209" t="n">
        <v>1</v>
      </c>
      <c r="J2209" t="n">
        <v>0</v>
      </c>
    </row>
    <row r="2210">
      <c r="A2210" s="5" t="n">
        <v>46246</v>
      </c>
      <c r="B2210" t="inlineStr">
        <is>
          <t>google_nonbrand_growth</t>
        </is>
      </c>
      <c r="C2210" t="inlineStr">
        <is>
          <t>google</t>
        </is>
      </c>
      <c r="D2210" t="n">
        <v>18275</v>
      </c>
      <c r="E2210" t="n">
        <v>3807</v>
      </c>
      <c r="F2210" t="n">
        <v>213</v>
      </c>
      <c r="G2210" t="n">
        <v>2</v>
      </c>
      <c r="H2210" t="n">
        <v>2</v>
      </c>
      <c r="I2210" t="n">
        <v>2</v>
      </c>
      <c r="J2210" t="n">
        <v>0</v>
      </c>
    </row>
    <row r="2211">
      <c r="A2211" s="5" t="n">
        <v>46246</v>
      </c>
      <c r="B2211" t="inlineStr">
        <is>
          <t>linkedin_ceo_abm</t>
        </is>
      </c>
      <c r="C2211" t="inlineStr">
        <is>
          <t>linkedin</t>
        </is>
      </c>
      <c r="D2211" t="n">
        <v>24596</v>
      </c>
      <c r="E2211" t="n">
        <v>4730</v>
      </c>
      <c r="F2211" t="n">
        <v>32</v>
      </c>
      <c r="G2211" t="n">
        <v>0</v>
      </c>
      <c r="H2211" t="n">
        <v>1</v>
      </c>
      <c r="I2211" t="n">
        <v>1</v>
      </c>
      <c r="J2211" t="n">
        <v>0</v>
      </c>
    </row>
    <row r="2212">
      <c r="A2212" s="5" t="n">
        <v>46246</v>
      </c>
      <c r="B2212" t="inlineStr">
        <is>
          <t>meta_broad_v17</t>
        </is>
      </c>
      <c r="C2212" t="inlineStr">
        <is>
          <t>meta</t>
        </is>
      </c>
      <c r="D2212" t="n">
        <v>49420</v>
      </c>
      <c r="E2212" t="n">
        <v>35300</v>
      </c>
      <c r="F2212" t="n">
        <v>383</v>
      </c>
      <c r="G2212" t="n">
        <v>38</v>
      </c>
      <c r="H2212" t="n">
        <v>1</v>
      </c>
      <c r="I2212" t="n">
        <v>0</v>
      </c>
      <c r="J2212" t="n">
        <v>0</v>
      </c>
    </row>
    <row r="2213">
      <c r="A2213" s="5" t="n">
        <v>46246</v>
      </c>
      <c r="B2213" t="inlineStr">
        <is>
          <t>meta_prospecting_founder</t>
        </is>
      </c>
      <c r="C2213" t="inlineStr">
        <is>
          <t>meta</t>
        </is>
      </c>
      <c r="D2213" t="n">
        <v>38389</v>
      </c>
      <c r="E2213" t="n">
        <v>27420</v>
      </c>
      <c r="F2213" t="n">
        <v>289</v>
      </c>
      <c r="G2213" t="n">
        <v>12</v>
      </c>
      <c r="H2213" t="n">
        <v>5</v>
      </c>
      <c r="I2213" t="n">
        <v>1</v>
      </c>
      <c r="J2213" t="n">
        <v>1</v>
      </c>
    </row>
    <row r="2214">
      <c r="A2214" s="5" t="n">
        <v>46246</v>
      </c>
      <c r="B2214" t="inlineStr">
        <is>
          <t>meta_retargeting_webinar</t>
        </is>
      </c>
      <c r="C2214" t="inlineStr">
        <is>
          <t>meta</t>
        </is>
      </c>
      <c r="D2214" t="n">
        <v>9086</v>
      </c>
      <c r="E2214" t="n">
        <v>6490</v>
      </c>
      <c r="F2214" t="n">
        <v>79</v>
      </c>
      <c r="G2214" t="n">
        <v>4</v>
      </c>
      <c r="H2214" t="n">
        <v>1</v>
      </c>
      <c r="I2214" t="n">
        <v>1</v>
      </c>
      <c r="J2214" t="n">
        <v>0</v>
      </c>
    </row>
    <row r="2215">
      <c r="A2215" s="5" t="n">
        <v>46247</v>
      </c>
      <c r="B2215" t="inlineStr">
        <is>
          <t>google_brand_search</t>
        </is>
      </c>
      <c r="C2215" t="inlineStr">
        <is>
          <t>google</t>
        </is>
      </c>
      <c r="D2215" t="n">
        <v>6298</v>
      </c>
      <c r="E2215" t="n">
        <v>1312</v>
      </c>
      <c r="F2215" t="n">
        <v>73</v>
      </c>
      <c r="G2215" t="n">
        <v>0</v>
      </c>
      <c r="H2215" t="n">
        <v>1</v>
      </c>
      <c r="I2215" t="n">
        <v>2</v>
      </c>
      <c r="J2215" t="n">
        <v>0</v>
      </c>
    </row>
    <row r="2216">
      <c r="A2216" s="5" t="n">
        <v>46247</v>
      </c>
      <c r="B2216" t="inlineStr">
        <is>
          <t>google_nonbrand_growth</t>
        </is>
      </c>
      <c r="C2216" t="inlineStr">
        <is>
          <t>google</t>
        </is>
      </c>
      <c r="D2216" t="n">
        <v>20127</v>
      </c>
      <c r="E2216" t="n">
        <v>4193</v>
      </c>
      <c r="F2216" t="n">
        <v>217</v>
      </c>
      <c r="G2216" t="n">
        <v>4</v>
      </c>
      <c r="H2216" t="n">
        <v>0</v>
      </c>
      <c r="I2216" t="n">
        <v>0</v>
      </c>
      <c r="J2216" t="n">
        <v>0</v>
      </c>
    </row>
    <row r="2217">
      <c r="A2217" s="5" t="n">
        <v>46247</v>
      </c>
      <c r="B2217" t="inlineStr">
        <is>
          <t>linkedin_ceo_abm</t>
        </is>
      </c>
      <c r="C2217" t="inlineStr">
        <is>
          <t>linkedin</t>
        </is>
      </c>
      <c r="D2217" t="n">
        <v>27652</v>
      </c>
      <c r="E2217" t="n">
        <v>5317</v>
      </c>
      <c r="F2217" t="n">
        <v>39</v>
      </c>
      <c r="G2217" t="n">
        <v>2</v>
      </c>
      <c r="H2217" t="n">
        <v>2</v>
      </c>
      <c r="I2217" t="n">
        <v>0</v>
      </c>
      <c r="J2217" t="n">
        <v>0</v>
      </c>
    </row>
    <row r="2218">
      <c r="A2218" s="5" t="n">
        <v>46247</v>
      </c>
      <c r="B2218" t="inlineStr">
        <is>
          <t>meta_broad_v17</t>
        </is>
      </c>
      <c r="C2218" t="inlineStr">
        <is>
          <t>meta</t>
        </is>
      </c>
      <c r="D2218" t="n">
        <v>46732</v>
      </c>
      <c r="E2218" t="n">
        <v>33380</v>
      </c>
      <c r="F2218" t="n">
        <v>316</v>
      </c>
      <c r="G2218" t="n">
        <v>28</v>
      </c>
      <c r="H2218" t="n">
        <v>2</v>
      </c>
      <c r="I2218" t="n">
        <v>0</v>
      </c>
      <c r="J2218" t="n">
        <v>0</v>
      </c>
    </row>
    <row r="2219">
      <c r="A2219" s="5" t="n">
        <v>46247</v>
      </c>
      <c r="B2219" t="inlineStr">
        <is>
          <t>meta_prospecting_founder</t>
        </is>
      </c>
      <c r="C2219" t="inlineStr">
        <is>
          <t>meta</t>
        </is>
      </c>
      <c r="D2219" t="n">
        <v>36498</v>
      </c>
      <c r="E2219" t="n">
        <v>26070</v>
      </c>
      <c r="F2219" t="n">
        <v>256</v>
      </c>
      <c r="G2219" t="n">
        <v>9</v>
      </c>
      <c r="H2219" t="n">
        <v>2</v>
      </c>
      <c r="I2219" t="n">
        <v>1</v>
      </c>
      <c r="J2219" t="n">
        <v>0</v>
      </c>
    </row>
    <row r="2220">
      <c r="A2220" s="5" t="n">
        <v>46247</v>
      </c>
      <c r="B2220" t="inlineStr">
        <is>
          <t>meta_retargeting_webinar</t>
        </is>
      </c>
      <c r="C2220" t="inlineStr">
        <is>
          <t>meta</t>
        </is>
      </c>
      <c r="D2220" t="n">
        <v>9715</v>
      </c>
      <c r="E2220" t="n">
        <v>6939</v>
      </c>
      <c r="F2220" t="n">
        <v>84</v>
      </c>
      <c r="G2220" t="n">
        <v>5</v>
      </c>
      <c r="H2220" t="n">
        <v>0</v>
      </c>
      <c r="I2220" t="n">
        <v>0</v>
      </c>
      <c r="J2220" t="n">
        <v>0</v>
      </c>
    </row>
    <row r="2221">
      <c r="A2221" s="5" t="n">
        <v>46248</v>
      </c>
      <c r="B2221" t="inlineStr">
        <is>
          <t>google_brand_search</t>
        </is>
      </c>
      <c r="C2221" t="inlineStr">
        <is>
          <t>google</t>
        </is>
      </c>
      <c r="D2221" t="n">
        <v>7455</v>
      </c>
      <c r="E2221" t="n">
        <v>1553</v>
      </c>
      <c r="F2221" t="n">
        <v>78</v>
      </c>
      <c r="G2221" t="n">
        <v>5</v>
      </c>
      <c r="H2221" t="n">
        <v>1</v>
      </c>
      <c r="I2221" t="n">
        <v>1</v>
      </c>
      <c r="J2221" t="n">
        <v>0</v>
      </c>
    </row>
    <row r="2222">
      <c r="A2222" s="5" t="n">
        <v>46248</v>
      </c>
      <c r="B2222" t="inlineStr">
        <is>
          <t>google_nonbrand_growth</t>
        </is>
      </c>
      <c r="C2222" t="inlineStr">
        <is>
          <t>google</t>
        </is>
      </c>
      <c r="D2222" t="n">
        <v>18987</v>
      </c>
      <c r="E2222" t="n">
        <v>3955</v>
      </c>
      <c r="F2222" t="n">
        <v>210</v>
      </c>
      <c r="G2222" t="n">
        <v>3</v>
      </c>
      <c r="H2222" t="n">
        <v>0</v>
      </c>
      <c r="I2222" t="n">
        <v>2</v>
      </c>
      <c r="J2222" t="n">
        <v>0</v>
      </c>
    </row>
    <row r="2223">
      <c r="A2223" s="5" t="n">
        <v>46248</v>
      </c>
      <c r="B2223" t="inlineStr">
        <is>
          <t>linkedin_ceo_abm</t>
        </is>
      </c>
      <c r="C2223" t="inlineStr">
        <is>
          <t>linkedin</t>
        </is>
      </c>
      <c r="D2223" t="n">
        <v>25477</v>
      </c>
      <c r="E2223" t="n">
        <v>4899</v>
      </c>
      <c r="F2223" t="n">
        <v>29</v>
      </c>
      <c r="G2223" t="n">
        <v>1</v>
      </c>
      <c r="H2223" t="n">
        <v>1</v>
      </c>
      <c r="I2223" t="n">
        <v>1</v>
      </c>
      <c r="J2223" t="n">
        <v>0</v>
      </c>
    </row>
    <row r="2224">
      <c r="A2224" s="5" t="n">
        <v>46248</v>
      </c>
      <c r="B2224" t="inlineStr">
        <is>
          <t>meta_broad_v17</t>
        </is>
      </c>
      <c r="C2224" t="inlineStr">
        <is>
          <t>meta</t>
        </is>
      </c>
      <c r="D2224" t="n">
        <v>42606</v>
      </c>
      <c r="E2224" t="n">
        <v>30432</v>
      </c>
      <c r="F2224" t="n">
        <v>315</v>
      </c>
      <c r="G2224" t="n">
        <v>18</v>
      </c>
      <c r="H2224" t="n">
        <v>1</v>
      </c>
      <c r="I2224" t="n">
        <v>0</v>
      </c>
      <c r="J2224" t="n">
        <v>0</v>
      </c>
    </row>
    <row r="2225">
      <c r="A2225" s="5" t="n">
        <v>46248</v>
      </c>
      <c r="B2225" t="inlineStr">
        <is>
          <t>meta_prospecting_founder</t>
        </is>
      </c>
      <c r="C2225" t="inlineStr">
        <is>
          <t>meta</t>
        </is>
      </c>
      <c r="D2225" t="n">
        <v>41742</v>
      </c>
      <c r="E2225" t="n">
        <v>29815</v>
      </c>
      <c r="F2225" t="n">
        <v>336</v>
      </c>
      <c r="G2225" t="n">
        <v>10</v>
      </c>
      <c r="H2225" t="n">
        <v>2</v>
      </c>
      <c r="I2225" t="n">
        <v>0</v>
      </c>
      <c r="J2225" t="n">
        <v>2</v>
      </c>
    </row>
    <row r="2226">
      <c r="A2226" s="5" t="n">
        <v>46248</v>
      </c>
      <c r="B2226" t="inlineStr">
        <is>
          <t>meta_retargeting_webinar</t>
        </is>
      </c>
      <c r="C2226" t="inlineStr">
        <is>
          <t>meta</t>
        </is>
      </c>
      <c r="D2226" t="n">
        <v>9645</v>
      </c>
      <c r="E2226" t="n">
        <v>6889</v>
      </c>
      <c r="F2226" t="n">
        <v>69</v>
      </c>
      <c r="G2226" t="n">
        <v>4</v>
      </c>
      <c r="H2226" t="n">
        <v>0</v>
      </c>
      <c r="I2226" t="n">
        <v>1</v>
      </c>
      <c r="J2226" t="n">
        <v>0</v>
      </c>
    </row>
    <row r="2227">
      <c r="A2227" s="5" t="n">
        <v>46249</v>
      </c>
      <c r="B2227" t="inlineStr">
        <is>
          <t>google_brand_search</t>
        </is>
      </c>
      <c r="C2227" t="inlineStr">
        <is>
          <t>google</t>
        </is>
      </c>
      <c r="D2227" t="n">
        <v>6307</v>
      </c>
      <c r="E2227" t="n">
        <v>1313</v>
      </c>
      <c r="F2227" t="n">
        <v>62</v>
      </c>
      <c r="G2227" t="n">
        <v>1</v>
      </c>
      <c r="H2227" t="n">
        <v>3</v>
      </c>
      <c r="I2227" t="n">
        <v>1</v>
      </c>
      <c r="J2227" t="n">
        <v>0</v>
      </c>
    </row>
    <row r="2228">
      <c r="A2228" s="5" t="n">
        <v>46249</v>
      </c>
      <c r="B2228" t="inlineStr">
        <is>
          <t>google_nonbrand_growth</t>
        </is>
      </c>
      <c r="C2228" t="inlineStr">
        <is>
          <t>google</t>
        </is>
      </c>
      <c r="D2228" t="n">
        <v>17479</v>
      </c>
      <c r="E2228" t="n">
        <v>3641</v>
      </c>
      <c r="F2228" t="n">
        <v>176</v>
      </c>
      <c r="G2228" t="n">
        <v>5</v>
      </c>
      <c r="H2228" t="n">
        <v>0</v>
      </c>
      <c r="I2228" t="n">
        <v>2</v>
      </c>
      <c r="J2228" t="n">
        <v>0</v>
      </c>
    </row>
    <row r="2229">
      <c r="A2229" s="5" t="n">
        <v>46249</v>
      </c>
      <c r="B2229" t="inlineStr">
        <is>
          <t>linkedin_ceo_abm</t>
        </is>
      </c>
      <c r="C2229" t="inlineStr">
        <is>
          <t>linkedin</t>
        </is>
      </c>
      <c r="D2229" t="n">
        <v>23340</v>
      </c>
      <c r="E2229" t="n">
        <v>4488</v>
      </c>
      <c r="F2229" t="n">
        <v>30</v>
      </c>
      <c r="G2229" t="n">
        <v>1</v>
      </c>
      <c r="H2229" t="n">
        <v>3</v>
      </c>
      <c r="I2229" t="n">
        <v>3</v>
      </c>
      <c r="J2229" t="n">
        <v>0</v>
      </c>
    </row>
    <row r="2230">
      <c r="A2230" s="5" t="n">
        <v>46249</v>
      </c>
      <c r="B2230" t="inlineStr">
        <is>
          <t>meta_broad_v17</t>
        </is>
      </c>
      <c r="C2230" t="inlineStr">
        <is>
          <t>meta</t>
        </is>
      </c>
      <c r="D2230" t="n">
        <v>44052</v>
      </c>
      <c r="E2230" t="n">
        <v>31465</v>
      </c>
      <c r="F2230" t="n">
        <v>341</v>
      </c>
      <c r="G2230" t="n">
        <v>22</v>
      </c>
      <c r="H2230" t="n">
        <v>2</v>
      </c>
      <c r="I2230" t="n">
        <v>1</v>
      </c>
      <c r="J2230" t="n">
        <v>0</v>
      </c>
    </row>
    <row r="2231">
      <c r="A2231" s="5" t="n">
        <v>46249</v>
      </c>
      <c r="B2231" t="inlineStr">
        <is>
          <t>meta_prospecting_founder</t>
        </is>
      </c>
      <c r="C2231" t="inlineStr">
        <is>
          <t>meta</t>
        </is>
      </c>
      <c r="D2231" t="n">
        <v>40881</v>
      </c>
      <c r="E2231" t="n">
        <v>29200</v>
      </c>
      <c r="F2231" t="n">
        <v>293</v>
      </c>
      <c r="G2231" t="n">
        <v>6</v>
      </c>
      <c r="H2231" t="n">
        <v>2</v>
      </c>
      <c r="I2231" t="n">
        <v>1</v>
      </c>
      <c r="J2231" t="n">
        <v>0</v>
      </c>
    </row>
    <row r="2232">
      <c r="A2232" s="5" t="n">
        <v>46249</v>
      </c>
      <c r="B2232" t="inlineStr">
        <is>
          <t>meta_retargeting_webinar</t>
        </is>
      </c>
      <c r="C2232" t="inlineStr">
        <is>
          <t>meta</t>
        </is>
      </c>
      <c r="D2232" t="n">
        <v>9944</v>
      </c>
      <c r="E2232" t="n">
        <v>7102</v>
      </c>
      <c r="F2232" t="n">
        <v>76</v>
      </c>
      <c r="G2232" t="n">
        <v>1</v>
      </c>
      <c r="H2232" t="n">
        <v>1</v>
      </c>
      <c r="I2232" t="n">
        <v>0</v>
      </c>
      <c r="J2232" t="n">
        <v>0</v>
      </c>
    </row>
    <row r="2233">
      <c r="A2233" s="5" t="n">
        <v>46250</v>
      </c>
      <c r="B2233" t="inlineStr">
        <is>
          <t>google_brand_search</t>
        </is>
      </c>
      <c r="C2233" t="inlineStr">
        <is>
          <t>google</t>
        </is>
      </c>
      <c r="D2233" t="n">
        <v>6387</v>
      </c>
      <c r="E2233" t="n">
        <v>1330</v>
      </c>
      <c r="F2233" t="n">
        <v>78</v>
      </c>
      <c r="G2233" t="n">
        <v>1</v>
      </c>
      <c r="H2233" t="n">
        <v>0</v>
      </c>
      <c r="I2233" t="n">
        <v>0</v>
      </c>
      <c r="J2233" t="n">
        <v>0</v>
      </c>
    </row>
    <row r="2234">
      <c r="A2234" s="5" t="n">
        <v>46250</v>
      </c>
      <c r="B2234" t="inlineStr">
        <is>
          <t>google_nonbrand_growth</t>
        </is>
      </c>
      <c r="C2234" t="inlineStr">
        <is>
          <t>google</t>
        </is>
      </c>
      <c r="D2234" t="n">
        <v>19462</v>
      </c>
      <c r="E2234" t="n">
        <v>4054</v>
      </c>
      <c r="F2234" t="n">
        <v>226</v>
      </c>
      <c r="G2234" t="n">
        <v>1</v>
      </c>
      <c r="H2234" t="n">
        <v>0</v>
      </c>
      <c r="I2234" t="n">
        <v>0</v>
      </c>
      <c r="J2234" t="n">
        <v>0</v>
      </c>
    </row>
    <row r="2235">
      <c r="A2235" s="5" t="n">
        <v>46250</v>
      </c>
      <c r="B2235" t="inlineStr">
        <is>
          <t>linkedin_ceo_abm</t>
        </is>
      </c>
      <c r="C2235" t="inlineStr">
        <is>
          <t>linkedin</t>
        </is>
      </c>
      <c r="D2235" t="n">
        <v>26834</v>
      </c>
      <c r="E2235" t="n">
        <v>5160</v>
      </c>
      <c r="F2235" t="n">
        <v>28</v>
      </c>
      <c r="G2235" t="n">
        <v>1</v>
      </c>
      <c r="H2235" t="n">
        <v>0</v>
      </c>
      <c r="I2235" t="n">
        <v>0</v>
      </c>
      <c r="J2235" t="n">
        <v>0</v>
      </c>
    </row>
    <row r="2236">
      <c r="A2236" s="5" t="n">
        <v>46250</v>
      </c>
      <c r="B2236" t="inlineStr">
        <is>
          <t>meta_broad_v17</t>
        </is>
      </c>
      <c r="C2236" t="inlineStr">
        <is>
          <t>meta</t>
        </is>
      </c>
      <c r="D2236" t="n">
        <v>51787</v>
      </c>
      <c r="E2236" t="n">
        <v>36990</v>
      </c>
      <c r="F2236" t="n">
        <v>386</v>
      </c>
      <c r="G2236" t="n">
        <v>21</v>
      </c>
      <c r="H2236" t="n">
        <v>0</v>
      </c>
      <c r="I2236" t="n">
        <v>1</v>
      </c>
      <c r="J2236" t="n">
        <v>0</v>
      </c>
    </row>
    <row r="2237">
      <c r="A2237" s="5" t="n">
        <v>46250</v>
      </c>
      <c r="B2237" t="inlineStr">
        <is>
          <t>meta_prospecting_founder</t>
        </is>
      </c>
      <c r="C2237" t="inlineStr">
        <is>
          <t>meta</t>
        </is>
      </c>
      <c r="D2237" t="n">
        <v>38801</v>
      </c>
      <c r="E2237" t="n">
        <v>27715</v>
      </c>
      <c r="F2237" t="n">
        <v>330</v>
      </c>
      <c r="G2237" t="n">
        <v>6</v>
      </c>
      <c r="H2237" t="n">
        <v>0</v>
      </c>
      <c r="I2237" t="n">
        <v>2</v>
      </c>
      <c r="J2237" t="n">
        <v>0</v>
      </c>
    </row>
    <row r="2238">
      <c r="A2238" s="5" t="n">
        <v>46250</v>
      </c>
      <c r="B2238" t="inlineStr">
        <is>
          <t>meta_retargeting_webinar</t>
        </is>
      </c>
      <c r="C2238" t="inlineStr">
        <is>
          <t>meta</t>
        </is>
      </c>
      <c r="D2238" t="n">
        <v>8736</v>
      </c>
      <c r="E2238" t="n">
        <v>6240</v>
      </c>
      <c r="F2238" t="n">
        <v>68</v>
      </c>
      <c r="G2238" t="n">
        <v>3</v>
      </c>
      <c r="H2238" t="n">
        <v>1</v>
      </c>
      <c r="I2238" t="n">
        <v>0</v>
      </c>
      <c r="J2238" t="n">
        <v>0</v>
      </c>
    </row>
    <row r="2239">
      <c r="A2239" s="5" t="n">
        <v>46251</v>
      </c>
      <c r="B2239" t="inlineStr">
        <is>
          <t>google_brand_search</t>
        </is>
      </c>
      <c r="C2239" t="inlineStr">
        <is>
          <t>google</t>
        </is>
      </c>
      <c r="D2239" t="n">
        <v>7250</v>
      </c>
      <c r="E2239" t="n">
        <v>1510</v>
      </c>
      <c r="F2239" t="n">
        <v>80</v>
      </c>
      <c r="G2239" t="n">
        <v>4</v>
      </c>
      <c r="H2239" t="n">
        <v>1</v>
      </c>
      <c r="I2239" t="n">
        <v>1</v>
      </c>
      <c r="J2239" t="n">
        <v>0</v>
      </c>
    </row>
    <row r="2240">
      <c r="A2240" s="5" t="n">
        <v>46251</v>
      </c>
      <c r="B2240" t="inlineStr">
        <is>
          <t>google_nonbrand_growth</t>
        </is>
      </c>
      <c r="C2240" t="inlineStr">
        <is>
          <t>google</t>
        </is>
      </c>
      <c r="D2240" t="n">
        <v>20315</v>
      </c>
      <c r="E2240" t="n">
        <v>4232</v>
      </c>
      <c r="F2240" t="n">
        <v>216</v>
      </c>
      <c r="G2240" t="n">
        <v>5</v>
      </c>
      <c r="H2240" t="n">
        <v>0</v>
      </c>
      <c r="I2240" t="n">
        <v>0</v>
      </c>
      <c r="J2240" t="n">
        <v>0</v>
      </c>
    </row>
    <row r="2241">
      <c r="A2241" s="5" t="n">
        <v>46251</v>
      </c>
      <c r="B2241" t="inlineStr">
        <is>
          <t>linkedin_ceo_abm</t>
        </is>
      </c>
      <c r="C2241" t="inlineStr">
        <is>
          <t>linkedin</t>
        </is>
      </c>
      <c r="D2241" t="n">
        <v>25777</v>
      </c>
      <c r="E2241" t="n">
        <v>4957</v>
      </c>
      <c r="F2241" t="n">
        <v>35</v>
      </c>
      <c r="G2241" t="n">
        <v>1</v>
      </c>
      <c r="H2241" t="n">
        <v>2</v>
      </c>
      <c r="I2241" t="n">
        <v>1</v>
      </c>
      <c r="J2241" t="n">
        <v>0</v>
      </c>
    </row>
    <row r="2242">
      <c r="A2242" s="5" t="n">
        <v>46251</v>
      </c>
      <c r="B2242" t="inlineStr">
        <is>
          <t>meta_broad_v17</t>
        </is>
      </c>
      <c r="C2242" t="inlineStr">
        <is>
          <t>meta</t>
        </is>
      </c>
      <c r="D2242" t="n">
        <v>48346</v>
      </c>
      <c r="E2242" t="n">
        <v>34532</v>
      </c>
      <c r="F2242" t="n">
        <v>381</v>
      </c>
      <c r="G2242" t="n">
        <v>24</v>
      </c>
      <c r="H2242" t="n">
        <v>1</v>
      </c>
      <c r="I2242" t="n">
        <v>0</v>
      </c>
      <c r="J2242" t="n">
        <v>0</v>
      </c>
    </row>
    <row r="2243">
      <c r="A2243" s="5" t="n">
        <v>46251</v>
      </c>
      <c r="B2243" t="inlineStr">
        <is>
          <t>meta_prospecting_founder</t>
        </is>
      </c>
      <c r="C2243" t="inlineStr">
        <is>
          <t>meta</t>
        </is>
      </c>
      <c r="D2243" t="n">
        <v>39392</v>
      </c>
      <c r="E2243" t="n">
        <v>28137</v>
      </c>
      <c r="F2243" t="n">
        <v>322</v>
      </c>
      <c r="G2243" t="n">
        <v>11</v>
      </c>
      <c r="H2243" t="n">
        <v>1</v>
      </c>
      <c r="I2243" t="n">
        <v>0</v>
      </c>
      <c r="J2243" t="n">
        <v>1</v>
      </c>
    </row>
    <row r="2244">
      <c r="A2244" s="5" t="n">
        <v>46251</v>
      </c>
      <c r="B2244" t="inlineStr">
        <is>
          <t>meta_retargeting_webinar</t>
        </is>
      </c>
      <c r="C2244" t="inlineStr">
        <is>
          <t>meta</t>
        </is>
      </c>
      <c r="D2244" t="n">
        <v>8526</v>
      </c>
      <c r="E2244" t="n">
        <v>6090</v>
      </c>
      <c r="F2244" t="n">
        <v>61</v>
      </c>
      <c r="G2244" t="n">
        <v>5</v>
      </c>
      <c r="H2244" t="n">
        <v>0</v>
      </c>
      <c r="I2244" t="n">
        <v>0</v>
      </c>
      <c r="J2244" t="n">
        <v>0</v>
      </c>
    </row>
    <row r="2245">
      <c r="A2245" s="5" t="n">
        <v>46252</v>
      </c>
      <c r="B2245" t="inlineStr">
        <is>
          <t>google_brand_search</t>
        </is>
      </c>
      <c r="C2245" t="inlineStr">
        <is>
          <t>google</t>
        </is>
      </c>
      <c r="D2245" t="n">
        <v>6586</v>
      </c>
      <c r="E2245" t="n">
        <v>1372</v>
      </c>
      <c r="F2245" t="n">
        <v>79</v>
      </c>
      <c r="G2245" t="n">
        <v>8</v>
      </c>
      <c r="H2245" t="n">
        <v>0</v>
      </c>
      <c r="I2245" t="n">
        <v>0</v>
      </c>
      <c r="J2245" t="n">
        <v>0</v>
      </c>
    </row>
    <row r="2246">
      <c r="A2246" s="5" t="n">
        <v>46252</v>
      </c>
      <c r="B2246" t="inlineStr">
        <is>
          <t>google_nonbrand_growth</t>
        </is>
      </c>
      <c r="C2246" t="inlineStr">
        <is>
          <t>google</t>
        </is>
      </c>
      <c r="D2246" t="n">
        <v>17362</v>
      </c>
      <c r="E2246" t="n">
        <v>3617</v>
      </c>
      <c r="F2246" t="n">
        <v>162</v>
      </c>
      <c r="G2246" t="n">
        <v>1</v>
      </c>
      <c r="H2246" t="n">
        <v>2</v>
      </c>
      <c r="I2246" t="n">
        <v>0</v>
      </c>
      <c r="J2246" t="n">
        <v>0</v>
      </c>
    </row>
    <row r="2247">
      <c r="A2247" s="5" t="n">
        <v>46252</v>
      </c>
      <c r="B2247" t="inlineStr">
        <is>
          <t>linkedin_ceo_abm</t>
        </is>
      </c>
      <c r="C2247" t="inlineStr">
        <is>
          <t>linkedin</t>
        </is>
      </c>
      <c r="D2247" t="n">
        <v>27643</v>
      </c>
      <c r="E2247" t="n">
        <v>5315</v>
      </c>
      <c r="F2247" t="n">
        <v>31</v>
      </c>
      <c r="G2247" t="n">
        <v>4</v>
      </c>
      <c r="H2247" t="n">
        <v>1</v>
      </c>
      <c r="I2247" t="n">
        <v>0</v>
      </c>
      <c r="J2247" t="n">
        <v>0</v>
      </c>
    </row>
    <row r="2248">
      <c r="A2248" s="5" t="n">
        <v>46252</v>
      </c>
      <c r="B2248" t="inlineStr">
        <is>
          <t>meta_broad_v17</t>
        </is>
      </c>
      <c r="C2248" t="inlineStr">
        <is>
          <t>meta</t>
        </is>
      </c>
      <c r="D2248" t="n">
        <v>50973</v>
      </c>
      <c r="E2248" t="n">
        <v>36409</v>
      </c>
      <c r="F2248" t="n">
        <v>406</v>
      </c>
      <c r="G2248" t="n">
        <v>28</v>
      </c>
      <c r="H2248" t="n">
        <v>1</v>
      </c>
      <c r="I2248" t="n">
        <v>1</v>
      </c>
      <c r="J2248" t="n">
        <v>0</v>
      </c>
    </row>
    <row r="2249">
      <c r="A2249" s="5" t="n">
        <v>46252</v>
      </c>
      <c r="B2249" t="inlineStr">
        <is>
          <t>meta_prospecting_founder</t>
        </is>
      </c>
      <c r="C2249" t="inlineStr">
        <is>
          <t>meta</t>
        </is>
      </c>
      <c r="D2249" t="n">
        <v>40294</v>
      </c>
      <c r="E2249" t="n">
        <v>28781</v>
      </c>
      <c r="F2249" t="n">
        <v>350</v>
      </c>
      <c r="G2249" t="n">
        <v>11</v>
      </c>
      <c r="H2249" t="n">
        <v>4</v>
      </c>
      <c r="I2249" t="n">
        <v>0</v>
      </c>
      <c r="J2249" t="n">
        <v>0</v>
      </c>
    </row>
    <row r="2250">
      <c r="A2250" s="5" t="n">
        <v>46252</v>
      </c>
      <c r="B2250" t="inlineStr">
        <is>
          <t>meta_retargeting_webinar</t>
        </is>
      </c>
      <c r="C2250" t="inlineStr">
        <is>
          <t>meta</t>
        </is>
      </c>
      <c r="D2250" t="n">
        <v>9010</v>
      </c>
      <c r="E2250" t="n">
        <v>6435</v>
      </c>
      <c r="F2250" t="n">
        <v>63</v>
      </c>
      <c r="G2250" t="n">
        <v>5</v>
      </c>
      <c r="H2250" t="n">
        <v>3</v>
      </c>
      <c r="I2250" t="n">
        <v>0</v>
      </c>
      <c r="J2250" t="n">
        <v>0</v>
      </c>
    </row>
    <row r="2251">
      <c r="A2251" s="5" t="n">
        <v>46253</v>
      </c>
      <c r="B2251" t="inlineStr">
        <is>
          <t>google_brand_search</t>
        </is>
      </c>
      <c r="C2251" t="inlineStr">
        <is>
          <t>google</t>
        </is>
      </c>
      <c r="D2251" t="n">
        <v>7463</v>
      </c>
      <c r="E2251" t="n">
        <v>1554</v>
      </c>
      <c r="F2251" t="n">
        <v>74</v>
      </c>
      <c r="G2251" t="n">
        <v>4</v>
      </c>
      <c r="H2251" t="n">
        <v>2</v>
      </c>
      <c r="I2251" t="n">
        <v>0</v>
      </c>
      <c r="J2251" t="n">
        <v>0</v>
      </c>
    </row>
    <row r="2252">
      <c r="A2252" s="5" t="n">
        <v>46253</v>
      </c>
      <c r="B2252" t="inlineStr">
        <is>
          <t>google_nonbrand_growth</t>
        </is>
      </c>
      <c r="C2252" t="inlineStr">
        <is>
          <t>google</t>
        </is>
      </c>
      <c r="D2252" t="n">
        <v>18908</v>
      </c>
      <c r="E2252" t="n">
        <v>3939</v>
      </c>
      <c r="F2252" t="n">
        <v>226</v>
      </c>
      <c r="G2252" t="n">
        <v>1</v>
      </c>
      <c r="H2252" t="n">
        <v>1</v>
      </c>
      <c r="I2252" t="n">
        <v>1</v>
      </c>
      <c r="J2252" t="n">
        <v>1</v>
      </c>
    </row>
    <row r="2253">
      <c r="A2253" s="5" t="n">
        <v>46253</v>
      </c>
      <c r="B2253" t="inlineStr">
        <is>
          <t>linkedin_ceo_abm</t>
        </is>
      </c>
      <c r="C2253" t="inlineStr">
        <is>
          <t>linkedin</t>
        </is>
      </c>
      <c r="D2253" t="n">
        <v>23675</v>
      </c>
      <c r="E2253" t="n">
        <v>4552</v>
      </c>
      <c r="F2253" t="n">
        <v>28</v>
      </c>
      <c r="G2253" t="n">
        <v>1</v>
      </c>
      <c r="H2253" t="n">
        <v>0</v>
      </c>
      <c r="I2253" t="n">
        <v>1</v>
      </c>
      <c r="J2253" t="n">
        <v>0</v>
      </c>
    </row>
    <row r="2254">
      <c r="A2254" s="5" t="n">
        <v>46253</v>
      </c>
      <c r="B2254" t="inlineStr">
        <is>
          <t>meta_broad_v17</t>
        </is>
      </c>
      <c r="C2254" t="inlineStr">
        <is>
          <t>meta</t>
        </is>
      </c>
      <c r="D2254" t="n">
        <v>46727</v>
      </c>
      <c r="E2254" t="n">
        <v>33376</v>
      </c>
      <c r="F2254" t="n">
        <v>387</v>
      </c>
      <c r="G2254" t="n">
        <v>36</v>
      </c>
      <c r="H2254" t="n">
        <v>4</v>
      </c>
      <c r="I2254" t="n">
        <v>1</v>
      </c>
      <c r="J2254" t="n">
        <v>0</v>
      </c>
    </row>
    <row r="2255">
      <c r="A2255" s="5" t="n">
        <v>46253</v>
      </c>
      <c r="B2255" t="inlineStr">
        <is>
          <t>meta_prospecting_founder</t>
        </is>
      </c>
      <c r="C2255" t="inlineStr">
        <is>
          <t>meta</t>
        </is>
      </c>
      <c r="D2255" t="n">
        <v>35291</v>
      </c>
      <c r="E2255" t="n">
        <v>25207</v>
      </c>
      <c r="F2255" t="n">
        <v>299</v>
      </c>
      <c r="G2255" t="n">
        <v>6</v>
      </c>
      <c r="H2255" t="n">
        <v>1</v>
      </c>
      <c r="I2255" t="n">
        <v>1</v>
      </c>
      <c r="J2255" t="n">
        <v>0</v>
      </c>
    </row>
    <row r="2256">
      <c r="A2256" s="5" t="n">
        <v>46253</v>
      </c>
      <c r="B2256" t="inlineStr">
        <is>
          <t>meta_retargeting_webinar</t>
        </is>
      </c>
      <c r="C2256" t="inlineStr">
        <is>
          <t>meta</t>
        </is>
      </c>
      <c r="D2256" t="n">
        <v>9093</v>
      </c>
      <c r="E2256" t="n">
        <v>6495</v>
      </c>
      <c r="F2256" t="n">
        <v>72</v>
      </c>
      <c r="G2256" t="n">
        <v>8</v>
      </c>
      <c r="H2256" t="n">
        <v>0</v>
      </c>
      <c r="I2256" t="n">
        <v>1</v>
      </c>
      <c r="J2256" t="n">
        <v>1</v>
      </c>
    </row>
    <row r="2257">
      <c r="A2257" s="5" t="n">
        <v>46254</v>
      </c>
      <c r="B2257" t="inlineStr">
        <is>
          <t>google_brand_search</t>
        </is>
      </c>
      <c r="C2257" t="inlineStr">
        <is>
          <t>google</t>
        </is>
      </c>
      <c r="D2257" t="n">
        <v>6855</v>
      </c>
      <c r="E2257" t="n">
        <v>1428</v>
      </c>
      <c r="F2257" t="n">
        <v>65</v>
      </c>
      <c r="G2257" t="n">
        <v>7</v>
      </c>
      <c r="H2257" t="n">
        <v>3</v>
      </c>
      <c r="I2257" t="n">
        <v>0</v>
      </c>
      <c r="J2257" t="n">
        <v>0</v>
      </c>
    </row>
    <row r="2258">
      <c r="A2258" s="5" t="n">
        <v>46254</v>
      </c>
      <c r="B2258" t="inlineStr">
        <is>
          <t>google_nonbrand_growth</t>
        </is>
      </c>
      <c r="C2258" t="inlineStr">
        <is>
          <t>google</t>
        </is>
      </c>
      <c r="D2258" t="n">
        <v>17481</v>
      </c>
      <c r="E2258" t="n">
        <v>3641</v>
      </c>
      <c r="F2258" t="n">
        <v>176</v>
      </c>
      <c r="G2258" t="n">
        <v>0</v>
      </c>
      <c r="H2258" t="n">
        <v>1</v>
      </c>
      <c r="I2258" t="n">
        <v>0</v>
      </c>
      <c r="J2258" t="n">
        <v>0</v>
      </c>
    </row>
    <row r="2259">
      <c r="A2259" s="5" t="n">
        <v>46254</v>
      </c>
      <c r="B2259" t="inlineStr">
        <is>
          <t>linkedin_ceo_abm</t>
        </is>
      </c>
      <c r="C2259" t="inlineStr">
        <is>
          <t>linkedin</t>
        </is>
      </c>
      <c r="D2259" t="n">
        <v>26989</v>
      </c>
      <c r="E2259" t="n">
        <v>5190</v>
      </c>
      <c r="F2259" t="n">
        <v>38</v>
      </c>
      <c r="G2259" t="n">
        <v>3</v>
      </c>
      <c r="H2259" t="n">
        <v>2</v>
      </c>
      <c r="I2259" t="n">
        <v>0</v>
      </c>
      <c r="J2259" t="n">
        <v>0</v>
      </c>
    </row>
    <row r="2260">
      <c r="A2260" s="5" t="n">
        <v>46254</v>
      </c>
      <c r="B2260" t="inlineStr">
        <is>
          <t>meta_broad_v17</t>
        </is>
      </c>
      <c r="C2260" t="inlineStr">
        <is>
          <t>meta</t>
        </is>
      </c>
      <c r="D2260" t="n">
        <v>48929</v>
      </c>
      <c r="E2260" t="n">
        <v>34949</v>
      </c>
      <c r="F2260" t="n">
        <v>418</v>
      </c>
      <c r="G2260" t="n">
        <v>15</v>
      </c>
      <c r="H2260" t="n">
        <v>4</v>
      </c>
      <c r="I2260" t="n">
        <v>1</v>
      </c>
      <c r="J2260" t="n">
        <v>0</v>
      </c>
    </row>
    <row r="2261">
      <c r="A2261" s="5" t="n">
        <v>46254</v>
      </c>
      <c r="B2261" t="inlineStr">
        <is>
          <t>meta_prospecting_founder</t>
        </is>
      </c>
      <c r="C2261" t="inlineStr">
        <is>
          <t>meta</t>
        </is>
      </c>
      <c r="D2261" t="n">
        <v>41916</v>
      </c>
      <c r="E2261" t="n">
        <v>29940</v>
      </c>
      <c r="F2261" t="n">
        <v>327</v>
      </c>
      <c r="G2261" t="n">
        <v>15</v>
      </c>
      <c r="H2261" t="n">
        <v>1</v>
      </c>
      <c r="I2261" t="n">
        <v>0</v>
      </c>
      <c r="J2261" t="n">
        <v>0</v>
      </c>
    </row>
    <row r="2262">
      <c r="A2262" s="5" t="n">
        <v>46254</v>
      </c>
      <c r="B2262" t="inlineStr">
        <is>
          <t>meta_retargeting_webinar</t>
        </is>
      </c>
      <c r="C2262" t="inlineStr">
        <is>
          <t>meta</t>
        </is>
      </c>
      <c r="D2262" t="n">
        <v>9880</v>
      </c>
      <c r="E2262" t="n">
        <v>7057</v>
      </c>
      <c r="F2262" t="n">
        <v>80</v>
      </c>
      <c r="G2262" t="n">
        <v>3</v>
      </c>
      <c r="H2262" t="n">
        <v>2</v>
      </c>
      <c r="I2262" t="n">
        <v>0</v>
      </c>
      <c r="J2262" t="n">
        <v>0</v>
      </c>
    </row>
    <row r="2263">
      <c r="A2263" s="5" t="n">
        <v>46255</v>
      </c>
      <c r="B2263" t="inlineStr">
        <is>
          <t>google_brand_search</t>
        </is>
      </c>
      <c r="C2263" t="inlineStr">
        <is>
          <t>google</t>
        </is>
      </c>
      <c r="D2263" t="n">
        <v>6666</v>
      </c>
      <c r="E2263" t="n">
        <v>1388</v>
      </c>
      <c r="F2263" t="n">
        <v>82</v>
      </c>
      <c r="G2263" t="n">
        <v>1</v>
      </c>
      <c r="H2263" t="n">
        <v>2</v>
      </c>
      <c r="I2263" t="n">
        <v>0</v>
      </c>
      <c r="J2263" t="n">
        <v>1</v>
      </c>
    </row>
    <row r="2264">
      <c r="A2264" s="5" t="n">
        <v>46255</v>
      </c>
      <c r="B2264" t="inlineStr">
        <is>
          <t>google_nonbrand_growth</t>
        </is>
      </c>
      <c r="C2264" t="inlineStr">
        <is>
          <t>google</t>
        </is>
      </c>
      <c r="D2264" t="n">
        <v>19978</v>
      </c>
      <c r="E2264" t="n">
        <v>4162</v>
      </c>
      <c r="F2264" t="n">
        <v>221</v>
      </c>
      <c r="G2264" t="n">
        <v>6</v>
      </c>
      <c r="H2264" t="n">
        <v>0</v>
      </c>
      <c r="I2264" t="n">
        <v>1</v>
      </c>
      <c r="J2264" t="n">
        <v>0</v>
      </c>
    </row>
    <row r="2265">
      <c r="A2265" s="5" t="n">
        <v>46255</v>
      </c>
      <c r="B2265" t="inlineStr">
        <is>
          <t>linkedin_ceo_abm</t>
        </is>
      </c>
      <c r="C2265" t="inlineStr">
        <is>
          <t>linkedin</t>
        </is>
      </c>
      <c r="D2265" t="n">
        <v>23596</v>
      </c>
      <c r="E2265" t="n">
        <v>4537</v>
      </c>
      <c r="F2265" t="n">
        <v>30</v>
      </c>
      <c r="G2265" t="n">
        <v>0</v>
      </c>
      <c r="H2265" t="n">
        <v>0</v>
      </c>
      <c r="I2265" t="n">
        <v>1</v>
      </c>
      <c r="J2265" t="n">
        <v>1</v>
      </c>
    </row>
    <row r="2266">
      <c r="A2266" s="5" t="n">
        <v>46255</v>
      </c>
      <c r="B2266" t="inlineStr">
        <is>
          <t>meta_broad_v17</t>
        </is>
      </c>
      <c r="C2266" t="inlineStr">
        <is>
          <t>meta</t>
        </is>
      </c>
      <c r="D2266" t="n">
        <v>45773</v>
      </c>
      <c r="E2266" t="n">
        <v>32695</v>
      </c>
      <c r="F2266" t="n">
        <v>333</v>
      </c>
      <c r="G2266" t="n">
        <v>22</v>
      </c>
      <c r="H2266" t="n">
        <v>4</v>
      </c>
      <c r="I2266" t="n">
        <v>0</v>
      </c>
      <c r="J2266" t="n">
        <v>0</v>
      </c>
    </row>
    <row r="2267">
      <c r="A2267" s="5" t="n">
        <v>46255</v>
      </c>
      <c r="B2267" t="inlineStr">
        <is>
          <t>meta_prospecting_founder</t>
        </is>
      </c>
      <c r="C2267" t="inlineStr">
        <is>
          <t>meta</t>
        </is>
      </c>
      <c r="D2267" t="n">
        <v>36050</v>
      </c>
      <c r="E2267" t="n">
        <v>25750</v>
      </c>
      <c r="F2267" t="n">
        <v>283</v>
      </c>
      <c r="G2267" t="n">
        <v>9</v>
      </c>
      <c r="H2267" t="n">
        <v>3</v>
      </c>
      <c r="I2267" t="n">
        <v>1</v>
      </c>
      <c r="J2267" t="n">
        <v>1</v>
      </c>
    </row>
    <row r="2268">
      <c r="A2268" s="5" t="n">
        <v>46255</v>
      </c>
      <c r="B2268" t="inlineStr">
        <is>
          <t>meta_retargeting_webinar</t>
        </is>
      </c>
      <c r="C2268" t="inlineStr">
        <is>
          <t>meta</t>
        </is>
      </c>
      <c r="D2268" t="n">
        <v>9194</v>
      </c>
      <c r="E2268" t="n">
        <v>6567</v>
      </c>
      <c r="F2268" t="n">
        <v>61</v>
      </c>
      <c r="G2268" t="n">
        <v>3</v>
      </c>
      <c r="H2268" t="n">
        <v>2</v>
      </c>
      <c r="I2268" t="n">
        <v>0</v>
      </c>
      <c r="J2268" t="n">
        <v>0</v>
      </c>
    </row>
    <row r="2269">
      <c r="A2269" s="5" t="n">
        <v>46256</v>
      </c>
      <c r="B2269" t="inlineStr">
        <is>
          <t>google_brand_search</t>
        </is>
      </c>
      <c r="C2269" t="inlineStr">
        <is>
          <t>google</t>
        </is>
      </c>
      <c r="D2269" t="n">
        <v>7082</v>
      </c>
      <c r="E2269" t="n">
        <v>1475</v>
      </c>
      <c r="F2269" t="n">
        <v>75</v>
      </c>
      <c r="G2269" t="n">
        <v>2</v>
      </c>
      <c r="H2269" t="n">
        <v>1</v>
      </c>
      <c r="I2269" t="n">
        <v>1</v>
      </c>
      <c r="J2269" t="n">
        <v>0</v>
      </c>
    </row>
    <row r="2270">
      <c r="A2270" s="5" t="n">
        <v>46256</v>
      </c>
      <c r="B2270" t="inlineStr">
        <is>
          <t>google_nonbrand_growth</t>
        </is>
      </c>
      <c r="C2270" t="inlineStr">
        <is>
          <t>google</t>
        </is>
      </c>
      <c r="D2270" t="n">
        <v>19120</v>
      </c>
      <c r="E2270" t="n">
        <v>3983</v>
      </c>
      <c r="F2270" t="n">
        <v>201</v>
      </c>
      <c r="G2270" t="n">
        <v>0</v>
      </c>
      <c r="H2270" t="n">
        <v>0</v>
      </c>
      <c r="I2270" t="n">
        <v>0</v>
      </c>
      <c r="J2270" t="n">
        <v>0</v>
      </c>
    </row>
    <row r="2271">
      <c r="A2271" s="5" t="n">
        <v>46256</v>
      </c>
      <c r="B2271" t="inlineStr">
        <is>
          <t>linkedin_ceo_abm</t>
        </is>
      </c>
      <c r="C2271" t="inlineStr">
        <is>
          <t>linkedin</t>
        </is>
      </c>
      <c r="D2271" t="n">
        <v>25549</v>
      </c>
      <c r="E2271" t="n">
        <v>4913</v>
      </c>
      <c r="F2271" t="n">
        <v>30</v>
      </c>
      <c r="G2271" t="n">
        <v>1</v>
      </c>
      <c r="H2271" t="n">
        <v>0</v>
      </c>
      <c r="I2271" t="n">
        <v>2</v>
      </c>
      <c r="J2271" t="n">
        <v>0</v>
      </c>
    </row>
    <row r="2272">
      <c r="A2272" s="5" t="n">
        <v>46256</v>
      </c>
      <c r="B2272" t="inlineStr">
        <is>
          <t>meta_broad_v17</t>
        </is>
      </c>
      <c r="C2272" t="inlineStr">
        <is>
          <t>meta</t>
        </is>
      </c>
      <c r="D2272" t="n">
        <v>45900</v>
      </c>
      <c r="E2272" t="n">
        <v>32785</v>
      </c>
      <c r="F2272" t="n">
        <v>345</v>
      </c>
      <c r="G2272" t="n">
        <v>13</v>
      </c>
      <c r="H2272" t="n">
        <v>2</v>
      </c>
      <c r="I2272" t="n">
        <v>2</v>
      </c>
      <c r="J2272" t="n">
        <v>0</v>
      </c>
    </row>
    <row r="2273">
      <c r="A2273" s="5" t="n">
        <v>46256</v>
      </c>
      <c r="B2273" t="inlineStr">
        <is>
          <t>meta_prospecting_founder</t>
        </is>
      </c>
      <c r="C2273" t="inlineStr">
        <is>
          <t>meta</t>
        </is>
      </c>
      <c r="D2273" t="n">
        <v>37137</v>
      </c>
      <c r="E2273" t="n">
        <v>26526</v>
      </c>
      <c r="F2273" t="n">
        <v>251</v>
      </c>
      <c r="G2273" t="n">
        <v>11</v>
      </c>
      <c r="H2273" t="n">
        <v>4</v>
      </c>
      <c r="I2273" t="n">
        <v>2</v>
      </c>
      <c r="J2273" t="n">
        <v>0</v>
      </c>
    </row>
    <row r="2274">
      <c r="A2274" s="5" t="n">
        <v>46256</v>
      </c>
      <c r="B2274" t="inlineStr">
        <is>
          <t>meta_retargeting_webinar</t>
        </is>
      </c>
      <c r="C2274" t="inlineStr">
        <is>
          <t>meta</t>
        </is>
      </c>
      <c r="D2274" t="n">
        <v>8640</v>
      </c>
      <c r="E2274" t="n">
        <v>6171</v>
      </c>
      <c r="F2274" t="n">
        <v>74</v>
      </c>
      <c r="G2274" t="n">
        <v>3</v>
      </c>
      <c r="H2274" t="n">
        <v>0</v>
      </c>
      <c r="I2274" t="n">
        <v>0</v>
      </c>
      <c r="J2274" t="n">
        <v>0</v>
      </c>
    </row>
    <row r="2275">
      <c r="A2275" s="5" t="n">
        <v>46257</v>
      </c>
      <c r="B2275" t="inlineStr">
        <is>
          <t>google_brand_search</t>
        </is>
      </c>
      <c r="C2275" t="inlineStr">
        <is>
          <t>google</t>
        </is>
      </c>
      <c r="D2275" t="n">
        <v>7280</v>
      </c>
      <c r="E2275" t="n">
        <v>1516</v>
      </c>
      <c r="F2275" t="n">
        <v>88</v>
      </c>
      <c r="G2275" t="n">
        <v>2</v>
      </c>
      <c r="H2275" t="n">
        <v>1</v>
      </c>
      <c r="I2275" t="n">
        <v>0</v>
      </c>
      <c r="J2275" t="n">
        <v>0</v>
      </c>
    </row>
    <row r="2276">
      <c r="A2276" s="5" t="n">
        <v>46257</v>
      </c>
      <c r="B2276" t="inlineStr">
        <is>
          <t>google_nonbrand_growth</t>
        </is>
      </c>
      <c r="C2276" t="inlineStr">
        <is>
          <t>google</t>
        </is>
      </c>
      <c r="D2276" t="n">
        <v>18262</v>
      </c>
      <c r="E2276" t="n">
        <v>3804</v>
      </c>
      <c r="F2276" t="n">
        <v>192</v>
      </c>
      <c r="G2276" t="n">
        <v>0</v>
      </c>
      <c r="H2276" t="n">
        <v>0</v>
      </c>
      <c r="I2276" t="n">
        <v>0</v>
      </c>
      <c r="J2276" t="n">
        <v>1</v>
      </c>
    </row>
    <row r="2277">
      <c r="A2277" s="5" t="n">
        <v>46257</v>
      </c>
      <c r="B2277" t="inlineStr">
        <is>
          <t>linkedin_ceo_abm</t>
        </is>
      </c>
      <c r="C2277" t="inlineStr">
        <is>
          <t>linkedin</t>
        </is>
      </c>
      <c r="D2277" t="n">
        <v>27846</v>
      </c>
      <c r="E2277" t="n">
        <v>5354</v>
      </c>
      <c r="F2277" t="n">
        <v>38</v>
      </c>
      <c r="G2277" t="n">
        <v>0</v>
      </c>
      <c r="H2277" t="n">
        <v>1</v>
      </c>
      <c r="I2277" t="n">
        <v>2</v>
      </c>
      <c r="J2277" t="n">
        <v>0</v>
      </c>
    </row>
    <row r="2278">
      <c r="A2278" s="5" t="n">
        <v>46257</v>
      </c>
      <c r="B2278" t="inlineStr">
        <is>
          <t>meta_broad_v17</t>
        </is>
      </c>
      <c r="C2278" t="inlineStr">
        <is>
          <t>meta</t>
        </is>
      </c>
      <c r="D2278" t="n">
        <v>49651</v>
      </c>
      <c r="E2278" t="n">
        <v>35464</v>
      </c>
      <c r="F2278" t="n">
        <v>435</v>
      </c>
      <c r="G2278" t="n">
        <v>19</v>
      </c>
      <c r="H2278" t="n">
        <v>1</v>
      </c>
      <c r="I2278" t="n">
        <v>0</v>
      </c>
      <c r="J2278" t="n">
        <v>0</v>
      </c>
    </row>
    <row r="2279">
      <c r="A2279" s="5" t="n">
        <v>46257</v>
      </c>
      <c r="B2279" t="inlineStr">
        <is>
          <t>meta_prospecting_founder</t>
        </is>
      </c>
      <c r="C2279" t="inlineStr">
        <is>
          <t>meta</t>
        </is>
      </c>
      <c r="D2279" t="n">
        <v>40395</v>
      </c>
      <c r="E2279" t="n">
        <v>28853</v>
      </c>
      <c r="F2279" t="n">
        <v>360</v>
      </c>
      <c r="G2279" t="n">
        <v>7</v>
      </c>
      <c r="H2279" t="n">
        <v>4</v>
      </c>
      <c r="I2279" t="n">
        <v>1</v>
      </c>
      <c r="J2279" t="n">
        <v>0</v>
      </c>
    </row>
    <row r="2280">
      <c r="A2280" s="5" t="n">
        <v>46257</v>
      </c>
      <c r="B2280" t="inlineStr">
        <is>
          <t>meta_retargeting_webinar</t>
        </is>
      </c>
      <c r="C2280" t="inlineStr">
        <is>
          <t>meta</t>
        </is>
      </c>
      <c r="D2280" t="n">
        <v>9410</v>
      </c>
      <c r="E2280" t="n">
        <v>6721</v>
      </c>
      <c r="F2280" t="n">
        <v>62</v>
      </c>
      <c r="G2280" t="n">
        <v>3</v>
      </c>
      <c r="H2280" t="n">
        <v>1</v>
      </c>
      <c r="I2280" t="n">
        <v>0</v>
      </c>
      <c r="J2280" t="n">
        <v>0</v>
      </c>
    </row>
    <row r="2281">
      <c r="A2281" s="5" t="n">
        <v>46258</v>
      </c>
      <c r="B2281" t="inlineStr">
        <is>
          <t>google_brand_search</t>
        </is>
      </c>
      <c r="C2281" t="inlineStr">
        <is>
          <t>google</t>
        </is>
      </c>
      <c r="D2281" t="n">
        <v>6584</v>
      </c>
      <c r="E2281" t="n">
        <v>1371</v>
      </c>
      <c r="F2281" t="n">
        <v>75</v>
      </c>
      <c r="G2281" t="n">
        <v>5</v>
      </c>
      <c r="H2281" t="n">
        <v>1</v>
      </c>
      <c r="I2281" t="n">
        <v>3</v>
      </c>
      <c r="J2281" t="n">
        <v>0</v>
      </c>
    </row>
    <row r="2282">
      <c r="A2282" s="5" t="n">
        <v>46258</v>
      </c>
      <c r="B2282" t="inlineStr">
        <is>
          <t>google_nonbrand_growth</t>
        </is>
      </c>
      <c r="C2282" t="inlineStr">
        <is>
          <t>google</t>
        </is>
      </c>
      <c r="D2282" t="n">
        <v>19047</v>
      </c>
      <c r="E2282" t="n">
        <v>3968</v>
      </c>
      <c r="F2282" t="n">
        <v>207</v>
      </c>
      <c r="G2282" t="n">
        <v>6</v>
      </c>
      <c r="H2282" t="n">
        <v>2</v>
      </c>
      <c r="I2282" t="n">
        <v>0</v>
      </c>
      <c r="J2282" t="n">
        <v>0</v>
      </c>
    </row>
    <row r="2283">
      <c r="A2283" s="5" t="n">
        <v>46258</v>
      </c>
      <c r="B2283" t="inlineStr">
        <is>
          <t>linkedin_ceo_abm</t>
        </is>
      </c>
      <c r="C2283" t="inlineStr">
        <is>
          <t>linkedin</t>
        </is>
      </c>
      <c r="D2283" t="n">
        <v>27341</v>
      </c>
      <c r="E2283" t="n">
        <v>5257</v>
      </c>
      <c r="F2283" t="n">
        <v>37</v>
      </c>
      <c r="G2283" t="n">
        <v>0</v>
      </c>
      <c r="H2283" t="n">
        <v>0</v>
      </c>
      <c r="I2283" t="n">
        <v>0</v>
      </c>
      <c r="J2283" t="n">
        <v>1</v>
      </c>
    </row>
    <row r="2284">
      <c r="A2284" s="5" t="n">
        <v>46258</v>
      </c>
      <c r="B2284" t="inlineStr">
        <is>
          <t>meta_broad_v17</t>
        </is>
      </c>
      <c r="C2284" t="inlineStr">
        <is>
          <t>meta</t>
        </is>
      </c>
      <c r="D2284" t="n">
        <v>44548</v>
      </c>
      <c r="E2284" t="n">
        <v>31820</v>
      </c>
      <c r="F2284" t="n">
        <v>339</v>
      </c>
      <c r="G2284" t="n">
        <v>26</v>
      </c>
      <c r="H2284" t="n">
        <v>1</v>
      </c>
      <c r="I2284" t="n">
        <v>0</v>
      </c>
      <c r="J2284" t="n">
        <v>0</v>
      </c>
    </row>
    <row r="2285">
      <c r="A2285" s="5" t="n">
        <v>46258</v>
      </c>
      <c r="B2285" t="inlineStr">
        <is>
          <t>meta_prospecting_founder</t>
        </is>
      </c>
      <c r="C2285" t="inlineStr">
        <is>
          <t>meta</t>
        </is>
      </c>
      <c r="D2285" t="n">
        <v>41222</v>
      </c>
      <c r="E2285" t="n">
        <v>29444</v>
      </c>
      <c r="F2285" t="n">
        <v>346</v>
      </c>
      <c r="G2285" t="n">
        <v>10</v>
      </c>
      <c r="H2285" t="n">
        <v>1</v>
      </c>
      <c r="I2285" t="n">
        <v>1</v>
      </c>
      <c r="J2285" t="n">
        <v>0</v>
      </c>
    </row>
    <row r="2286">
      <c r="A2286" s="5" t="n">
        <v>46258</v>
      </c>
      <c r="B2286" t="inlineStr">
        <is>
          <t>meta_retargeting_webinar</t>
        </is>
      </c>
      <c r="C2286" t="inlineStr">
        <is>
          <t>meta</t>
        </is>
      </c>
      <c r="D2286" t="n">
        <v>9747</v>
      </c>
      <c r="E2286" t="n">
        <v>6962</v>
      </c>
      <c r="F2286" t="n">
        <v>75</v>
      </c>
      <c r="G2286" t="n">
        <v>3</v>
      </c>
      <c r="H2286" t="n">
        <v>0</v>
      </c>
      <c r="I2286" t="n">
        <v>1</v>
      </c>
      <c r="J2286" t="n">
        <v>0</v>
      </c>
    </row>
    <row r="2287">
      <c r="A2287" s="5" t="n">
        <v>46259</v>
      </c>
      <c r="B2287" t="inlineStr">
        <is>
          <t>google_brand_search</t>
        </is>
      </c>
      <c r="C2287" t="inlineStr">
        <is>
          <t>google</t>
        </is>
      </c>
      <c r="D2287" t="n">
        <v>7137</v>
      </c>
      <c r="E2287" t="n">
        <v>1486</v>
      </c>
      <c r="F2287" t="n">
        <v>67</v>
      </c>
      <c r="G2287" t="n">
        <v>1</v>
      </c>
      <c r="H2287" t="n">
        <v>1</v>
      </c>
      <c r="I2287" t="n">
        <v>1</v>
      </c>
      <c r="J2287" t="n">
        <v>0</v>
      </c>
    </row>
    <row r="2288">
      <c r="A2288" s="5" t="n">
        <v>46259</v>
      </c>
      <c r="B2288" t="inlineStr">
        <is>
          <t>google_nonbrand_growth</t>
        </is>
      </c>
      <c r="C2288" t="inlineStr">
        <is>
          <t>google</t>
        </is>
      </c>
      <c r="D2288" t="n">
        <v>19268</v>
      </c>
      <c r="E2288" t="n">
        <v>4014</v>
      </c>
      <c r="F2288" t="n">
        <v>191</v>
      </c>
      <c r="G2288" t="n">
        <v>3</v>
      </c>
      <c r="H2288" t="n">
        <v>0</v>
      </c>
      <c r="I2288" t="n">
        <v>0</v>
      </c>
      <c r="J2288" t="n">
        <v>0</v>
      </c>
    </row>
    <row r="2289">
      <c r="A2289" s="5" t="n">
        <v>46259</v>
      </c>
      <c r="B2289" t="inlineStr">
        <is>
          <t>linkedin_ceo_abm</t>
        </is>
      </c>
      <c r="C2289" t="inlineStr">
        <is>
          <t>linkedin</t>
        </is>
      </c>
      <c r="D2289" t="n">
        <v>24226</v>
      </c>
      <c r="E2289" t="n">
        <v>4658</v>
      </c>
      <c r="F2289" t="n">
        <v>26</v>
      </c>
      <c r="G2289" t="n">
        <v>3</v>
      </c>
      <c r="H2289" t="n">
        <v>0</v>
      </c>
      <c r="I2289" t="n">
        <v>0</v>
      </c>
      <c r="J2289" t="n">
        <v>0</v>
      </c>
    </row>
    <row r="2290">
      <c r="A2290" s="5" t="n">
        <v>46259</v>
      </c>
      <c r="B2290" t="inlineStr">
        <is>
          <t>meta_broad_v17</t>
        </is>
      </c>
      <c r="C2290" t="inlineStr">
        <is>
          <t>meta</t>
        </is>
      </c>
      <c r="D2290" t="n">
        <v>49169</v>
      </c>
      <c r="E2290" t="n">
        <v>35120</v>
      </c>
      <c r="F2290" t="n">
        <v>332</v>
      </c>
      <c r="G2290" t="n">
        <v>13</v>
      </c>
      <c r="H2290" t="n">
        <v>3</v>
      </c>
      <c r="I2290" t="n">
        <v>2</v>
      </c>
      <c r="J2290" t="n">
        <v>0</v>
      </c>
    </row>
    <row r="2291">
      <c r="A2291" s="5" t="n">
        <v>46259</v>
      </c>
      <c r="B2291" t="inlineStr">
        <is>
          <t>meta_prospecting_founder</t>
        </is>
      </c>
      <c r="C2291" t="inlineStr">
        <is>
          <t>meta</t>
        </is>
      </c>
      <c r="D2291" t="n">
        <v>38280</v>
      </c>
      <c r="E2291" t="n">
        <v>27342</v>
      </c>
      <c r="F2291" t="n">
        <v>255</v>
      </c>
      <c r="G2291" t="n">
        <v>8</v>
      </c>
      <c r="H2291" t="n">
        <v>4</v>
      </c>
      <c r="I2291" t="n">
        <v>0</v>
      </c>
      <c r="J2291" t="n">
        <v>0</v>
      </c>
    </row>
    <row r="2292">
      <c r="A2292" s="5" t="n">
        <v>46259</v>
      </c>
      <c r="B2292" t="inlineStr">
        <is>
          <t>meta_retargeting_webinar</t>
        </is>
      </c>
      <c r="C2292" t="inlineStr">
        <is>
          <t>meta</t>
        </is>
      </c>
      <c r="D2292" t="n">
        <v>8566</v>
      </c>
      <c r="E2292" t="n">
        <v>6118</v>
      </c>
      <c r="F2292" t="n">
        <v>72</v>
      </c>
      <c r="G2292" t="n">
        <v>2</v>
      </c>
      <c r="H2292" t="n">
        <v>0</v>
      </c>
      <c r="I2292" t="n">
        <v>0</v>
      </c>
      <c r="J2292" t="n">
        <v>0</v>
      </c>
    </row>
    <row r="2293">
      <c r="A2293" s="5" t="n">
        <v>46260</v>
      </c>
      <c r="B2293" t="inlineStr">
        <is>
          <t>FB-Broad</t>
        </is>
      </c>
      <c r="C2293" t="inlineStr">
        <is>
          <t>meta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t="n">
        <v>0</v>
      </c>
      <c r="J2293" t="n">
        <v>0</v>
      </c>
    </row>
    <row r="2294">
      <c r="A2294" s="5" t="n">
        <v>46260</v>
      </c>
      <c r="B2294" t="inlineStr">
        <is>
          <t>google_brand_search</t>
        </is>
      </c>
      <c r="C2294" t="inlineStr">
        <is>
          <t>google</t>
        </is>
      </c>
      <c r="D2294" t="n">
        <v>7244</v>
      </c>
      <c r="E2294" t="n">
        <v>1509</v>
      </c>
      <c r="F2294" t="n">
        <v>74</v>
      </c>
      <c r="G2294" t="n">
        <v>5</v>
      </c>
      <c r="H2294" t="n">
        <v>0</v>
      </c>
      <c r="I2294" t="n">
        <v>1</v>
      </c>
      <c r="J2294" t="n">
        <v>0</v>
      </c>
    </row>
    <row r="2295">
      <c r="A2295" s="5" t="n">
        <v>46260</v>
      </c>
      <c r="B2295" t="inlineStr">
        <is>
          <t>google_nonbrand_growth</t>
        </is>
      </c>
      <c r="C2295" t="inlineStr">
        <is>
          <t>google</t>
        </is>
      </c>
      <c r="D2295" t="n">
        <v>21039</v>
      </c>
      <c r="E2295" t="n">
        <v>4383</v>
      </c>
      <c r="F2295" t="n">
        <v>215</v>
      </c>
      <c r="G2295" t="n">
        <v>4</v>
      </c>
      <c r="H2295" t="n">
        <v>0</v>
      </c>
      <c r="I2295" t="n">
        <v>1</v>
      </c>
      <c r="J2295" t="n">
        <v>0</v>
      </c>
    </row>
    <row r="2296">
      <c r="A2296" s="5" t="n">
        <v>46260</v>
      </c>
      <c r="B2296" t="inlineStr">
        <is>
          <t>linkedin_ceo_abm</t>
        </is>
      </c>
      <c r="C2296" t="inlineStr">
        <is>
          <t>linkedin</t>
        </is>
      </c>
      <c r="D2296" t="n">
        <v>25048</v>
      </c>
      <c r="E2296" t="n">
        <v>4816</v>
      </c>
      <c r="F2296" t="n">
        <v>33</v>
      </c>
      <c r="G2296" t="n">
        <v>2</v>
      </c>
      <c r="H2296" t="n">
        <v>1</v>
      </c>
      <c r="I2296" t="n">
        <v>0</v>
      </c>
      <c r="J2296" t="n">
        <v>0</v>
      </c>
    </row>
    <row r="2297">
      <c r="A2297" s="5" t="n">
        <v>46260</v>
      </c>
      <c r="B2297" t="inlineStr">
        <is>
          <t>meta_broad_v17</t>
        </is>
      </c>
      <c r="C2297" t="inlineStr">
        <is>
          <t>meta</t>
        </is>
      </c>
      <c r="D2297" t="n">
        <v>48733</v>
      </c>
      <c r="E2297" t="n">
        <v>34809</v>
      </c>
      <c r="F2297" t="n">
        <v>401</v>
      </c>
      <c r="G2297" t="n">
        <v>31</v>
      </c>
      <c r="H2297" t="n">
        <v>2</v>
      </c>
      <c r="I2297" t="n">
        <v>0</v>
      </c>
      <c r="J2297" t="n">
        <v>0</v>
      </c>
    </row>
    <row r="2298">
      <c r="A2298" s="5" t="n">
        <v>46260</v>
      </c>
      <c r="B2298" t="inlineStr">
        <is>
          <t>meta_prospecting_founder</t>
        </is>
      </c>
      <c r="C2298" t="inlineStr">
        <is>
          <t>meta</t>
        </is>
      </c>
      <c r="D2298" t="n">
        <v>42372</v>
      </c>
      <c r="E2298" t="n">
        <v>30265</v>
      </c>
      <c r="F2298" t="n">
        <v>378</v>
      </c>
      <c r="G2298" t="n">
        <v>4</v>
      </c>
      <c r="H2298" t="n">
        <v>1</v>
      </c>
      <c r="I2298" t="n">
        <v>0</v>
      </c>
      <c r="J2298" t="n">
        <v>0</v>
      </c>
    </row>
    <row r="2299">
      <c r="A2299" s="5" t="n">
        <v>46260</v>
      </c>
      <c r="B2299" t="inlineStr">
        <is>
          <t>meta_retargeting_webinar</t>
        </is>
      </c>
      <c r="C2299" t="inlineStr">
        <is>
          <t>meta</t>
        </is>
      </c>
      <c r="D2299" t="n">
        <v>9134</v>
      </c>
      <c r="E2299" t="n">
        <v>6524</v>
      </c>
      <c r="F2299" t="n">
        <v>80</v>
      </c>
      <c r="G2299" t="n">
        <v>4</v>
      </c>
      <c r="H2299" t="n">
        <v>4</v>
      </c>
      <c r="I2299" t="n">
        <v>2</v>
      </c>
      <c r="J2299" t="n">
        <v>0</v>
      </c>
    </row>
    <row r="2300">
      <c r="A2300" s="5" t="n">
        <v>46261</v>
      </c>
      <c r="B2300" t="inlineStr">
        <is>
          <t>google_brand_search</t>
        </is>
      </c>
      <c r="C2300" t="inlineStr">
        <is>
          <t>google</t>
        </is>
      </c>
      <c r="D2300" t="n">
        <v>6852</v>
      </c>
      <c r="E2300" t="n">
        <v>1427</v>
      </c>
      <c r="F2300" t="n">
        <v>70</v>
      </c>
      <c r="G2300" t="n">
        <v>3</v>
      </c>
      <c r="H2300" t="n">
        <v>2</v>
      </c>
      <c r="I2300" t="n">
        <v>1</v>
      </c>
      <c r="J2300" t="n">
        <v>0</v>
      </c>
    </row>
    <row r="2301">
      <c r="A2301" s="5" t="n">
        <v>46261</v>
      </c>
      <c r="B2301" t="inlineStr">
        <is>
          <t>google_nonbrand_growth</t>
        </is>
      </c>
      <c r="C2301" t="inlineStr">
        <is>
          <t>google</t>
        </is>
      </c>
      <c r="D2301" t="n">
        <v>20501</v>
      </c>
      <c r="E2301" t="n">
        <v>4271</v>
      </c>
      <c r="F2301" t="n">
        <v>249</v>
      </c>
      <c r="G2301" t="n">
        <v>3</v>
      </c>
      <c r="H2301" t="n">
        <v>1</v>
      </c>
      <c r="I2301" t="n">
        <v>0</v>
      </c>
      <c r="J2301" t="n">
        <v>0</v>
      </c>
    </row>
    <row r="2302">
      <c r="A2302" s="5" t="n">
        <v>46261</v>
      </c>
      <c r="B2302" t="inlineStr">
        <is>
          <t>linkedin_ceo_abm</t>
        </is>
      </c>
      <c r="C2302" t="inlineStr">
        <is>
          <t>linkedin</t>
        </is>
      </c>
      <c r="D2302" t="n">
        <v>27193</v>
      </c>
      <c r="E2302" t="n">
        <v>5229</v>
      </c>
      <c r="F2302" t="n">
        <v>36</v>
      </c>
      <c r="G2302" t="n">
        <v>1</v>
      </c>
      <c r="H2302" t="n">
        <v>0</v>
      </c>
      <c r="I2302" t="n">
        <v>1</v>
      </c>
      <c r="J2302" t="n">
        <v>0</v>
      </c>
    </row>
    <row r="2303">
      <c r="A2303" s="5" t="n">
        <v>46261</v>
      </c>
      <c r="B2303" t="inlineStr">
        <is>
          <t>meta_broad_v17</t>
        </is>
      </c>
      <c r="C2303" t="inlineStr">
        <is>
          <t>meta</t>
        </is>
      </c>
      <c r="D2303" t="n">
        <v>50468</v>
      </c>
      <c r="E2303" t="n">
        <v>36048</v>
      </c>
      <c r="F2303" t="n">
        <v>382</v>
      </c>
      <c r="G2303" t="n">
        <v>23</v>
      </c>
      <c r="H2303" t="n">
        <v>2</v>
      </c>
      <c r="I2303" t="n">
        <v>0</v>
      </c>
      <c r="J2303" t="n">
        <v>0</v>
      </c>
    </row>
    <row r="2304">
      <c r="A2304" s="5" t="n">
        <v>46261</v>
      </c>
      <c r="B2304" t="inlineStr">
        <is>
          <t>meta_prospecting_founder</t>
        </is>
      </c>
      <c r="C2304" t="inlineStr">
        <is>
          <t>meta</t>
        </is>
      </c>
      <c r="D2304" t="n">
        <v>37632</v>
      </c>
      <c r="E2304" t="n">
        <v>26880</v>
      </c>
      <c r="F2304" t="n">
        <v>306</v>
      </c>
      <c r="G2304" t="n">
        <v>8</v>
      </c>
      <c r="H2304" t="n">
        <v>1</v>
      </c>
      <c r="I2304" t="n">
        <v>1</v>
      </c>
      <c r="J2304" t="n">
        <v>0</v>
      </c>
    </row>
    <row r="2305">
      <c r="A2305" s="5" t="n">
        <v>46261</v>
      </c>
      <c r="B2305" t="inlineStr">
        <is>
          <t>meta_retargeting_webinar</t>
        </is>
      </c>
      <c r="C2305" t="inlineStr">
        <is>
          <t>meta</t>
        </is>
      </c>
      <c r="D2305" t="n">
        <v>9253</v>
      </c>
      <c r="E2305" t="n">
        <v>6609</v>
      </c>
      <c r="F2305" t="n">
        <v>64</v>
      </c>
      <c r="G2305" t="n">
        <v>3</v>
      </c>
      <c r="H2305" t="n">
        <v>2</v>
      </c>
      <c r="I2305" t="n">
        <v>0</v>
      </c>
      <c r="J2305" t="n">
        <v>0</v>
      </c>
    </row>
    <row r="2306">
      <c r="A2306" s="5" t="n">
        <v>46262</v>
      </c>
      <c r="B2306" t="inlineStr">
        <is>
          <t>google_brand_search</t>
        </is>
      </c>
      <c r="C2306" t="inlineStr">
        <is>
          <t>google</t>
        </is>
      </c>
      <c r="D2306" t="n">
        <v>7144</v>
      </c>
      <c r="E2306" t="n">
        <v>1488</v>
      </c>
      <c r="F2306" t="n">
        <v>85</v>
      </c>
      <c r="G2306" t="n">
        <v>4</v>
      </c>
      <c r="H2306" t="n">
        <v>2</v>
      </c>
      <c r="I2306" t="n">
        <v>0</v>
      </c>
      <c r="J2306" t="n">
        <v>0</v>
      </c>
    </row>
    <row r="2307">
      <c r="A2307" s="5" t="n">
        <v>46262</v>
      </c>
      <c r="B2307" t="inlineStr">
        <is>
          <t>google_nonbrand_growth</t>
        </is>
      </c>
      <c r="C2307" t="inlineStr">
        <is>
          <t>google</t>
        </is>
      </c>
      <c r="D2307" t="n">
        <v>20490</v>
      </c>
      <c r="E2307" t="n">
        <v>4268</v>
      </c>
      <c r="F2307" t="n">
        <v>227</v>
      </c>
      <c r="G2307" t="n">
        <v>3</v>
      </c>
      <c r="H2307" t="n">
        <v>2</v>
      </c>
      <c r="I2307" t="n">
        <v>0</v>
      </c>
      <c r="J2307" t="n">
        <v>0</v>
      </c>
    </row>
    <row r="2308">
      <c r="A2308" s="5" t="n">
        <v>46262</v>
      </c>
      <c r="B2308" t="inlineStr">
        <is>
          <t>linkedin_ceo_abm</t>
        </is>
      </c>
      <c r="C2308" t="inlineStr">
        <is>
          <t>linkedin</t>
        </is>
      </c>
      <c r="D2308" t="n">
        <v>26227</v>
      </c>
      <c r="E2308" t="n">
        <v>5043</v>
      </c>
      <c r="F2308" t="n">
        <v>33</v>
      </c>
      <c r="G2308" t="n">
        <v>5</v>
      </c>
      <c r="H2308" t="n">
        <v>0</v>
      </c>
      <c r="I2308" t="n">
        <v>0</v>
      </c>
      <c r="J2308" t="n">
        <v>0</v>
      </c>
    </row>
    <row r="2309">
      <c r="A2309" s="5" t="n">
        <v>46262</v>
      </c>
      <c r="B2309" t="inlineStr">
        <is>
          <t>meta_broad_v17</t>
        </is>
      </c>
      <c r="C2309" t="inlineStr">
        <is>
          <t>meta</t>
        </is>
      </c>
      <c r="D2309" t="n">
        <v>49306</v>
      </c>
      <c r="E2309" t="n">
        <v>35218</v>
      </c>
      <c r="F2309" t="n">
        <v>422</v>
      </c>
      <c r="G2309" t="n">
        <v>20</v>
      </c>
      <c r="H2309" t="n">
        <v>1</v>
      </c>
      <c r="I2309" t="n">
        <v>1</v>
      </c>
      <c r="J2309" t="n">
        <v>0</v>
      </c>
    </row>
    <row r="2310">
      <c r="A2310" s="5" t="n">
        <v>46262</v>
      </c>
      <c r="B2310" t="inlineStr">
        <is>
          <t>meta_prospecting_founder</t>
        </is>
      </c>
      <c r="C2310" t="inlineStr">
        <is>
          <t>meta</t>
        </is>
      </c>
      <c r="D2310" t="n">
        <v>38962</v>
      </c>
      <c r="E2310" t="n">
        <v>27830</v>
      </c>
      <c r="F2310" t="n">
        <v>274</v>
      </c>
      <c r="G2310" t="n">
        <v>15</v>
      </c>
      <c r="H2310" t="n">
        <v>3</v>
      </c>
      <c r="I2310" t="n">
        <v>4</v>
      </c>
      <c r="J2310" t="n">
        <v>0</v>
      </c>
    </row>
    <row r="2311">
      <c r="A2311" s="5" t="n">
        <v>46262</v>
      </c>
      <c r="B2311" t="inlineStr">
        <is>
          <t>meta_retargeting_webinar</t>
        </is>
      </c>
      <c r="C2311" t="inlineStr">
        <is>
          <t>meta</t>
        </is>
      </c>
      <c r="D2311" t="n">
        <v>9841</v>
      </c>
      <c r="E2311" t="n">
        <v>7029</v>
      </c>
      <c r="F2311" t="n">
        <v>67</v>
      </c>
      <c r="G2311" t="n">
        <v>3</v>
      </c>
      <c r="H2311" t="n">
        <v>0</v>
      </c>
      <c r="I2311" t="n">
        <v>3</v>
      </c>
      <c r="J2311" t="n">
        <v>0</v>
      </c>
    </row>
    <row r="2312">
      <c r="A2312" s="5" t="n">
        <v>46263</v>
      </c>
      <c r="B2312" t="inlineStr">
        <is>
          <t>google_brand_search</t>
        </is>
      </c>
      <c r="C2312" t="inlineStr">
        <is>
          <t>google</t>
        </is>
      </c>
      <c r="D2312" t="n">
        <v>7140</v>
      </c>
      <c r="E2312" t="n">
        <v>1487</v>
      </c>
      <c r="F2312" t="n">
        <v>66</v>
      </c>
      <c r="G2312" t="n">
        <v>3</v>
      </c>
      <c r="H2312" t="n">
        <v>1</v>
      </c>
      <c r="I2312" t="n">
        <v>0</v>
      </c>
      <c r="J2312" t="n">
        <v>0</v>
      </c>
    </row>
    <row r="2313">
      <c r="A2313" s="5" t="n">
        <v>46263</v>
      </c>
      <c r="B2313" t="inlineStr">
        <is>
          <t>google_nonbrand_growth</t>
        </is>
      </c>
      <c r="C2313" t="inlineStr">
        <is>
          <t>google</t>
        </is>
      </c>
      <c r="D2313" t="n">
        <v>18911</v>
      </c>
      <c r="E2313" t="n">
        <v>3939</v>
      </c>
      <c r="F2313" t="n">
        <v>177</v>
      </c>
      <c r="G2313" t="n">
        <v>3</v>
      </c>
      <c r="H2313" t="n">
        <v>1</v>
      </c>
      <c r="I2313" t="n">
        <v>1</v>
      </c>
      <c r="J2313" t="n">
        <v>0</v>
      </c>
    </row>
    <row r="2314">
      <c r="A2314" s="5" t="n">
        <v>46263</v>
      </c>
      <c r="B2314" t="inlineStr">
        <is>
          <t>linkedin_ceo_abm</t>
        </is>
      </c>
      <c r="C2314" t="inlineStr">
        <is>
          <t>linkedin</t>
        </is>
      </c>
      <c r="D2314" t="n">
        <v>24784</v>
      </c>
      <c r="E2314" t="n">
        <v>4766</v>
      </c>
      <c r="F2314" t="n">
        <v>30</v>
      </c>
      <c r="G2314" t="n">
        <v>2</v>
      </c>
      <c r="H2314" t="n">
        <v>2</v>
      </c>
      <c r="I2314" t="n">
        <v>0</v>
      </c>
      <c r="J2314" t="n">
        <v>1</v>
      </c>
    </row>
    <row r="2315">
      <c r="A2315" s="5" t="n">
        <v>46263</v>
      </c>
      <c r="B2315" t="inlineStr">
        <is>
          <t>meta_broad_v17</t>
        </is>
      </c>
      <c r="C2315" t="inlineStr">
        <is>
          <t>meta</t>
        </is>
      </c>
      <c r="D2315" t="n">
        <v>45619</v>
      </c>
      <c r="E2315" t="n">
        <v>32585</v>
      </c>
      <c r="F2315" t="n">
        <v>399</v>
      </c>
      <c r="G2315" t="n">
        <v>18</v>
      </c>
      <c r="H2315" t="n">
        <v>3</v>
      </c>
      <c r="I2315" t="n">
        <v>0</v>
      </c>
      <c r="J2315" t="n">
        <v>0</v>
      </c>
    </row>
    <row r="2316">
      <c r="A2316" s="5" t="n">
        <v>46263</v>
      </c>
      <c r="B2316" t="inlineStr">
        <is>
          <t>meta_prospecting_founder</t>
        </is>
      </c>
      <c r="C2316" t="inlineStr">
        <is>
          <t>meta</t>
        </is>
      </c>
      <c r="D2316" t="n">
        <v>37447</v>
      </c>
      <c r="E2316" t="n">
        <v>26747</v>
      </c>
      <c r="F2316" t="n">
        <v>308</v>
      </c>
      <c r="G2316" t="n">
        <v>3</v>
      </c>
      <c r="H2316" t="n">
        <v>2</v>
      </c>
      <c r="I2316" t="n">
        <v>2</v>
      </c>
      <c r="J2316" t="n">
        <v>0</v>
      </c>
    </row>
    <row r="2317">
      <c r="A2317" s="5" t="n">
        <v>46263</v>
      </c>
      <c r="B2317" t="inlineStr">
        <is>
          <t>meta_retargeting_webinar</t>
        </is>
      </c>
      <c r="C2317" t="inlineStr">
        <is>
          <t>meta</t>
        </is>
      </c>
      <c r="D2317" t="n">
        <v>9876</v>
      </c>
      <c r="E2317" t="n">
        <v>7054</v>
      </c>
      <c r="F2317" t="n">
        <v>72</v>
      </c>
      <c r="G2317" t="n">
        <v>3</v>
      </c>
      <c r="H2317" t="n">
        <v>1</v>
      </c>
      <c r="I2317" t="n">
        <v>0</v>
      </c>
      <c r="J2317" t="n">
        <v>0</v>
      </c>
    </row>
    <row r="2318">
      <c r="A2318" s="5" t="n">
        <v>46264</v>
      </c>
      <c r="B2318" t="inlineStr">
        <is>
          <t>google_brand_search</t>
        </is>
      </c>
      <c r="C2318" t="inlineStr">
        <is>
          <t>google</t>
        </is>
      </c>
      <c r="D2318" t="n">
        <v>7368</v>
      </c>
      <c r="E2318" t="n">
        <v>1535</v>
      </c>
      <c r="F2318" t="n">
        <v>71</v>
      </c>
      <c r="G2318" t="n">
        <v>2</v>
      </c>
      <c r="H2318" t="n">
        <v>3</v>
      </c>
      <c r="I2318" t="n">
        <v>1</v>
      </c>
      <c r="J2318" t="n">
        <v>0</v>
      </c>
    </row>
    <row r="2319">
      <c r="A2319" s="5" t="n">
        <v>46264</v>
      </c>
      <c r="B2319" t="inlineStr">
        <is>
          <t>google_nonbrand_growth</t>
        </is>
      </c>
      <c r="C2319" t="inlineStr">
        <is>
          <t>google</t>
        </is>
      </c>
      <c r="D2319" t="n">
        <v>20348</v>
      </c>
      <c r="E2319" t="n">
        <v>4239</v>
      </c>
      <c r="F2319" t="n">
        <v>198</v>
      </c>
      <c r="G2319" t="n">
        <v>1</v>
      </c>
      <c r="H2319" t="n">
        <v>1</v>
      </c>
      <c r="I2319" t="n">
        <v>1</v>
      </c>
      <c r="J2319" t="n">
        <v>1</v>
      </c>
    </row>
    <row r="2320">
      <c r="A2320" s="5" t="n">
        <v>46264</v>
      </c>
      <c r="B2320" t="inlineStr">
        <is>
          <t>linkedin_ceo_abm</t>
        </is>
      </c>
      <c r="C2320" t="inlineStr">
        <is>
          <t>linkedin</t>
        </is>
      </c>
      <c r="D2320" t="n">
        <v>24697</v>
      </c>
      <c r="E2320" t="n">
        <v>4749</v>
      </c>
      <c r="F2320" t="n">
        <v>26</v>
      </c>
      <c r="G2320" t="n">
        <v>3</v>
      </c>
      <c r="H2320" t="n">
        <v>1</v>
      </c>
      <c r="I2320" t="n">
        <v>0</v>
      </c>
      <c r="J2320" t="n">
        <v>0</v>
      </c>
    </row>
    <row r="2321">
      <c r="A2321" s="5" t="n">
        <v>46264</v>
      </c>
      <c r="B2321" t="inlineStr">
        <is>
          <t>meta_broad_v17</t>
        </is>
      </c>
      <c r="C2321" t="inlineStr">
        <is>
          <t>meta</t>
        </is>
      </c>
      <c r="D2321" t="n">
        <v>43933</v>
      </c>
      <c r="E2321" t="n">
        <v>31380</v>
      </c>
      <c r="F2321" t="n">
        <v>313</v>
      </c>
      <c r="G2321" t="n">
        <v>17</v>
      </c>
      <c r="H2321" t="n">
        <v>1</v>
      </c>
      <c r="I2321" t="n">
        <v>1</v>
      </c>
      <c r="J2321" t="n">
        <v>0</v>
      </c>
    </row>
    <row r="2322">
      <c r="A2322" s="5" t="n">
        <v>46264</v>
      </c>
      <c r="B2322" t="inlineStr">
        <is>
          <t>meta_prospecting_founder</t>
        </is>
      </c>
      <c r="C2322" t="inlineStr">
        <is>
          <t>meta</t>
        </is>
      </c>
      <c r="D2322" t="n">
        <v>38434</v>
      </c>
      <c r="E2322" t="n">
        <v>27452</v>
      </c>
      <c r="F2322" t="n">
        <v>280</v>
      </c>
      <c r="G2322" t="n">
        <v>7</v>
      </c>
      <c r="H2322" t="n">
        <v>3</v>
      </c>
      <c r="I2322" t="n">
        <v>1</v>
      </c>
      <c r="J2322" t="n">
        <v>0</v>
      </c>
    </row>
    <row r="2323">
      <c r="A2323" s="5" t="n">
        <v>46264</v>
      </c>
      <c r="B2323" t="inlineStr">
        <is>
          <t>meta_retargeting_webinar</t>
        </is>
      </c>
      <c r="C2323" t="inlineStr">
        <is>
          <t>meta</t>
        </is>
      </c>
      <c r="D2323" t="n">
        <v>8777</v>
      </c>
      <c r="E2323" t="n">
        <v>6269</v>
      </c>
      <c r="F2323" t="n">
        <v>72</v>
      </c>
      <c r="G2323" t="n">
        <v>2</v>
      </c>
      <c r="H2323" t="n">
        <v>2</v>
      </c>
      <c r="I2323" t="n">
        <v>0</v>
      </c>
      <c r="J2323" t="n">
        <v>0</v>
      </c>
    </row>
    <row r="2324">
      <c r="A2324" s="5" t="n">
        <v>46265</v>
      </c>
      <c r="B2324" t="inlineStr">
        <is>
          <t>google_brand_search</t>
        </is>
      </c>
      <c r="C2324" t="inlineStr">
        <is>
          <t>google</t>
        </is>
      </c>
      <c r="D2324" t="n">
        <v>6173</v>
      </c>
      <c r="E2324" t="n">
        <v>1286</v>
      </c>
      <c r="F2324" t="n">
        <v>69</v>
      </c>
      <c r="G2324" t="n">
        <v>3</v>
      </c>
      <c r="H2324" t="n">
        <v>1</v>
      </c>
      <c r="I2324" t="n">
        <v>1</v>
      </c>
      <c r="J2324" t="n">
        <v>0</v>
      </c>
    </row>
    <row r="2325">
      <c r="A2325" s="5" t="n">
        <v>46265</v>
      </c>
      <c r="B2325" t="inlineStr">
        <is>
          <t>google_nonbrand_growth</t>
        </is>
      </c>
      <c r="C2325" t="inlineStr">
        <is>
          <t>google</t>
        </is>
      </c>
      <c r="D2325" t="n">
        <v>17739</v>
      </c>
      <c r="E2325" t="n">
        <v>3695</v>
      </c>
      <c r="F2325" t="n">
        <v>208</v>
      </c>
      <c r="G2325" t="n">
        <v>2</v>
      </c>
      <c r="H2325" t="n">
        <v>1</v>
      </c>
      <c r="I2325" t="n">
        <v>0</v>
      </c>
      <c r="J2325" t="n">
        <v>0</v>
      </c>
    </row>
    <row r="2326">
      <c r="A2326" s="5" t="n">
        <v>46265</v>
      </c>
      <c r="B2326" t="inlineStr">
        <is>
          <t>linkedin_ceo_abm</t>
        </is>
      </c>
      <c r="C2326" t="inlineStr">
        <is>
          <t>linkedin</t>
        </is>
      </c>
      <c r="D2326" t="n">
        <v>23475</v>
      </c>
      <c r="E2326" t="n">
        <v>4514</v>
      </c>
      <c r="F2326" t="n">
        <v>32</v>
      </c>
      <c r="G2326" t="n">
        <v>3</v>
      </c>
      <c r="H2326" t="n">
        <v>1</v>
      </c>
      <c r="I2326" t="n">
        <v>0</v>
      </c>
      <c r="J2326" t="n">
        <v>0</v>
      </c>
    </row>
    <row r="2327">
      <c r="A2327" s="5" t="n">
        <v>46265</v>
      </c>
      <c r="B2327" t="inlineStr">
        <is>
          <t>meta_broad_v17</t>
        </is>
      </c>
      <c r="C2327" t="inlineStr">
        <is>
          <t>meta</t>
        </is>
      </c>
      <c r="D2327" t="n">
        <v>50374</v>
      </c>
      <c r="E2327" t="n">
        <v>35981</v>
      </c>
      <c r="F2327" t="n">
        <v>384</v>
      </c>
      <c r="G2327" t="n">
        <v>26</v>
      </c>
      <c r="H2327" t="n">
        <v>1</v>
      </c>
      <c r="I2327" t="n">
        <v>0</v>
      </c>
      <c r="J2327" t="n">
        <v>1</v>
      </c>
    </row>
    <row r="2328">
      <c r="A2328" s="5" t="n">
        <v>46265</v>
      </c>
      <c r="B2328" t="inlineStr">
        <is>
          <t>meta_prospecting_founder</t>
        </is>
      </c>
      <c r="C2328" t="inlineStr">
        <is>
          <t>meta</t>
        </is>
      </c>
      <c r="D2328" t="n">
        <v>38399</v>
      </c>
      <c r="E2328" t="n">
        <v>27427</v>
      </c>
      <c r="F2328" t="n">
        <v>292</v>
      </c>
      <c r="G2328" t="n">
        <v>14</v>
      </c>
      <c r="H2328" t="n">
        <v>2</v>
      </c>
      <c r="I2328" t="n">
        <v>0</v>
      </c>
      <c r="J2328" t="n">
        <v>0</v>
      </c>
    </row>
    <row r="2329">
      <c r="A2329" s="5" t="n">
        <v>46265</v>
      </c>
      <c r="B2329" t="inlineStr">
        <is>
          <t>meta_retargeting_webinar</t>
        </is>
      </c>
      <c r="C2329" t="inlineStr">
        <is>
          <t>meta</t>
        </is>
      </c>
      <c r="D2329" t="n">
        <v>9317</v>
      </c>
      <c r="E2329" t="n">
        <v>6655</v>
      </c>
      <c r="F2329" t="n">
        <v>74</v>
      </c>
      <c r="G2329" t="n">
        <v>4</v>
      </c>
      <c r="H2329" t="n">
        <v>1</v>
      </c>
      <c r="I2329" t="n">
        <v>1</v>
      </c>
      <c r="J2329" t="n">
        <v>0</v>
      </c>
    </row>
    <row r="2330">
      <c r="A2330" s="5" t="n">
        <v>46266</v>
      </c>
      <c r="B2330" t="inlineStr">
        <is>
          <t>google_brand_search</t>
        </is>
      </c>
      <c r="C2330" t="inlineStr">
        <is>
          <t>google</t>
        </is>
      </c>
      <c r="D2330" t="n">
        <v>7167</v>
      </c>
      <c r="E2330" t="n">
        <v>1493</v>
      </c>
      <c r="F2330" t="n">
        <v>81</v>
      </c>
      <c r="G2330" t="n">
        <v>4</v>
      </c>
      <c r="H2330" t="n">
        <v>1</v>
      </c>
      <c r="I2330" t="n">
        <v>1</v>
      </c>
      <c r="J2330" t="n">
        <v>0</v>
      </c>
    </row>
    <row r="2331">
      <c r="A2331" s="5" t="n">
        <v>46266</v>
      </c>
      <c r="B2331" t="inlineStr">
        <is>
          <t>google_nonbrand_growth</t>
        </is>
      </c>
      <c r="C2331" t="inlineStr">
        <is>
          <t>google</t>
        </is>
      </c>
      <c r="D2331" t="n">
        <v>20534</v>
      </c>
      <c r="E2331" t="n">
        <v>4277</v>
      </c>
      <c r="F2331" t="n">
        <v>250</v>
      </c>
      <c r="G2331" t="n">
        <v>2</v>
      </c>
      <c r="H2331" t="n">
        <v>0</v>
      </c>
      <c r="I2331" t="n">
        <v>1</v>
      </c>
      <c r="J2331" t="n">
        <v>0</v>
      </c>
    </row>
    <row r="2332">
      <c r="A2332" s="5" t="n">
        <v>46266</v>
      </c>
      <c r="B2332" t="inlineStr">
        <is>
          <t>linkedin_ceo_abm</t>
        </is>
      </c>
      <c r="C2332" t="inlineStr">
        <is>
          <t>linkedin</t>
        </is>
      </c>
      <c r="D2332" t="n">
        <v>25218</v>
      </c>
      <c r="E2332" t="n">
        <v>4849</v>
      </c>
      <c r="F2332" t="n">
        <v>35</v>
      </c>
      <c r="G2332" t="n">
        <v>6</v>
      </c>
      <c r="H2332" t="n">
        <v>1</v>
      </c>
      <c r="I2332" t="n">
        <v>0</v>
      </c>
      <c r="J2332" t="n">
        <v>0</v>
      </c>
    </row>
    <row r="2333">
      <c r="A2333" s="5" t="n">
        <v>46266</v>
      </c>
      <c r="B2333" t="inlineStr">
        <is>
          <t>meta_broad_v17</t>
        </is>
      </c>
      <c r="C2333" t="inlineStr">
        <is>
          <t>meta</t>
        </is>
      </c>
      <c r="D2333" t="n">
        <v>47060</v>
      </c>
      <c r="E2333" t="n">
        <v>33614</v>
      </c>
      <c r="F2333" t="n">
        <v>344</v>
      </c>
      <c r="G2333" t="n">
        <v>27</v>
      </c>
      <c r="H2333" t="n">
        <v>1</v>
      </c>
      <c r="I2333" t="n">
        <v>0</v>
      </c>
      <c r="J2333" t="n">
        <v>0</v>
      </c>
    </row>
    <row r="2334">
      <c r="A2334" s="5" t="n">
        <v>46266</v>
      </c>
      <c r="B2334" t="inlineStr">
        <is>
          <t>meta_prospecting_founder</t>
        </is>
      </c>
      <c r="C2334" t="inlineStr">
        <is>
          <t>meta</t>
        </is>
      </c>
      <c r="D2334" t="n">
        <v>41504</v>
      </c>
      <c r="E2334" t="n">
        <v>29645</v>
      </c>
      <c r="F2334" t="n">
        <v>364</v>
      </c>
      <c r="G2334" t="n">
        <v>13</v>
      </c>
      <c r="H2334" t="n">
        <v>4</v>
      </c>
      <c r="I2334" t="n">
        <v>2</v>
      </c>
      <c r="J2334" t="n">
        <v>0</v>
      </c>
    </row>
    <row r="2335">
      <c r="A2335" s="5" t="n">
        <v>46266</v>
      </c>
      <c r="B2335" t="inlineStr">
        <is>
          <t>meta_retargeting_webinar</t>
        </is>
      </c>
      <c r="C2335" t="inlineStr">
        <is>
          <t>meta</t>
        </is>
      </c>
      <c r="D2335" t="n">
        <v>8427</v>
      </c>
      <c r="E2335" t="n">
        <v>6019</v>
      </c>
      <c r="F2335" t="n">
        <v>60</v>
      </c>
      <c r="G2335" t="n">
        <v>3</v>
      </c>
      <c r="H2335" t="n">
        <v>1</v>
      </c>
      <c r="I2335" t="n">
        <v>1</v>
      </c>
      <c r="J2335" t="n">
        <v>0</v>
      </c>
    </row>
    <row r="2336">
      <c r="A2336" s="5" t="n">
        <v>46267</v>
      </c>
      <c r="B2336" t="inlineStr">
        <is>
          <t>google_brand_search</t>
        </is>
      </c>
      <c r="C2336" t="inlineStr">
        <is>
          <t>google</t>
        </is>
      </c>
      <c r="D2336" t="n">
        <v>7432</v>
      </c>
      <c r="E2336" t="n">
        <v>1548</v>
      </c>
      <c r="F2336" t="n">
        <v>84</v>
      </c>
      <c r="G2336" t="n">
        <v>2</v>
      </c>
      <c r="H2336" t="n">
        <v>2</v>
      </c>
      <c r="I2336" t="n">
        <v>1</v>
      </c>
      <c r="J2336" t="n">
        <v>1</v>
      </c>
    </row>
    <row r="2337">
      <c r="A2337" s="5" t="n">
        <v>46267</v>
      </c>
      <c r="B2337" t="inlineStr">
        <is>
          <t>google_nonbrand_growth</t>
        </is>
      </c>
      <c r="C2337" t="inlineStr">
        <is>
          <t>google</t>
        </is>
      </c>
      <c r="D2337" t="n">
        <v>17657</v>
      </c>
      <c r="E2337" t="n">
        <v>3678</v>
      </c>
      <c r="F2337" t="n">
        <v>201</v>
      </c>
      <c r="G2337" t="n">
        <v>5</v>
      </c>
      <c r="H2337" t="n">
        <v>0</v>
      </c>
      <c r="I2337" t="n">
        <v>1</v>
      </c>
      <c r="J2337" t="n">
        <v>0</v>
      </c>
    </row>
    <row r="2338">
      <c r="A2338" s="5" t="n">
        <v>46267</v>
      </c>
      <c r="B2338" t="inlineStr">
        <is>
          <t>linkedin_ceo_abm</t>
        </is>
      </c>
      <c r="C2338" t="inlineStr">
        <is>
          <t>linkedin</t>
        </is>
      </c>
      <c r="D2338" t="n">
        <v>25290</v>
      </c>
      <c r="E2338" t="n">
        <v>4863</v>
      </c>
      <c r="F2338" t="n">
        <v>32</v>
      </c>
      <c r="G2338" t="n">
        <v>1</v>
      </c>
      <c r="H2338" t="n">
        <v>3</v>
      </c>
      <c r="I2338" t="n">
        <v>1</v>
      </c>
      <c r="J2338" t="n">
        <v>0</v>
      </c>
    </row>
    <row r="2339">
      <c r="A2339" s="5" t="n">
        <v>46267</v>
      </c>
      <c r="B2339" t="inlineStr">
        <is>
          <t>meta_broad_v17</t>
        </is>
      </c>
      <c r="C2339" t="inlineStr">
        <is>
          <t>meta</t>
        </is>
      </c>
      <c r="D2339" t="n">
        <v>48406</v>
      </c>
      <c r="E2339" t="n">
        <v>34575</v>
      </c>
      <c r="F2339" t="n">
        <v>419</v>
      </c>
      <c r="G2339" t="n">
        <v>22</v>
      </c>
      <c r="H2339" t="n">
        <v>2</v>
      </c>
      <c r="I2339" t="n">
        <v>0</v>
      </c>
      <c r="J2339" t="n">
        <v>0</v>
      </c>
    </row>
    <row r="2340">
      <c r="A2340" s="5" t="n">
        <v>46267</v>
      </c>
      <c r="B2340" t="inlineStr">
        <is>
          <t>meta_prospecting_founder</t>
        </is>
      </c>
      <c r="C2340" t="inlineStr">
        <is>
          <t>meta</t>
        </is>
      </c>
      <c r="D2340" t="n">
        <v>38405</v>
      </c>
      <c r="E2340" t="n">
        <v>27432</v>
      </c>
      <c r="F2340" t="n">
        <v>282</v>
      </c>
      <c r="G2340" t="n">
        <v>10</v>
      </c>
      <c r="H2340" t="n">
        <v>0</v>
      </c>
      <c r="I2340" t="n">
        <v>1</v>
      </c>
      <c r="J2340" t="n">
        <v>0</v>
      </c>
    </row>
    <row r="2341">
      <c r="A2341" s="5" t="n">
        <v>46267</v>
      </c>
      <c r="B2341" t="inlineStr">
        <is>
          <t>meta_retargeting_webinar</t>
        </is>
      </c>
      <c r="C2341" t="inlineStr">
        <is>
          <t>meta</t>
        </is>
      </c>
      <c r="D2341" t="n">
        <v>9987</v>
      </c>
      <c r="E2341" t="n">
        <v>7133</v>
      </c>
      <c r="F2341" t="n">
        <v>88</v>
      </c>
      <c r="G2341" t="n">
        <v>4</v>
      </c>
      <c r="H2341" t="n">
        <v>1</v>
      </c>
      <c r="I2341" t="n">
        <v>2</v>
      </c>
      <c r="J2341" t="n">
        <v>0</v>
      </c>
    </row>
    <row r="2342">
      <c r="A2342" s="5" t="n">
        <v>46268</v>
      </c>
      <c r="B2342" t="inlineStr">
        <is>
          <t>google_brand_search</t>
        </is>
      </c>
      <c r="C2342" t="inlineStr">
        <is>
          <t>google</t>
        </is>
      </c>
      <c r="D2342" t="n">
        <v>6885</v>
      </c>
      <c r="E2342" t="n">
        <v>1434</v>
      </c>
      <c r="F2342" t="n">
        <v>65</v>
      </c>
      <c r="G2342" t="n">
        <v>3</v>
      </c>
      <c r="H2342" t="n">
        <v>2</v>
      </c>
      <c r="I2342" t="n">
        <v>3</v>
      </c>
      <c r="J2342" t="n">
        <v>0</v>
      </c>
    </row>
    <row r="2343">
      <c r="A2343" s="5" t="n">
        <v>46268</v>
      </c>
      <c r="B2343" t="inlineStr">
        <is>
          <t>google_nonbrand_growth</t>
        </is>
      </c>
      <c r="C2343" t="inlineStr">
        <is>
          <t>google</t>
        </is>
      </c>
      <c r="D2343" t="n">
        <v>18083</v>
      </c>
      <c r="E2343" t="n">
        <v>3767</v>
      </c>
      <c r="F2343" t="n">
        <v>176</v>
      </c>
      <c r="G2343" t="n">
        <v>3</v>
      </c>
      <c r="H2343" t="n">
        <v>0</v>
      </c>
      <c r="I2343" t="n">
        <v>0</v>
      </c>
      <c r="J2343" t="n">
        <v>0</v>
      </c>
    </row>
    <row r="2344">
      <c r="A2344" s="5" t="n">
        <v>46268</v>
      </c>
      <c r="B2344" t="inlineStr">
        <is>
          <t>linkedin_ceo_abm</t>
        </is>
      </c>
      <c r="C2344" t="inlineStr">
        <is>
          <t>linkedin</t>
        </is>
      </c>
      <c r="D2344" t="n">
        <v>27935</v>
      </c>
      <c r="E2344" t="n">
        <v>5372</v>
      </c>
      <c r="F2344" t="n">
        <v>32</v>
      </c>
      <c r="G2344" t="n">
        <v>0</v>
      </c>
      <c r="H2344" t="n">
        <v>1</v>
      </c>
      <c r="I2344" t="n">
        <v>0</v>
      </c>
      <c r="J2344" t="n">
        <v>0</v>
      </c>
    </row>
    <row r="2345">
      <c r="A2345" s="5" t="n">
        <v>46268</v>
      </c>
      <c r="B2345" t="inlineStr">
        <is>
          <t>meta_broad_v17</t>
        </is>
      </c>
      <c r="C2345" t="inlineStr">
        <is>
          <t>meta</t>
        </is>
      </c>
      <c r="D2345" t="n">
        <v>51234</v>
      </c>
      <c r="E2345" t="n">
        <v>36595</v>
      </c>
      <c r="F2345" t="n">
        <v>441</v>
      </c>
      <c r="G2345" t="n">
        <v>18</v>
      </c>
      <c r="H2345" t="n">
        <v>5</v>
      </c>
      <c r="I2345" t="n">
        <v>1</v>
      </c>
      <c r="J2345" t="n">
        <v>0</v>
      </c>
    </row>
    <row r="2346">
      <c r="A2346" s="5" t="n">
        <v>46268</v>
      </c>
      <c r="B2346" t="inlineStr">
        <is>
          <t>meta_prospecting_founder</t>
        </is>
      </c>
      <c r="C2346" t="inlineStr">
        <is>
          <t>meta</t>
        </is>
      </c>
      <c r="D2346" t="n">
        <v>42667</v>
      </c>
      <c r="E2346" t="n">
        <v>30476</v>
      </c>
      <c r="F2346" t="n">
        <v>290</v>
      </c>
      <c r="G2346" t="n">
        <v>11</v>
      </c>
      <c r="H2346" t="n">
        <v>1</v>
      </c>
      <c r="I2346" t="n">
        <v>0</v>
      </c>
      <c r="J2346" t="n">
        <v>0</v>
      </c>
    </row>
    <row r="2347">
      <c r="A2347" s="5" t="n">
        <v>46268</v>
      </c>
      <c r="B2347" t="inlineStr">
        <is>
          <t>meta_retargeting_webinar</t>
        </is>
      </c>
      <c r="C2347" t="inlineStr">
        <is>
          <t>meta</t>
        </is>
      </c>
      <c r="D2347" t="n">
        <v>9082</v>
      </c>
      <c r="E2347" t="n">
        <v>6487</v>
      </c>
      <c r="F2347" t="n">
        <v>80</v>
      </c>
      <c r="G2347" t="n">
        <v>0</v>
      </c>
      <c r="H2347" t="n">
        <v>2</v>
      </c>
      <c r="I2347" t="n">
        <v>1</v>
      </c>
      <c r="J2347" t="n">
        <v>0</v>
      </c>
    </row>
    <row r="2348">
      <c r="A2348" s="5" t="n">
        <v>46269</v>
      </c>
      <c r="B2348" t="inlineStr">
        <is>
          <t>google_brand_search</t>
        </is>
      </c>
      <c r="C2348" t="inlineStr">
        <is>
          <t>google</t>
        </is>
      </c>
      <c r="D2348" t="n">
        <v>6896</v>
      </c>
      <c r="E2348" t="n">
        <v>1436</v>
      </c>
      <c r="F2348" t="n">
        <v>71</v>
      </c>
      <c r="G2348" t="n">
        <v>2</v>
      </c>
      <c r="H2348" t="n">
        <v>1</v>
      </c>
      <c r="I2348" t="n">
        <v>0</v>
      </c>
      <c r="J2348" t="n">
        <v>0</v>
      </c>
    </row>
    <row r="2349">
      <c r="A2349" s="5" t="n">
        <v>46269</v>
      </c>
      <c r="B2349" t="inlineStr">
        <is>
          <t>google_nonbrand_growth</t>
        </is>
      </c>
      <c r="C2349" t="inlineStr">
        <is>
          <t>google</t>
        </is>
      </c>
      <c r="D2349" t="n">
        <v>18274</v>
      </c>
      <c r="E2349" t="n">
        <v>3807</v>
      </c>
      <c r="F2349" t="n">
        <v>172</v>
      </c>
      <c r="G2349" t="n">
        <v>2</v>
      </c>
      <c r="H2349" t="n">
        <v>0</v>
      </c>
      <c r="I2349" t="n">
        <v>0</v>
      </c>
      <c r="J2349" t="n">
        <v>0</v>
      </c>
    </row>
    <row r="2350">
      <c r="A2350" s="5" t="n">
        <v>46269</v>
      </c>
      <c r="B2350" t="inlineStr">
        <is>
          <t>linkedin_ceo_abm</t>
        </is>
      </c>
      <c r="C2350" t="inlineStr">
        <is>
          <t>linkedin</t>
        </is>
      </c>
      <c r="D2350" t="n">
        <v>23273</v>
      </c>
      <c r="E2350" t="n">
        <v>4475</v>
      </c>
      <c r="F2350" t="n">
        <v>26</v>
      </c>
      <c r="G2350" t="n">
        <v>1</v>
      </c>
      <c r="H2350" t="n">
        <v>0</v>
      </c>
      <c r="I2350" t="n">
        <v>1</v>
      </c>
      <c r="J2350" t="n">
        <v>1</v>
      </c>
    </row>
    <row r="2351">
      <c r="A2351" s="5" t="n">
        <v>46269</v>
      </c>
      <c r="B2351" t="inlineStr">
        <is>
          <t>meta_broad_v17</t>
        </is>
      </c>
      <c r="C2351" t="inlineStr">
        <is>
          <t>meta</t>
        </is>
      </c>
      <c r="D2351" t="n">
        <v>51648</v>
      </c>
      <c r="E2351" t="n">
        <v>36891</v>
      </c>
      <c r="F2351" t="n">
        <v>427</v>
      </c>
      <c r="G2351" t="n">
        <v>27</v>
      </c>
      <c r="H2351" t="n">
        <v>1</v>
      </c>
      <c r="I2351" t="n">
        <v>1</v>
      </c>
      <c r="J2351" t="n">
        <v>0</v>
      </c>
    </row>
    <row r="2352">
      <c r="A2352" s="5" t="n">
        <v>46269</v>
      </c>
      <c r="B2352" t="inlineStr">
        <is>
          <t>meta_prospecting_founder</t>
        </is>
      </c>
      <c r="C2352" t="inlineStr">
        <is>
          <t>meta</t>
        </is>
      </c>
      <c r="D2352" t="n">
        <v>39576</v>
      </c>
      <c r="E2352" t="n">
        <v>28268</v>
      </c>
      <c r="F2352" t="n">
        <v>300</v>
      </c>
      <c r="G2352" t="n">
        <v>10</v>
      </c>
      <c r="H2352" t="n">
        <v>1</v>
      </c>
      <c r="I2352" t="n">
        <v>0</v>
      </c>
      <c r="J2352" t="n">
        <v>0</v>
      </c>
    </row>
    <row r="2353">
      <c r="A2353" s="5" t="n">
        <v>46269</v>
      </c>
      <c r="B2353" t="inlineStr">
        <is>
          <t>meta_retargeting_webinar</t>
        </is>
      </c>
      <c r="C2353" t="inlineStr">
        <is>
          <t>meta</t>
        </is>
      </c>
      <c r="D2353" t="n">
        <v>8397</v>
      </c>
      <c r="E2353" t="n">
        <v>5997</v>
      </c>
      <c r="F2353" t="n">
        <v>57</v>
      </c>
      <c r="G2353" t="n">
        <v>0</v>
      </c>
      <c r="H2353" t="n">
        <v>1</v>
      </c>
      <c r="I2353" t="n">
        <v>0</v>
      </c>
      <c r="J2353" t="n">
        <v>0</v>
      </c>
    </row>
    <row r="2354">
      <c r="A2354" s="5" t="n">
        <v>46270</v>
      </c>
      <c r="B2354" t="inlineStr">
        <is>
          <t>google_brand_search</t>
        </is>
      </c>
      <c r="C2354" t="inlineStr">
        <is>
          <t>google</t>
        </is>
      </c>
      <c r="D2354" t="n">
        <v>6972</v>
      </c>
      <c r="E2354" t="n">
        <v>1452</v>
      </c>
      <c r="F2354" t="n">
        <v>84</v>
      </c>
      <c r="G2354" t="n">
        <v>4</v>
      </c>
      <c r="H2354" t="n">
        <v>1</v>
      </c>
      <c r="I2354" t="n">
        <v>1</v>
      </c>
      <c r="J2354" t="n">
        <v>0</v>
      </c>
    </row>
    <row r="2355">
      <c r="A2355" s="5" t="n">
        <v>46270</v>
      </c>
      <c r="B2355" t="inlineStr">
        <is>
          <t>google_nonbrand_growth</t>
        </is>
      </c>
      <c r="C2355" t="inlineStr">
        <is>
          <t>google</t>
        </is>
      </c>
      <c r="D2355" t="n">
        <v>17785</v>
      </c>
      <c r="E2355" t="n">
        <v>3705</v>
      </c>
      <c r="F2355" t="n">
        <v>219</v>
      </c>
      <c r="G2355" t="n">
        <v>6</v>
      </c>
      <c r="H2355" t="n">
        <v>2</v>
      </c>
      <c r="I2355" t="n">
        <v>1</v>
      </c>
      <c r="J2355" t="n">
        <v>0</v>
      </c>
    </row>
    <row r="2356">
      <c r="A2356" s="5" t="n">
        <v>46270</v>
      </c>
      <c r="B2356" t="inlineStr">
        <is>
          <t>linkedin_ceo_abm</t>
        </is>
      </c>
      <c r="C2356" t="inlineStr">
        <is>
          <t>linkedin</t>
        </is>
      </c>
      <c r="D2356" t="n">
        <v>23923</v>
      </c>
      <c r="E2356" t="n">
        <v>4600</v>
      </c>
      <c r="F2356" t="n">
        <v>28</v>
      </c>
      <c r="G2356" t="n">
        <v>3</v>
      </c>
      <c r="H2356" t="n">
        <v>0</v>
      </c>
      <c r="I2356" t="n">
        <v>1</v>
      </c>
      <c r="J2356" t="n">
        <v>0</v>
      </c>
    </row>
    <row r="2357">
      <c r="A2357" s="5" t="n">
        <v>46270</v>
      </c>
      <c r="B2357" t="inlineStr">
        <is>
          <t>meta_broad_v17</t>
        </is>
      </c>
      <c r="C2357" t="inlineStr">
        <is>
          <t>meta</t>
        </is>
      </c>
      <c r="D2357" t="n">
        <v>47368</v>
      </c>
      <c r="E2357" t="n">
        <v>33834</v>
      </c>
      <c r="F2357" t="n">
        <v>323</v>
      </c>
      <c r="G2357" t="n">
        <v>21</v>
      </c>
      <c r="H2357" t="n">
        <v>1</v>
      </c>
      <c r="I2357" t="n">
        <v>0</v>
      </c>
      <c r="J2357" t="n">
        <v>0</v>
      </c>
    </row>
    <row r="2358">
      <c r="A2358" s="5" t="n">
        <v>46270</v>
      </c>
      <c r="B2358" t="inlineStr">
        <is>
          <t>meta_prospecting_founder</t>
        </is>
      </c>
      <c r="C2358" t="inlineStr">
        <is>
          <t>meta</t>
        </is>
      </c>
      <c r="D2358" t="n">
        <v>41876</v>
      </c>
      <c r="E2358" t="n">
        <v>29911</v>
      </c>
      <c r="F2358" t="n">
        <v>351</v>
      </c>
      <c r="G2358" t="n">
        <v>5</v>
      </c>
      <c r="H2358" t="n">
        <v>0</v>
      </c>
      <c r="I2358" t="n">
        <v>2</v>
      </c>
      <c r="J2358" t="n">
        <v>1</v>
      </c>
    </row>
    <row r="2359">
      <c r="A2359" s="5" t="n">
        <v>46270</v>
      </c>
      <c r="B2359" t="inlineStr">
        <is>
          <t>meta_retargeting_webinar</t>
        </is>
      </c>
      <c r="C2359" t="inlineStr">
        <is>
          <t>meta</t>
        </is>
      </c>
      <c r="D2359" t="n">
        <v>9184</v>
      </c>
      <c r="E2359" t="n">
        <v>6560</v>
      </c>
      <c r="F2359" t="n">
        <v>67</v>
      </c>
      <c r="G2359" t="n">
        <v>0</v>
      </c>
      <c r="H2359" t="n">
        <v>1</v>
      </c>
      <c r="I2359" t="n">
        <v>0</v>
      </c>
      <c r="J2359" t="n">
        <v>0</v>
      </c>
    </row>
    <row r="2360">
      <c r="A2360" s="5" t="n">
        <v>46271</v>
      </c>
      <c r="B2360" t="inlineStr">
        <is>
          <t>google_brand_search</t>
        </is>
      </c>
      <c r="C2360" t="inlineStr">
        <is>
          <t>google</t>
        </is>
      </c>
      <c r="D2360" t="n">
        <v>6958</v>
      </c>
      <c r="E2360" t="n">
        <v>1449</v>
      </c>
      <c r="F2360" t="n">
        <v>64</v>
      </c>
      <c r="G2360" t="n">
        <v>2</v>
      </c>
      <c r="H2360" t="n">
        <v>1</v>
      </c>
      <c r="I2360" t="n">
        <v>0</v>
      </c>
      <c r="J2360" t="n">
        <v>0</v>
      </c>
    </row>
    <row r="2361">
      <c r="A2361" s="5" t="n">
        <v>46271</v>
      </c>
      <c r="B2361" t="inlineStr">
        <is>
          <t>google_nonbrand_growth</t>
        </is>
      </c>
      <c r="C2361" t="inlineStr">
        <is>
          <t>google</t>
        </is>
      </c>
      <c r="D2361" t="n">
        <v>19936</v>
      </c>
      <c r="E2361" t="n">
        <v>4153</v>
      </c>
      <c r="F2361" t="n">
        <v>206</v>
      </c>
      <c r="G2361" t="n">
        <v>2</v>
      </c>
      <c r="H2361" t="n">
        <v>2</v>
      </c>
      <c r="I2361" t="n">
        <v>0</v>
      </c>
      <c r="J2361" t="n">
        <v>1</v>
      </c>
    </row>
    <row r="2362">
      <c r="A2362" s="5" t="n">
        <v>46271</v>
      </c>
      <c r="B2362" t="inlineStr">
        <is>
          <t>linkedin_ceo_abm</t>
        </is>
      </c>
      <c r="C2362" t="inlineStr">
        <is>
          <t>linkedin</t>
        </is>
      </c>
      <c r="D2362" t="n">
        <v>27056</v>
      </c>
      <c r="E2362" t="n">
        <v>5203</v>
      </c>
      <c r="F2362" t="n">
        <v>32</v>
      </c>
      <c r="G2362" t="n">
        <v>1</v>
      </c>
      <c r="H2362" t="n">
        <v>0</v>
      </c>
      <c r="I2362" t="n">
        <v>2</v>
      </c>
      <c r="J2362" t="n">
        <v>0</v>
      </c>
    </row>
    <row r="2363">
      <c r="A2363" s="5" t="n">
        <v>46271</v>
      </c>
      <c r="B2363" t="inlineStr">
        <is>
          <t>meta_broad_v17</t>
        </is>
      </c>
      <c r="C2363" t="inlineStr">
        <is>
          <t>meta</t>
        </is>
      </c>
      <c r="D2363" t="n">
        <v>43357</v>
      </c>
      <c r="E2363" t="n">
        <v>30969</v>
      </c>
      <c r="F2363" t="n">
        <v>351</v>
      </c>
      <c r="G2363" t="n">
        <v>11</v>
      </c>
      <c r="H2363" t="n">
        <v>1</v>
      </c>
      <c r="I2363" t="n">
        <v>0</v>
      </c>
      <c r="J2363" t="n">
        <v>0</v>
      </c>
    </row>
    <row r="2364">
      <c r="A2364" s="5" t="n">
        <v>46271</v>
      </c>
      <c r="B2364" t="inlineStr">
        <is>
          <t>meta_prospecting_founder</t>
        </is>
      </c>
      <c r="C2364" t="inlineStr">
        <is>
          <t>meta</t>
        </is>
      </c>
      <c r="D2364" t="n">
        <v>36679</v>
      </c>
      <c r="E2364" t="n">
        <v>26199</v>
      </c>
      <c r="F2364" t="n">
        <v>283</v>
      </c>
      <c r="G2364" t="n">
        <v>1</v>
      </c>
      <c r="H2364" t="n">
        <v>1</v>
      </c>
      <c r="I2364" t="n">
        <v>0</v>
      </c>
      <c r="J2364" t="n">
        <v>1</v>
      </c>
    </row>
    <row r="2365">
      <c r="A2365" s="5" t="n">
        <v>46271</v>
      </c>
      <c r="B2365" t="inlineStr">
        <is>
          <t>meta_retargeting_webinar</t>
        </is>
      </c>
      <c r="C2365" t="inlineStr">
        <is>
          <t>meta</t>
        </is>
      </c>
      <c r="D2365" t="n">
        <v>9371</v>
      </c>
      <c r="E2365" t="n">
        <v>6693</v>
      </c>
      <c r="F2365" t="n">
        <v>77</v>
      </c>
      <c r="G2365" t="n">
        <v>0</v>
      </c>
      <c r="H2365" t="n">
        <v>0</v>
      </c>
      <c r="I2365" t="n">
        <v>0</v>
      </c>
      <c r="J2365" t="n">
        <v>0</v>
      </c>
    </row>
    <row r="2366">
      <c r="A2366" s="5" t="n">
        <v>46272</v>
      </c>
      <c r="B2366" t="inlineStr">
        <is>
          <t>google_brand_search</t>
        </is>
      </c>
      <c r="C2366" t="inlineStr">
        <is>
          <t>google</t>
        </is>
      </c>
      <c r="D2366" t="n">
        <v>6330</v>
      </c>
      <c r="E2366" t="n">
        <v>1318</v>
      </c>
      <c r="F2366" t="n">
        <v>66</v>
      </c>
      <c r="G2366" t="n">
        <v>2</v>
      </c>
      <c r="H2366" t="n">
        <v>3</v>
      </c>
      <c r="I2366" t="n">
        <v>0</v>
      </c>
      <c r="J2366" t="n">
        <v>1</v>
      </c>
    </row>
    <row r="2367">
      <c r="A2367" s="5" t="n">
        <v>46272</v>
      </c>
      <c r="B2367" t="inlineStr">
        <is>
          <t>google_nonbrand_growth</t>
        </is>
      </c>
      <c r="C2367" t="inlineStr">
        <is>
          <t>google</t>
        </is>
      </c>
      <c r="D2367" t="n">
        <v>20154</v>
      </c>
      <c r="E2367" t="n">
        <v>4198</v>
      </c>
      <c r="F2367" t="n">
        <v>200</v>
      </c>
      <c r="G2367" t="n">
        <v>5</v>
      </c>
      <c r="H2367" t="n">
        <v>1</v>
      </c>
      <c r="I2367" t="n">
        <v>2</v>
      </c>
      <c r="J2367" t="n">
        <v>0</v>
      </c>
    </row>
    <row r="2368">
      <c r="A2368" s="5" t="n">
        <v>46272</v>
      </c>
      <c r="B2368" t="inlineStr">
        <is>
          <t>linkedin_ceo_abm</t>
        </is>
      </c>
      <c r="C2368" t="inlineStr">
        <is>
          <t>linkedin</t>
        </is>
      </c>
      <c r="D2368" t="n">
        <v>25632</v>
      </c>
      <c r="E2368" t="n">
        <v>4929</v>
      </c>
      <c r="F2368" t="n">
        <v>34</v>
      </c>
      <c r="G2368" t="n">
        <v>4</v>
      </c>
      <c r="H2368" t="n">
        <v>2</v>
      </c>
      <c r="I2368" t="n">
        <v>1</v>
      </c>
      <c r="J2368" t="n">
        <v>0</v>
      </c>
    </row>
    <row r="2369">
      <c r="A2369" s="5" t="n">
        <v>46272</v>
      </c>
      <c r="B2369" t="inlineStr">
        <is>
          <t>meta_broad_v17</t>
        </is>
      </c>
      <c r="C2369" t="inlineStr">
        <is>
          <t>meta</t>
        </is>
      </c>
      <c r="D2369" t="n">
        <v>44015</v>
      </c>
      <c r="E2369" t="n">
        <v>31439</v>
      </c>
      <c r="F2369" t="n">
        <v>335</v>
      </c>
      <c r="G2369" t="n">
        <v>20</v>
      </c>
      <c r="H2369" t="n">
        <v>0</v>
      </c>
      <c r="I2369" t="n">
        <v>0</v>
      </c>
      <c r="J2369" t="n">
        <v>0</v>
      </c>
    </row>
    <row r="2370">
      <c r="A2370" s="5" t="n">
        <v>46272</v>
      </c>
      <c r="B2370" t="inlineStr">
        <is>
          <t>meta_prospecting_founder</t>
        </is>
      </c>
      <c r="C2370" t="inlineStr">
        <is>
          <t>meta</t>
        </is>
      </c>
      <c r="D2370" t="n">
        <v>41676</v>
      </c>
      <c r="E2370" t="n">
        <v>29768</v>
      </c>
      <c r="F2370" t="n">
        <v>361</v>
      </c>
      <c r="G2370" t="n">
        <v>9</v>
      </c>
      <c r="H2370" t="n">
        <v>1</v>
      </c>
      <c r="I2370" t="n">
        <v>1</v>
      </c>
      <c r="J2370" t="n">
        <v>0</v>
      </c>
    </row>
    <row r="2371">
      <c r="A2371" s="5" t="n">
        <v>46272</v>
      </c>
      <c r="B2371" t="inlineStr">
        <is>
          <t>meta_retargeting_webinar</t>
        </is>
      </c>
      <c r="C2371" t="inlineStr">
        <is>
          <t>meta</t>
        </is>
      </c>
      <c r="D2371" t="n">
        <v>8890</v>
      </c>
      <c r="E2371" t="n">
        <v>6350</v>
      </c>
      <c r="F2371" t="n">
        <v>75</v>
      </c>
      <c r="G2371" t="n">
        <v>0</v>
      </c>
      <c r="H2371" t="n">
        <v>0</v>
      </c>
      <c r="I2371" t="n">
        <v>1</v>
      </c>
      <c r="J2371" t="n">
        <v>0</v>
      </c>
    </row>
    <row r="2372">
      <c r="A2372" s="5" t="n">
        <v>46273</v>
      </c>
      <c r="B2372" t="inlineStr">
        <is>
          <t>google_brand_search</t>
        </is>
      </c>
      <c r="C2372" t="inlineStr">
        <is>
          <t>google</t>
        </is>
      </c>
      <c r="D2372" t="n">
        <v>6812</v>
      </c>
      <c r="E2372" t="n">
        <v>1419</v>
      </c>
      <c r="F2372" t="n">
        <v>71</v>
      </c>
      <c r="G2372" t="n">
        <v>1</v>
      </c>
      <c r="H2372" t="n">
        <v>2</v>
      </c>
      <c r="I2372" t="n">
        <v>1</v>
      </c>
      <c r="J2372" t="n">
        <v>0</v>
      </c>
    </row>
    <row r="2373">
      <c r="A2373" s="5" t="n">
        <v>46273</v>
      </c>
      <c r="B2373" t="inlineStr">
        <is>
          <t>google_nonbrand_growth</t>
        </is>
      </c>
      <c r="C2373" t="inlineStr">
        <is>
          <t>google</t>
        </is>
      </c>
      <c r="D2373" t="n">
        <v>20245</v>
      </c>
      <c r="E2373" t="n">
        <v>4217</v>
      </c>
      <c r="F2373" t="n">
        <v>229</v>
      </c>
      <c r="G2373" t="n">
        <v>5</v>
      </c>
      <c r="H2373" t="n">
        <v>0</v>
      </c>
      <c r="I2373" t="n">
        <v>0</v>
      </c>
      <c r="J2373" t="n">
        <v>0</v>
      </c>
    </row>
    <row r="2374">
      <c r="A2374" s="5" t="n">
        <v>46273</v>
      </c>
      <c r="B2374" t="inlineStr">
        <is>
          <t>linkedin_ceo_abm</t>
        </is>
      </c>
      <c r="C2374" t="inlineStr">
        <is>
          <t>linkedin</t>
        </is>
      </c>
      <c r="D2374" t="n">
        <v>24804</v>
      </c>
      <c r="E2374" t="n">
        <v>4770</v>
      </c>
      <c r="F2374" t="n">
        <v>27</v>
      </c>
      <c r="G2374" t="n">
        <v>5</v>
      </c>
      <c r="H2374" t="n">
        <v>0</v>
      </c>
      <c r="I2374" t="n">
        <v>0</v>
      </c>
      <c r="J2374" t="n">
        <v>0</v>
      </c>
    </row>
    <row r="2375">
      <c r="A2375" s="5" t="n">
        <v>46273</v>
      </c>
      <c r="B2375" t="inlineStr">
        <is>
          <t>meta_broad_v17</t>
        </is>
      </c>
      <c r="C2375" t="inlineStr">
        <is>
          <t>meta</t>
        </is>
      </c>
      <c r="D2375" t="n">
        <v>46341</v>
      </c>
      <c r="E2375" t="n">
        <v>33100</v>
      </c>
      <c r="F2375" t="n">
        <v>364</v>
      </c>
      <c r="G2375" t="n">
        <v>28</v>
      </c>
      <c r="H2375" t="n">
        <v>3</v>
      </c>
      <c r="I2375" t="n">
        <v>0</v>
      </c>
      <c r="J2375" t="n">
        <v>0</v>
      </c>
    </row>
    <row r="2376">
      <c r="A2376" s="5" t="n">
        <v>46273</v>
      </c>
      <c r="B2376" t="inlineStr">
        <is>
          <t>meta_prospecting_founder</t>
        </is>
      </c>
      <c r="C2376" t="inlineStr">
        <is>
          <t>meta</t>
        </is>
      </c>
      <c r="D2376" t="n">
        <v>40724</v>
      </c>
      <c r="E2376" t="n">
        <v>29088</v>
      </c>
      <c r="F2376" t="n">
        <v>318</v>
      </c>
      <c r="G2376" t="n">
        <v>7</v>
      </c>
      <c r="H2376" t="n">
        <v>4</v>
      </c>
      <c r="I2376" t="n">
        <v>0</v>
      </c>
      <c r="J2376" t="n">
        <v>0</v>
      </c>
    </row>
    <row r="2377">
      <c r="A2377" s="5" t="n">
        <v>46273</v>
      </c>
      <c r="B2377" t="inlineStr">
        <is>
          <t>meta_retargeting_webinar</t>
        </is>
      </c>
      <c r="C2377" t="inlineStr">
        <is>
          <t>meta</t>
        </is>
      </c>
      <c r="D2377" t="n">
        <v>8584</v>
      </c>
      <c r="E2377" t="n">
        <v>6131</v>
      </c>
      <c r="F2377" t="n">
        <v>68</v>
      </c>
      <c r="G2377" t="n">
        <v>0</v>
      </c>
      <c r="H2377" t="n">
        <v>0</v>
      </c>
      <c r="I2377" t="n">
        <v>1</v>
      </c>
      <c r="J2377" t="n">
        <v>0</v>
      </c>
    </row>
    <row r="2378">
      <c r="A2378" s="5" t="n">
        <v>46274</v>
      </c>
      <c r="B2378" t="inlineStr">
        <is>
          <t>google_brand_search</t>
        </is>
      </c>
      <c r="C2378" t="inlineStr">
        <is>
          <t>google</t>
        </is>
      </c>
      <c r="D2378" t="n">
        <v>6532</v>
      </c>
      <c r="E2378" t="n">
        <v>1360</v>
      </c>
      <c r="F2378" t="n">
        <v>66</v>
      </c>
      <c r="G2378" t="n">
        <v>2</v>
      </c>
      <c r="H2378" t="n">
        <v>3</v>
      </c>
      <c r="I2378" t="n">
        <v>0</v>
      </c>
      <c r="J2378" t="n">
        <v>0</v>
      </c>
    </row>
    <row r="2379">
      <c r="A2379" s="5" t="n">
        <v>46274</v>
      </c>
      <c r="B2379" t="inlineStr">
        <is>
          <t>google_nonbrand_growth</t>
        </is>
      </c>
      <c r="C2379" t="inlineStr">
        <is>
          <t>google</t>
        </is>
      </c>
      <c r="D2379" t="n">
        <v>19616</v>
      </c>
      <c r="E2379" t="n">
        <v>4086</v>
      </c>
      <c r="F2379" t="n">
        <v>214</v>
      </c>
      <c r="G2379" t="n">
        <v>4</v>
      </c>
      <c r="H2379" t="n">
        <v>1</v>
      </c>
      <c r="I2379" t="n">
        <v>1</v>
      </c>
      <c r="J2379" t="n">
        <v>1</v>
      </c>
    </row>
    <row r="2380">
      <c r="A2380" s="5" t="n">
        <v>46274</v>
      </c>
      <c r="B2380" t="inlineStr">
        <is>
          <t>linkedin_ceo_abm</t>
        </is>
      </c>
      <c r="C2380" t="inlineStr">
        <is>
          <t>linkedin</t>
        </is>
      </c>
      <c r="D2380" t="n">
        <v>26467</v>
      </c>
      <c r="E2380" t="n">
        <v>5089</v>
      </c>
      <c r="F2380" t="n">
        <v>30</v>
      </c>
      <c r="G2380" t="n">
        <v>3</v>
      </c>
      <c r="H2380" t="n">
        <v>1</v>
      </c>
      <c r="I2380" t="n">
        <v>0</v>
      </c>
      <c r="J2380" t="n">
        <v>0</v>
      </c>
    </row>
    <row r="2381">
      <c r="A2381" s="5" t="n">
        <v>46274</v>
      </c>
      <c r="B2381" t="inlineStr">
        <is>
          <t>meta_broad_v17</t>
        </is>
      </c>
      <c r="C2381" t="inlineStr">
        <is>
          <t>meta</t>
        </is>
      </c>
      <c r="D2381" t="n">
        <v>42278</v>
      </c>
      <c r="E2381" t="n">
        <v>30198</v>
      </c>
      <c r="F2381" t="n">
        <v>380</v>
      </c>
      <c r="G2381" t="n">
        <v>17</v>
      </c>
      <c r="H2381" t="n">
        <v>1</v>
      </c>
      <c r="I2381" t="n">
        <v>0</v>
      </c>
      <c r="J2381" t="n">
        <v>0</v>
      </c>
    </row>
    <row r="2382">
      <c r="A2382" s="5" t="n">
        <v>46274</v>
      </c>
      <c r="B2382" t="inlineStr">
        <is>
          <t>meta_prospecting_founder</t>
        </is>
      </c>
      <c r="C2382" t="inlineStr">
        <is>
          <t>meta</t>
        </is>
      </c>
      <c r="D2382" t="n">
        <v>37090</v>
      </c>
      <c r="E2382" t="n">
        <v>26492</v>
      </c>
      <c r="F2382" t="n">
        <v>273</v>
      </c>
      <c r="G2382" t="n">
        <v>12</v>
      </c>
      <c r="H2382" t="n">
        <v>0</v>
      </c>
      <c r="I2382" t="n">
        <v>1</v>
      </c>
      <c r="J2382" t="n">
        <v>0</v>
      </c>
    </row>
    <row r="2383">
      <c r="A2383" s="5" t="n">
        <v>46274</v>
      </c>
      <c r="B2383" t="inlineStr">
        <is>
          <t>meta_retargeting_webinar</t>
        </is>
      </c>
      <c r="C2383" t="inlineStr">
        <is>
          <t>meta</t>
        </is>
      </c>
      <c r="D2383" t="n">
        <v>8365</v>
      </c>
      <c r="E2383" t="n">
        <v>5975</v>
      </c>
      <c r="F2383" t="n">
        <v>67</v>
      </c>
      <c r="G2383" t="n">
        <v>0</v>
      </c>
      <c r="H2383" t="n">
        <v>0</v>
      </c>
      <c r="I2383" t="n">
        <v>0</v>
      </c>
      <c r="J2383" t="n">
        <v>0</v>
      </c>
    </row>
    <row r="2384">
      <c r="A2384" s="5" t="n">
        <v>46275</v>
      </c>
      <c r="B2384" t="inlineStr">
        <is>
          <t>google_brand_search</t>
        </is>
      </c>
      <c r="C2384" t="inlineStr">
        <is>
          <t>google</t>
        </is>
      </c>
      <c r="D2384" t="n">
        <v>7325</v>
      </c>
      <c r="E2384" t="n">
        <v>1526</v>
      </c>
      <c r="F2384" t="n">
        <v>73</v>
      </c>
      <c r="G2384" t="n">
        <v>4</v>
      </c>
      <c r="H2384" t="n">
        <v>2</v>
      </c>
      <c r="I2384" t="n">
        <v>1</v>
      </c>
      <c r="J2384" t="n">
        <v>0</v>
      </c>
    </row>
    <row r="2385">
      <c r="A2385" s="5" t="n">
        <v>46275</v>
      </c>
      <c r="B2385" t="inlineStr">
        <is>
          <t>google_nonbrand_growth</t>
        </is>
      </c>
      <c r="C2385" t="inlineStr">
        <is>
          <t>google</t>
        </is>
      </c>
      <c r="D2385" t="n">
        <v>19848</v>
      </c>
      <c r="E2385" t="n">
        <v>4135</v>
      </c>
      <c r="F2385" t="n">
        <v>195</v>
      </c>
      <c r="G2385" t="n">
        <v>1</v>
      </c>
      <c r="H2385" t="n">
        <v>1</v>
      </c>
      <c r="I2385" t="n">
        <v>0</v>
      </c>
      <c r="J2385" t="n">
        <v>0</v>
      </c>
    </row>
    <row r="2386">
      <c r="A2386" s="5" t="n">
        <v>46275</v>
      </c>
      <c r="B2386" t="inlineStr">
        <is>
          <t>linkedin_ceo_abm</t>
        </is>
      </c>
      <c r="C2386" t="inlineStr">
        <is>
          <t>linkedin</t>
        </is>
      </c>
      <c r="D2386" t="n">
        <v>25449</v>
      </c>
      <c r="E2386" t="n">
        <v>4894</v>
      </c>
      <c r="F2386" t="n">
        <v>33</v>
      </c>
      <c r="G2386" t="n">
        <v>3</v>
      </c>
      <c r="H2386" t="n">
        <v>1</v>
      </c>
      <c r="I2386" t="n">
        <v>0</v>
      </c>
      <c r="J2386" t="n">
        <v>0</v>
      </c>
    </row>
    <row r="2387">
      <c r="A2387" s="5" t="n">
        <v>46275</v>
      </c>
      <c r="B2387" t="inlineStr">
        <is>
          <t>meta_broad_v17</t>
        </is>
      </c>
      <c r="C2387" t="inlineStr">
        <is>
          <t>meta</t>
        </is>
      </c>
      <c r="D2387" t="n">
        <v>48625</v>
      </c>
      <c r="E2387" t="n">
        <v>34732</v>
      </c>
      <c r="F2387" t="n">
        <v>407</v>
      </c>
      <c r="G2387" t="n">
        <v>21</v>
      </c>
      <c r="H2387" t="n">
        <v>1</v>
      </c>
      <c r="I2387" t="n">
        <v>1</v>
      </c>
      <c r="J2387" t="n">
        <v>0</v>
      </c>
    </row>
    <row r="2388">
      <c r="A2388" s="5" t="n">
        <v>46275</v>
      </c>
      <c r="B2388" t="inlineStr">
        <is>
          <t>meta_prospecting_founder</t>
        </is>
      </c>
      <c r="C2388" t="inlineStr">
        <is>
          <t>meta</t>
        </is>
      </c>
      <c r="D2388" t="n">
        <v>35118</v>
      </c>
      <c r="E2388" t="n">
        <v>25084</v>
      </c>
      <c r="F2388" t="n">
        <v>293</v>
      </c>
      <c r="G2388" t="n">
        <v>10</v>
      </c>
      <c r="H2388" t="n">
        <v>3</v>
      </c>
      <c r="I2388" t="n">
        <v>0</v>
      </c>
      <c r="J2388" t="n">
        <v>0</v>
      </c>
    </row>
    <row r="2389">
      <c r="A2389" s="5" t="n">
        <v>46275</v>
      </c>
      <c r="B2389" t="inlineStr">
        <is>
          <t>meta_retargeting_webinar</t>
        </is>
      </c>
      <c r="C2389" t="inlineStr">
        <is>
          <t>meta</t>
        </is>
      </c>
      <c r="D2389" t="n">
        <v>9875</v>
      </c>
      <c r="E2389" t="n">
        <v>7053</v>
      </c>
      <c r="F2389" t="n">
        <v>87</v>
      </c>
      <c r="G2389" t="n">
        <v>0</v>
      </c>
      <c r="H2389" t="n">
        <v>0</v>
      </c>
      <c r="I2389" t="n">
        <v>0</v>
      </c>
      <c r="J2389" t="n">
        <v>0</v>
      </c>
    </row>
    <row r="2390">
      <c r="A2390" s="5" t="n">
        <v>46276</v>
      </c>
      <c r="B2390" t="inlineStr">
        <is>
          <t>google_brand_search</t>
        </is>
      </c>
      <c r="C2390" t="inlineStr">
        <is>
          <t>google</t>
        </is>
      </c>
      <c r="D2390" t="n">
        <v>6933</v>
      </c>
      <c r="E2390" t="n">
        <v>1444</v>
      </c>
      <c r="F2390" t="n">
        <v>82</v>
      </c>
      <c r="G2390" t="n">
        <v>3</v>
      </c>
      <c r="H2390" t="n">
        <v>1</v>
      </c>
      <c r="I2390" t="n">
        <v>2</v>
      </c>
      <c r="J2390" t="n">
        <v>2</v>
      </c>
    </row>
    <row r="2391">
      <c r="A2391" s="5" t="n">
        <v>46276</v>
      </c>
      <c r="B2391" t="inlineStr">
        <is>
          <t>google_nonbrand_growth</t>
        </is>
      </c>
      <c r="C2391" t="inlineStr">
        <is>
          <t>google</t>
        </is>
      </c>
      <c r="D2391" t="n">
        <v>20005</v>
      </c>
      <c r="E2391" t="n">
        <v>4167</v>
      </c>
      <c r="F2391" t="n">
        <v>247</v>
      </c>
      <c r="G2391" t="n">
        <v>2</v>
      </c>
      <c r="H2391" t="n">
        <v>2</v>
      </c>
      <c r="I2391" t="n">
        <v>1</v>
      </c>
      <c r="J2391" t="n">
        <v>0</v>
      </c>
    </row>
    <row r="2392">
      <c r="A2392" s="5" t="n">
        <v>46276</v>
      </c>
      <c r="B2392" t="inlineStr">
        <is>
          <t>linkedin_ceo_abm</t>
        </is>
      </c>
      <c r="C2392" t="inlineStr">
        <is>
          <t>linkedin</t>
        </is>
      </c>
      <c r="D2392" t="n">
        <v>25128</v>
      </c>
      <c r="E2392" t="n">
        <v>4832</v>
      </c>
      <c r="F2392" t="n">
        <v>35</v>
      </c>
      <c r="G2392" t="n">
        <v>1</v>
      </c>
      <c r="H2392" t="n">
        <v>1</v>
      </c>
      <c r="I2392" t="n">
        <v>0</v>
      </c>
      <c r="J2392" t="n">
        <v>0</v>
      </c>
    </row>
    <row r="2393">
      <c r="A2393" s="5" t="n">
        <v>46276</v>
      </c>
      <c r="B2393" t="inlineStr">
        <is>
          <t>meta_broad_v17</t>
        </is>
      </c>
      <c r="C2393" t="inlineStr">
        <is>
          <t>meta</t>
        </is>
      </c>
      <c r="D2393" t="n">
        <v>43477</v>
      </c>
      <c r="E2393" t="n">
        <v>31055</v>
      </c>
      <c r="F2393" t="n">
        <v>361</v>
      </c>
      <c r="G2393" t="n">
        <v>14</v>
      </c>
      <c r="H2393" t="n">
        <v>2</v>
      </c>
      <c r="I2393" t="n">
        <v>0</v>
      </c>
      <c r="J2393" t="n">
        <v>0</v>
      </c>
    </row>
    <row r="2394">
      <c r="A2394" s="5" t="n">
        <v>46276</v>
      </c>
      <c r="B2394" t="inlineStr">
        <is>
          <t>meta_prospecting_founder</t>
        </is>
      </c>
      <c r="C2394" t="inlineStr">
        <is>
          <t>meta</t>
        </is>
      </c>
      <c r="D2394" t="n">
        <v>40726</v>
      </c>
      <c r="E2394" t="n">
        <v>29090</v>
      </c>
      <c r="F2394" t="n">
        <v>359</v>
      </c>
      <c r="G2394" t="n">
        <v>4</v>
      </c>
      <c r="H2394" t="n">
        <v>1</v>
      </c>
      <c r="I2394" t="n">
        <v>0</v>
      </c>
      <c r="J2394" t="n">
        <v>0</v>
      </c>
    </row>
    <row r="2395">
      <c r="A2395" s="5" t="n">
        <v>46276</v>
      </c>
      <c r="B2395" t="inlineStr">
        <is>
          <t>meta_retargeting_webinar</t>
        </is>
      </c>
      <c r="C2395" t="inlineStr">
        <is>
          <t>meta</t>
        </is>
      </c>
      <c r="D2395" t="n">
        <v>9183</v>
      </c>
      <c r="E2395" t="n">
        <v>6559</v>
      </c>
      <c r="F2395" t="n">
        <v>62</v>
      </c>
      <c r="G2395" t="n">
        <v>0</v>
      </c>
      <c r="H2395" t="n">
        <v>0</v>
      </c>
      <c r="I2395" t="n">
        <v>0</v>
      </c>
      <c r="J2395" t="n">
        <v>0</v>
      </c>
    </row>
    <row r="2396">
      <c r="A2396" s="5" t="n">
        <v>46277</v>
      </c>
      <c r="B2396" t="inlineStr">
        <is>
          <t>google_brand_search</t>
        </is>
      </c>
      <c r="C2396" t="inlineStr">
        <is>
          <t>google</t>
        </is>
      </c>
      <c r="D2396" t="n">
        <v>7097</v>
      </c>
      <c r="E2396" t="n">
        <v>1478</v>
      </c>
      <c r="F2396" t="n">
        <v>85</v>
      </c>
      <c r="G2396" t="n">
        <v>1</v>
      </c>
      <c r="H2396" t="n">
        <v>2</v>
      </c>
      <c r="I2396" t="n">
        <v>0</v>
      </c>
      <c r="J2396" t="n">
        <v>1</v>
      </c>
    </row>
    <row r="2397">
      <c r="A2397" s="5" t="n">
        <v>46277</v>
      </c>
      <c r="B2397" t="inlineStr">
        <is>
          <t>google_nonbrand_growth</t>
        </is>
      </c>
      <c r="C2397" t="inlineStr">
        <is>
          <t>google</t>
        </is>
      </c>
      <c r="D2397" t="n">
        <v>17773</v>
      </c>
      <c r="E2397" t="n">
        <v>3702</v>
      </c>
      <c r="F2397" t="n">
        <v>201</v>
      </c>
      <c r="G2397" t="n">
        <v>3</v>
      </c>
      <c r="H2397" t="n">
        <v>1</v>
      </c>
      <c r="I2397" t="n">
        <v>0</v>
      </c>
      <c r="J2397" t="n">
        <v>0</v>
      </c>
    </row>
    <row r="2398">
      <c r="A2398" s="5" t="n">
        <v>46277</v>
      </c>
      <c r="B2398" t="inlineStr">
        <is>
          <t>linkedin_ceo_abm</t>
        </is>
      </c>
      <c r="C2398" t="inlineStr">
        <is>
          <t>linkedin</t>
        </is>
      </c>
      <c r="D2398" t="n">
        <v>26946</v>
      </c>
      <c r="E2398" t="n">
        <v>5181</v>
      </c>
      <c r="F2398" t="n">
        <v>33</v>
      </c>
      <c r="G2398" t="n">
        <v>1</v>
      </c>
      <c r="H2398" t="n">
        <v>2</v>
      </c>
      <c r="I2398" t="n">
        <v>1</v>
      </c>
      <c r="J2398" t="n">
        <v>0</v>
      </c>
    </row>
    <row r="2399">
      <c r="A2399" s="5" t="n">
        <v>46277</v>
      </c>
      <c r="B2399" t="inlineStr">
        <is>
          <t>meta_broad_v17</t>
        </is>
      </c>
      <c r="C2399" t="inlineStr">
        <is>
          <t>meta</t>
        </is>
      </c>
      <c r="D2399" t="n">
        <v>50910</v>
      </c>
      <c r="E2399" t="n">
        <v>36364</v>
      </c>
      <c r="F2399" t="n">
        <v>373</v>
      </c>
      <c r="G2399" t="n">
        <v>10</v>
      </c>
      <c r="H2399" t="n">
        <v>1</v>
      </c>
      <c r="I2399" t="n">
        <v>1</v>
      </c>
      <c r="J2399" t="n">
        <v>0</v>
      </c>
    </row>
    <row r="2400">
      <c r="A2400" s="5" t="n">
        <v>46277</v>
      </c>
      <c r="B2400" t="inlineStr">
        <is>
          <t>meta_prospecting_founder</t>
        </is>
      </c>
      <c r="C2400" t="inlineStr">
        <is>
          <t>meta</t>
        </is>
      </c>
      <c r="D2400" t="n">
        <v>35129</v>
      </c>
      <c r="E2400" t="n">
        <v>25092</v>
      </c>
      <c r="F2400" t="n">
        <v>265</v>
      </c>
      <c r="G2400" t="n">
        <v>4</v>
      </c>
      <c r="H2400" t="n">
        <v>1</v>
      </c>
      <c r="I2400" t="n">
        <v>0</v>
      </c>
      <c r="J2400" t="n">
        <v>0</v>
      </c>
    </row>
    <row r="2401">
      <c r="A2401" s="5" t="n">
        <v>46277</v>
      </c>
      <c r="B2401" t="inlineStr">
        <is>
          <t>meta_retargeting_webinar</t>
        </is>
      </c>
      <c r="C2401" t="inlineStr">
        <is>
          <t>meta</t>
        </is>
      </c>
      <c r="D2401" t="n">
        <v>9188</v>
      </c>
      <c r="E2401" t="n">
        <v>6562</v>
      </c>
      <c r="F2401" t="n">
        <v>69</v>
      </c>
      <c r="G2401" t="n">
        <v>0</v>
      </c>
      <c r="H2401" t="n">
        <v>0</v>
      </c>
      <c r="I2401" t="n">
        <v>1</v>
      </c>
      <c r="J2401" t="n">
        <v>0</v>
      </c>
    </row>
    <row r="2402">
      <c r="A2402" s="5" t="n">
        <v>46278</v>
      </c>
      <c r="B2402" t="inlineStr">
        <is>
          <t>google_brand_search</t>
        </is>
      </c>
      <c r="C2402" t="inlineStr">
        <is>
          <t>google</t>
        </is>
      </c>
      <c r="D2402" t="n">
        <v>6730</v>
      </c>
      <c r="E2402" t="n">
        <v>1402</v>
      </c>
      <c r="F2402" t="n">
        <v>72</v>
      </c>
      <c r="G2402" t="n">
        <v>2</v>
      </c>
      <c r="H2402" t="n">
        <v>0</v>
      </c>
      <c r="I2402" t="n">
        <v>1</v>
      </c>
      <c r="J2402" t="n">
        <v>0</v>
      </c>
    </row>
    <row r="2403">
      <c r="A2403" s="5" t="n">
        <v>46278</v>
      </c>
      <c r="B2403" t="inlineStr">
        <is>
          <t>google_nonbrand_growth</t>
        </is>
      </c>
      <c r="C2403" t="inlineStr">
        <is>
          <t>google</t>
        </is>
      </c>
      <c r="D2403" t="n">
        <v>19886</v>
      </c>
      <c r="E2403" t="n">
        <v>4142</v>
      </c>
      <c r="F2403" t="n">
        <v>220</v>
      </c>
      <c r="G2403" t="n">
        <v>1</v>
      </c>
      <c r="H2403" t="n">
        <v>1</v>
      </c>
      <c r="I2403" t="n">
        <v>0</v>
      </c>
      <c r="J2403" t="n">
        <v>0</v>
      </c>
    </row>
    <row r="2404">
      <c r="A2404" s="5" t="n">
        <v>46278</v>
      </c>
      <c r="B2404" t="inlineStr">
        <is>
          <t>linkedin_ceo_abm</t>
        </is>
      </c>
      <c r="C2404" t="inlineStr">
        <is>
          <t>linkedin</t>
        </is>
      </c>
      <c r="D2404" t="n">
        <v>25464</v>
      </c>
      <c r="E2404" t="n">
        <v>4896</v>
      </c>
      <c r="F2404" t="n">
        <v>29</v>
      </c>
      <c r="G2404" t="n">
        <v>0</v>
      </c>
      <c r="H2404" t="n">
        <v>1</v>
      </c>
      <c r="I2404" t="n">
        <v>1</v>
      </c>
      <c r="J2404" t="n">
        <v>0</v>
      </c>
    </row>
    <row r="2405">
      <c r="A2405" s="5" t="n">
        <v>46278</v>
      </c>
      <c r="B2405" t="inlineStr">
        <is>
          <t>meta_broad_v17</t>
        </is>
      </c>
      <c r="C2405" t="inlineStr">
        <is>
          <t>meta</t>
        </is>
      </c>
      <c r="D2405" t="n">
        <v>48326</v>
      </c>
      <c r="E2405" t="n">
        <v>34518</v>
      </c>
      <c r="F2405" t="n">
        <v>412</v>
      </c>
      <c r="G2405" t="n">
        <v>14</v>
      </c>
      <c r="H2405" t="n">
        <v>3</v>
      </c>
      <c r="I2405" t="n">
        <v>0</v>
      </c>
      <c r="J2405" t="n">
        <v>0</v>
      </c>
    </row>
    <row r="2406">
      <c r="A2406" s="5" t="n">
        <v>46278</v>
      </c>
      <c r="B2406" t="inlineStr">
        <is>
          <t>meta_prospecting_founder</t>
        </is>
      </c>
      <c r="C2406" t="inlineStr">
        <is>
          <t>meta</t>
        </is>
      </c>
      <c r="D2406" t="n">
        <v>42109</v>
      </c>
      <c r="E2406" t="n">
        <v>30077</v>
      </c>
      <c r="F2406" t="n">
        <v>312</v>
      </c>
      <c r="G2406" t="n">
        <v>9</v>
      </c>
      <c r="H2406" t="n">
        <v>0</v>
      </c>
      <c r="I2406" t="n">
        <v>1</v>
      </c>
      <c r="J2406" t="n">
        <v>0</v>
      </c>
    </row>
    <row r="2407">
      <c r="A2407" s="5" t="n">
        <v>46278</v>
      </c>
      <c r="B2407" t="inlineStr">
        <is>
          <t>meta_retargeting_webinar</t>
        </is>
      </c>
      <c r="C2407" t="inlineStr">
        <is>
          <t>meta</t>
        </is>
      </c>
      <c r="D2407" t="n">
        <v>9989</v>
      </c>
      <c r="E2407" t="n">
        <v>7135</v>
      </c>
      <c r="F2407" t="n">
        <v>78</v>
      </c>
      <c r="G2407" t="n">
        <v>0</v>
      </c>
      <c r="H2407" t="n">
        <v>0</v>
      </c>
      <c r="I2407" t="n">
        <v>0</v>
      </c>
      <c r="J2407" t="n">
        <v>0</v>
      </c>
    </row>
    <row r="2408">
      <c r="A2408" s="5" t="n">
        <v>46279</v>
      </c>
      <c r="B2408" t="inlineStr">
        <is>
          <t>google_brand_search</t>
        </is>
      </c>
      <c r="C2408" t="inlineStr">
        <is>
          <t>google</t>
        </is>
      </c>
      <c r="D2408" t="n">
        <v>6815</v>
      </c>
      <c r="E2408" t="n">
        <v>1419</v>
      </c>
      <c r="F2408" t="n">
        <v>71</v>
      </c>
      <c r="G2408" t="n">
        <v>3</v>
      </c>
      <c r="H2408" t="n">
        <v>1</v>
      </c>
      <c r="I2408" t="n">
        <v>0</v>
      </c>
      <c r="J2408" t="n">
        <v>0</v>
      </c>
    </row>
    <row r="2409">
      <c r="A2409" s="5" t="n">
        <v>46279</v>
      </c>
      <c r="B2409" t="inlineStr">
        <is>
          <t>google_nonbrand_growth</t>
        </is>
      </c>
      <c r="C2409" t="inlineStr">
        <is>
          <t>google</t>
        </is>
      </c>
      <c r="D2409" t="n">
        <v>19898</v>
      </c>
      <c r="E2409" t="n">
        <v>4145</v>
      </c>
      <c r="F2409" t="n">
        <v>211</v>
      </c>
      <c r="G2409" t="n">
        <v>2</v>
      </c>
      <c r="H2409" t="n">
        <v>0</v>
      </c>
      <c r="I2409" t="n">
        <v>2</v>
      </c>
      <c r="J2409" t="n">
        <v>0</v>
      </c>
    </row>
    <row r="2410">
      <c r="A2410" s="5" t="n">
        <v>46279</v>
      </c>
      <c r="B2410" t="inlineStr">
        <is>
          <t>linkedin_ceo_abm</t>
        </is>
      </c>
      <c r="C2410" t="inlineStr">
        <is>
          <t>linkedin</t>
        </is>
      </c>
      <c r="D2410" t="n">
        <v>23450</v>
      </c>
      <c r="E2410" t="n">
        <v>4509</v>
      </c>
      <c r="F2410" t="n">
        <v>26</v>
      </c>
      <c r="G2410" t="n">
        <v>2</v>
      </c>
      <c r="H2410" t="n">
        <v>1</v>
      </c>
      <c r="I2410" t="n">
        <v>0</v>
      </c>
      <c r="J2410" t="n">
        <v>0</v>
      </c>
    </row>
    <row r="2411">
      <c r="A2411" s="5" t="n">
        <v>46279</v>
      </c>
      <c r="B2411" t="inlineStr">
        <is>
          <t>meta_broad_v17</t>
        </is>
      </c>
      <c r="C2411" t="inlineStr">
        <is>
          <t>meta</t>
        </is>
      </c>
      <c r="D2411" t="n">
        <v>42859</v>
      </c>
      <c r="E2411" t="n">
        <v>30613</v>
      </c>
      <c r="F2411" t="n">
        <v>383</v>
      </c>
      <c r="G2411" t="n">
        <v>17</v>
      </c>
      <c r="H2411" t="n">
        <v>1</v>
      </c>
      <c r="I2411" t="n">
        <v>2</v>
      </c>
      <c r="J2411" t="n">
        <v>0</v>
      </c>
    </row>
    <row r="2412">
      <c r="A2412" s="5" t="n">
        <v>46279</v>
      </c>
      <c r="B2412" t="inlineStr">
        <is>
          <t>meta_prospecting_founder</t>
        </is>
      </c>
      <c r="C2412" t="inlineStr">
        <is>
          <t>meta</t>
        </is>
      </c>
      <c r="D2412" t="n">
        <v>41996</v>
      </c>
      <c r="E2412" t="n">
        <v>29997</v>
      </c>
      <c r="F2412" t="n">
        <v>371</v>
      </c>
      <c r="G2412" t="n">
        <v>13</v>
      </c>
      <c r="H2412" t="n">
        <v>1</v>
      </c>
      <c r="I2412" t="n">
        <v>1</v>
      </c>
      <c r="J2412" t="n">
        <v>0</v>
      </c>
    </row>
    <row r="2413">
      <c r="A2413" s="5" t="n">
        <v>46279</v>
      </c>
      <c r="B2413" t="inlineStr">
        <is>
          <t>meta_retargeting_webinar</t>
        </is>
      </c>
      <c r="C2413" t="inlineStr">
        <is>
          <t>meta</t>
        </is>
      </c>
      <c r="D2413" t="n">
        <v>9884</v>
      </c>
      <c r="E2413" t="n">
        <v>7060</v>
      </c>
      <c r="F2413" t="n">
        <v>73</v>
      </c>
      <c r="G2413" t="n">
        <v>0</v>
      </c>
      <c r="H2413" t="n">
        <v>0</v>
      </c>
      <c r="I2413" t="n">
        <v>0</v>
      </c>
      <c r="J2413" t="n">
        <v>0</v>
      </c>
    </row>
    <row r="2414">
      <c r="A2414" s="5" t="n">
        <v>46280</v>
      </c>
      <c r="B2414" t="inlineStr">
        <is>
          <t>google_brand_search</t>
        </is>
      </c>
      <c r="C2414" t="inlineStr">
        <is>
          <t>google</t>
        </is>
      </c>
      <c r="D2414" t="n">
        <v>6497</v>
      </c>
      <c r="E2414" t="n">
        <v>1353</v>
      </c>
      <c r="F2414" t="n">
        <v>68</v>
      </c>
      <c r="G2414" t="n">
        <v>1</v>
      </c>
      <c r="H2414" t="n">
        <v>2</v>
      </c>
      <c r="I2414" t="n">
        <v>1</v>
      </c>
      <c r="J2414" t="n">
        <v>0</v>
      </c>
    </row>
    <row r="2415">
      <c r="A2415" s="5" t="n">
        <v>46280</v>
      </c>
      <c r="B2415" t="inlineStr">
        <is>
          <t>google_nonbrand_growth</t>
        </is>
      </c>
      <c r="C2415" t="inlineStr">
        <is>
          <t>google</t>
        </is>
      </c>
      <c r="D2415" t="n">
        <v>20959</v>
      </c>
      <c r="E2415" t="n">
        <v>4366</v>
      </c>
      <c r="F2415" t="n">
        <v>216</v>
      </c>
      <c r="G2415" t="n">
        <v>1</v>
      </c>
      <c r="H2415" t="n">
        <v>0</v>
      </c>
      <c r="I2415" t="n">
        <v>2</v>
      </c>
      <c r="J2415" t="n">
        <v>0</v>
      </c>
    </row>
    <row r="2416">
      <c r="A2416" s="5" t="n">
        <v>46280</v>
      </c>
      <c r="B2416" t="inlineStr">
        <is>
          <t>linkedin_ceo_abm</t>
        </is>
      </c>
      <c r="C2416" t="inlineStr">
        <is>
          <t>linkedin</t>
        </is>
      </c>
      <c r="D2416" t="n">
        <v>26941</v>
      </c>
      <c r="E2416" t="n">
        <v>5180</v>
      </c>
      <c r="F2416" t="n">
        <v>29</v>
      </c>
      <c r="G2416" t="n">
        <v>1</v>
      </c>
      <c r="H2416" t="n">
        <v>0</v>
      </c>
      <c r="I2416" t="n">
        <v>2</v>
      </c>
      <c r="J2416" t="n">
        <v>0</v>
      </c>
    </row>
    <row r="2417">
      <c r="A2417" s="5" t="n">
        <v>46280</v>
      </c>
      <c r="B2417" t="inlineStr">
        <is>
          <t>meta_broad_v17</t>
        </is>
      </c>
      <c r="C2417" t="inlineStr">
        <is>
          <t>meta</t>
        </is>
      </c>
      <c r="D2417" t="n">
        <v>44956</v>
      </c>
      <c r="E2417" t="n">
        <v>32111</v>
      </c>
      <c r="F2417" t="n">
        <v>303</v>
      </c>
      <c r="G2417" t="n">
        <v>24</v>
      </c>
      <c r="H2417" t="n">
        <v>2</v>
      </c>
      <c r="I2417" t="n">
        <v>0</v>
      </c>
      <c r="J2417" t="n">
        <v>0</v>
      </c>
    </row>
    <row r="2418">
      <c r="A2418" s="5" t="n">
        <v>46280</v>
      </c>
      <c r="B2418" t="inlineStr">
        <is>
          <t>meta_prospecting_founder</t>
        </is>
      </c>
      <c r="C2418" t="inlineStr">
        <is>
          <t>meta</t>
        </is>
      </c>
      <c r="D2418" t="n">
        <v>42509</v>
      </c>
      <c r="E2418" t="n">
        <v>30363</v>
      </c>
      <c r="F2418" t="n">
        <v>361</v>
      </c>
      <c r="G2418" t="n">
        <v>14</v>
      </c>
      <c r="H2418" t="n">
        <v>1</v>
      </c>
      <c r="I2418" t="n">
        <v>1</v>
      </c>
      <c r="J2418" t="n">
        <v>0</v>
      </c>
    </row>
    <row r="2419">
      <c r="A2419" s="5" t="n">
        <v>46280</v>
      </c>
      <c r="B2419" t="inlineStr">
        <is>
          <t>meta_retargeting_webinar</t>
        </is>
      </c>
      <c r="C2419" t="inlineStr">
        <is>
          <t>meta</t>
        </is>
      </c>
      <c r="D2419" t="n">
        <v>9752</v>
      </c>
      <c r="E2419" t="n">
        <v>6965</v>
      </c>
      <c r="F2419" t="n">
        <v>73</v>
      </c>
      <c r="G2419" t="n">
        <v>2</v>
      </c>
      <c r="H2419" t="n">
        <v>0</v>
      </c>
      <c r="I2419" t="n">
        <v>0</v>
      </c>
      <c r="J2419" t="n">
        <v>0</v>
      </c>
    </row>
    <row r="2420">
      <c r="A2420" s="5" t="n">
        <v>46281</v>
      </c>
      <c r="B2420" t="inlineStr">
        <is>
          <t>google_brand_search</t>
        </is>
      </c>
      <c r="C2420" t="inlineStr">
        <is>
          <t>google</t>
        </is>
      </c>
      <c r="D2420" t="n">
        <v>6942</v>
      </c>
      <c r="E2420" t="n">
        <v>1446</v>
      </c>
      <c r="F2420" t="n">
        <v>79</v>
      </c>
      <c r="G2420" t="n">
        <v>2</v>
      </c>
      <c r="H2420" t="n">
        <v>0</v>
      </c>
      <c r="I2420" t="n">
        <v>0</v>
      </c>
      <c r="J2420" t="n">
        <v>0</v>
      </c>
    </row>
    <row r="2421">
      <c r="A2421" s="5" t="n">
        <v>46281</v>
      </c>
      <c r="B2421" t="inlineStr">
        <is>
          <t>google_nonbrand_growth</t>
        </is>
      </c>
      <c r="C2421" t="inlineStr">
        <is>
          <t>google</t>
        </is>
      </c>
      <c r="D2421" t="n">
        <v>18459</v>
      </c>
      <c r="E2421" t="n">
        <v>3845</v>
      </c>
      <c r="F2421" t="n">
        <v>217</v>
      </c>
      <c r="G2421" t="n">
        <v>3</v>
      </c>
      <c r="H2421" t="n">
        <v>1</v>
      </c>
      <c r="I2421" t="n">
        <v>0</v>
      </c>
      <c r="J2421" t="n">
        <v>0</v>
      </c>
    </row>
    <row r="2422">
      <c r="A2422" s="5" t="n">
        <v>46281</v>
      </c>
      <c r="B2422" t="inlineStr">
        <is>
          <t>linkedin_ceo_abm</t>
        </is>
      </c>
      <c r="C2422" t="inlineStr">
        <is>
          <t>linkedin</t>
        </is>
      </c>
      <c r="D2422" t="n">
        <v>24740</v>
      </c>
      <c r="E2422" t="n">
        <v>4757</v>
      </c>
      <c r="F2422" t="n">
        <v>27</v>
      </c>
      <c r="G2422" t="n">
        <v>0</v>
      </c>
      <c r="H2422" t="n">
        <v>0</v>
      </c>
      <c r="I2422" t="n">
        <v>0</v>
      </c>
      <c r="J2422" t="n">
        <v>1</v>
      </c>
    </row>
    <row r="2423">
      <c r="A2423" s="5" t="n">
        <v>46281</v>
      </c>
      <c r="B2423" t="inlineStr">
        <is>
          <t>meta_broad_v17</t>
        </is>
      </c>
      <c r="C2423" t="inlineStr">
        <is>
          <t>meta</t>
        </is>
      </c>
      <c r="D2423" t="n">
        <v>42354</v>
      </c>
      <c r="E2423" t="n">
        <v>30252</v>
      </c>
      <c r="F2423" t="n">
        <v>357</v>
      </c>
      <c r="G2423" t="n">
        <v>17</v>
      </c>
      <c r="H2423" t="n">
        <v>0</v>
      </c>
      <c r="I2423" t="n">
        <v>1</v>
      </c>
      <c r="J2423" t="n">
        <v>0</v>
      </c>
    </row>
    <row r="2424">
      <c r="A2424" s="5" t="n">
        <v>46281</v>
      </c>
      <c r="B2424" t="inlineStr">
        <is>
          <t>meta_prospecting_founder</t>
        </is>
      </c>
      <c r="C2424" t="inlineStr">
        <is>
          <t>meta</t>
        </is>
      </c>
      <c r="D2424" t="n">
        <v>38353</v>
      </c>
      <c r="E2424" t="n">
        <v>27395</v>
      </c>
      <c r="F2424" t="n">
        <v>277</v>
      </c>
      <c r="G2424" t="n">
        <v>8</v>
      </c>
      <c r="H2424" t="n">
        <v>3</v>
      </c>
      <c r="I2424" t="n">
        <v>2</v>
      </c>
      <c r="J2424" t="n">
        <v>0</v>
      </c>
    </row>
    <row r="2425">
      <c r="A2425" s="5" t="n">
        <v>46281</v>
      </c>
      <c r="B2425" t="inlineStr">
        <is>
          <t>meta_retargeting_webinar</t>
        </is>
      </c>
      <c r="C2425" t="inlineStr">
        <is>
          <t>meta</t>
        </is>
      </c>
      <c r="D2425" t="n">
        <v>8507</v>
      </c>
      <c r="E2425" t="n">
        <v>6076</v>
      </c>
      <c r="F2425" t="n">
        <v>75</v>
      </c>
      <c r="G2425" t="n">
        <v>5</v>
      </c>
      <c r="H2425" t="n">
        <v>0</v>
      </c>
      <c r="I2425" t="n">
        <v>0</v>
      </c>
      <c r="J2425" t="n">
        <v>0</v>
      </c>
    </row>
    <row r="2426">
      <c r="A2426" s="5" t="n">
        <v>46282</v>
      </c>
      <c r="B2426" t="inlineStr">
        <is>
          <t>google_brand_search</t>
        </is>
      </c>
      <c r="C2426" t="inlineStr">
        <is>
          <t>google</t>
        </is>
      </c>
      <c r="D2426" t="n">
        <v>6337</v>
      </c>
      <c r="E2426" t="n">
        <v>1320</v>
      </c>
      <c r="F2426" t="n">
        <v>65</v>
      </c>
      <c r="G2426" t="n">
        <v>3</v>
      </c>
      <c r="H2426" t="n">
        <v>3</v>
      </c>
      <c r="I2426" t="n">
        <v>2</v>
      </c>
      <c r="J2426" t="n">
        <v>0</v>
      </c>
    </row>
    <row r="2427">
      <c r="A2427" s="5" t="n">
        <v>46282</v>
      </c>
      <c r="B2427" t="inlineStr">
        <is>
          <t>google_nonbrand_growth</t>
        </is>
      </c>
      <c r="C2427" t="inlineStr">
        <is>
          <t>google</t>
        </is>
      </c>
      <c r="D2427" t="n">
        <v>20155</v>
      </c>
      <c r="E2427" t="n">
        <v>4198</v>
      </c>
      <c r="F2427" t="n">
        <v>206</v>
      </c>
      <c r="G2427" t="n">
        <v>7</v>
      </c>
      <c r="H2427" t="n">
        <v>0</v>
      </c>
      <c r="I2427" t="n">
        <v>0</v>
      </c>
      <c r="J2427" t="n">
        <v>0</v>
      </c>
    </row>
    <row r="2428">
      <c r="A2428" s="5" t="n">
        <v>46282</v>
      </c>
      <c r="B2428" t="inlineStr">
        <is>
          <t>linkedin_ceo_abm</t>
        </is>
      </c>
      <c r="C2428" t="inlineStr">
        <is>
          <t>linkedin</t>
        </is>
      </c>
      <c r="D2428" t="n">
        <v>26269</v>
      </c>
      <c r="E2428" t="n">
        <v>5051</v>
      </c>
      <c r="F2428" t="n">
        <v>37</v>
      </c>
      <c r="G2428" t="n">
        <v>3</v>
      </c>
      <c r="H2428" t="n">
        <v>1</v>
      </c>
      <c r="I2428" t="n">
        <v>0</v>
      </c>
      <c r="J2428" t="n">
        <v>1</v>
      </c>
    </row>
    <row r="2429">
      <c r="A2429" s="5" t="n">
        <v>46282</v>
      </c>
      <c r="B2429" t="inlineStr">
        <is>
          <t>meta_broad_v17</t>
        </is>
      </c>
      <c r="C2429" t="inlineStr">
        <is>
          <t>meta</t>
        </is>
      </c>
      <c r="D2429" t="n">
        <v>48845</v>
      </c>
      <c r="E2429" t="n">
        <v>34889</v>
      </c>
      <c r="F2429" t="n">
        <v>362</v>
      </c>
      <c r="G2429" t="n">
        <v>19</v>
      </c>
      <c r="H2429" t="n">
        <v>0</v>
      </c>
      <c r="I2429" t="n">
        <v>1</v>
      </c>
      <c r="J2429" t="n">
        <v>0</v>
      </c>
    </row>
    <row r="2430">
      <c r="A2430" s="5" t="n">
        <v>46282</v>
      </c>
      <c r="B2430" t="inlineStr">
        <is>
          <t>meta_prospecting_founder</t>
        </is>
      </c>
      <c r="C2430" t="inlineStr">
        <is>
          <t>meta</t>
        </is>
      </c>
      <c r="D2430" t="n">
        <v>35093</v>
      </c>
      <c r="E2430" t="n">
        <v>25066</v>
      </c>
      <c r="F2430" t="n">
        <v>257</v>
      </c>
      <c r="G2430" t="n">
        <v>8</v>
      </c>
      <c r="H2430" t="n">
        <v>5</v>
      </c>
      <c r="I2430" t="n">
        <v>0</v>
      </c>
      <c r="J2430" t="n">
        <v>0</v>
      </c>
    </row>
    <row r="2431">
      <c r="A2431" s="5" t="n">
        <v>46282</v>
      </c>
      <c r="B2431" t="inlineStr">
        <is>
          <t>meta_retargeting_webinar</t>
        </is>
      </c>
      <c r="C2431" t="inlineStr">
        <is>
          <t>meta</t>
        </is>
      </c>
      <c r="D2431" t="n">
        <v>8425</v>
      </c>
      <c r="E2431" t="n">
        <v>6017</v>
      </c>
      <c r="F2431" t="n">
        <v>60</v>
      </c>
      <c r="G2431" t="n">
        <v>1</v>
      </c>
      <c r="H2431" t="n">
        <v>0</v>
      </c>
      <c r="I2431" t="n">
        <v>0</v>
      </c>
      <c r="J2431" t="n">
        <v>0</v>
      </c>
    </row>
    <row r="2432">
      <c r="A2432" s="5" t="n">
        <v>46283</v>
      </c>
      <c r="B2432" t="inlineStr">
        <is>
          <t>google_brand_search</t>
        </is>
      </c>
      <c r="C2432" t="inlineStr">
        <is>
          <t>google</t>
        </is>
      </c>
      <c r="D2432" t="n">
        <v>7530</v>
      </c>
      <c r="E2432" t="n">
        <v>1568</v>
      </c>
      <c r="F2432" t="n">
        <v>91</v>
      </c>
      <c r="G2432" t="n">
        <v>4</v>
      </c>
      <c r="H2432" t="n">
        <v>4</v>
      </c>
      <c r="I2432" t="n">
        <v>0</v>
      </c>
      <c r="J2432" t="n">
        <v>3</v>
      </c>
    </row>
    <row r="2433">
      <c r="A2433" s="5" t="n">
        <v>46283</v>
      </c>
      <c r="B2433" t="inlineStr">
        <is>
          <t>google_nonbrand_growth</t>
        </is>
      </c>
      <c r="C2433" t="inlineStr">
        <is>
          <t>google</t>
        </is>
      </c>
      <c r="D2433" t="n">
        <v>17331</v>
      </c>
      <c r="E2433" t="n">
        <v>3610</v>
      </c>
      <c r="F2433" t="n">
        <v>206</v>
      </c>
      <c r="G2433" t="n">
        <v>5</v>
      </c>
      <c r="H2433" t="n">
        <v>1</v>
      </c>
      <c r="I2433" t="n">
        <v>0</v>
      </c>
      <c r="J2433" t="n">
        <v>3</v>
      </c>
    </row>
    <row r="2434">
      <c r="A2434" s="5" t="n">
        <v>46283</v>
      </c>
      <c r="B2434" t="inlineStr">
        <is>
          <t>linkedin_ceo_abm</t>
        </is>
      </c>
      <c r="C2434" t="inlineStr">
        <is>
          <t>linkedin</t>
        </is>
      </c>
      <c r="D2434" t="n">
        <v>26238</v>
      </c>
      <c r="E2434" t="n">
        <v>5045</v>
      </c>
      <c r="F2434" t="n">
        <v>29</v>
      </c>
      <c r="G2434" t="n">
        <v>2</v>
      </c>
      <c r="H2434" t="n">
        <v>1</v>
      </c>
      <c r="I2434" t="n">
        <v>0</v>
      </c>
      <c r="J2434" t="n">
        <v>1</v>
      </c>
    </row>
    <row r="2435">
      <c r="A2435" s="5" t="n">
        <v>46283</v>
      </c>
      <c r="B2435" t="inlineStr">
        <is>
          <t>meta_broad_v17</t>
        </is>
      </c>
      <c r="C2435" t="inlineStr">
        <is>
          <t>meta</t>
        </is>
      </c>
      <c r="D2435" t="n">
        <v>48994</v>
      </c>
      <c r="E2435" t="n">
        <v>34995</v>
      </c>
      <c r="F2435" t="n">
        <v>333</v>
      </c>
      <c r="G2435" t="n">
        <v>13</v>
      </c>
      <c r="H2435" t="n">
        <v>0</v>
      </c>
      <c r="I2435" t="n">
        <v>0</v>
      </c>
      <c r="J2435" t="n">
        <v>0</v>
      </c>
    </row>
    <row r="2436">
      <c r="A2436" s="5" t="n">
        <v>46283</v>
      </c>
      <c r="B2436" t="inlineStr">
        <is>
          <t>meta_prospecting_founder</t>
        </is>
      </c>
      <c r="C2436" t="inlineStr">
        <is>
          <t>meta</t>
        </is>
      </c>
      <c r="D2436" t="n">
        <v>41314</v>
      </c>
      <c r="E2436" t="n">
        <v>29509</v>
      </c>
      <c r="F2436" t="n">
        <v>280</v>
      </c>
      <c r="G2436" t="n">
        <v>10</v>
      </c>
      <c r="H2436" t="n">
        <v>1</v>
      </c>
      <c r="I2436" t="n">
        <v>2</v>
      </c>
      <c r="J2436" t="n">
        <v>4</v>
      </c>
    </row>
    <row r="2437">
      <c r="A2437" s="5" t="n">
        <v>46283</v>
      </c>
      <c r="B2437" t="inlineStr">
        <is>
          <t>meta_retargeting_webinar</t>
        </is>
      </c>
      <c r="C2437" t="inlineStr">
        <is>
          <t>meta</t>
        </is>
      </c>
      <c r="D2437" t="n">
        <v>9865</v>
      </c>
      <c r="E2437" t="n">
        <v>7046</v>
      </c>
      <c r="F2437" t="n">
        <v>66</v>
      </c>
      <c r="G2437" t="n">
        <v>3</v>
      </c>
      <c r="H2437" t="n">
        <v>0</v>
      </c>
      <c r="I2437" t="n">
        <v>0</v>
      </c>
      <c r="J2437" t="n">
        <v>2</v>
      </c>
    </row>
    <row r="2438">
      <c r="A2438" s="5" t="n">
        <v>46284</v>
      </c>
      <c r="B2438" t="inlineStr">
        <is>
          <t>google_brand_search</t>
        </is>
      </c>
      <c r="C2438" t="inlineStr">
        <is>
          <t>google</t>
        </is>
      </c>
      <c r="D2438" t="n">
        <v>7419</v>
      </c>
      <c r="E2438" t="n">
        <v>1545</v>
      </c>
      <c r="F2438" t="n">
        <v>81</v>
      </c>
      <c r="G2438" t="n">
        <v>3</v>
      </c>
      <c r="H2438" t="n">
        <v>1</v>
      </c>
      <c r="I2438" t="n">
        <v>1</v>
      </c>
      <c r="J2438" t="n">
        <v>0</v>
      </c>
    </row>
    <row r="2439">
      <c r="A2439" s="5" t="n">
        <v>46284</v>
      </c>
      <c r="B2439" t="inlineStr">
        <is>
          <t>google_nonbrand_growth</t>
        </is>
      </c>
      <c r="C2439" t="inlineStr">
        <is>
          <t>google</t>
        </is>
      </c>
      <c r="D2439" t="n">
        <v>18026</v>
      </c>
      <c r="E2439" t="n">
        <v>3755</v>
      </c>
      <c r="F2439" t="n">
        <v>210</v>
      </c>
      <c r="G2439" t="n">
        <v>3</v>
      </c>
      <c r="H2439" t="n">
        <v>1</v>
      </c>
      <c r="I2439" t="n">
        <v>0</v>
      </c>
      <c r="J2439" t="n">
        <v>0</v>
      </c>
    </row>
    <row r="2440">
      <c r="A2440" s="5" t="n">
        <v>46284</v>
      </c>
      <c r="B2440" t="inlineStr">
        <is>
          <t>linkedin_ceo_abm</t>
        </is>
      </c>
      <c r="C2440" t="inlineStr">
        <is>
          <t>linkedin</t>
        </is>
      </c>
      <c r="D2440" t="n">
        <v>27219</v>
      </c>
      <c r="E2440" t="n">
        <v>5234</v>
      </c>
      <c r="F2440" t="n">
        <v>29</v>
      </c>
      <c r="G2440" t="n">
        <v>0</v>
      </c>
      <c r="H2440" t="n">
        <v>0</v>
      </c>
      <c r="I2440" t="n">
        <v>1</v>
      </c>
      <c r="J2440" t="n">
        <v>0</v>
      </c>
    </row>
    <row r="2441">
      <c r="A2441" s="5" t="n">
        <v>46284</v>
      </c>
      <c r="B2441" t="inlineStr">
        <is>
          <t>meta_broad_v17</t>
        </is>
      </c>
      <c r="C2441" t="inlineStr">
        <is>
          <t>meta</t>
        </is>
      </c>
      <c r="D2441" t="n">
        <v>48197</v>
      </c>
      <c r="E2441" t="n">
        <v>34426</v>
      </c>
      <c r="F2441" t="n">
        <v>388</v>
      </c>
      <c r="G2441" t="n">
        <v>12</v>
      </c>
      <c r="H2441" t="n">
        <v>2</v>
      </c>
      <c r="I2441" t="n">
        <v>0</v>
      </c>
      <c r="J2441" t="n">
        <v>0</v>
      </c>
    </row>
    <row r="2442">
      <c r="A2442" s="5" t="n">
        <v>46284</v>
      </c>
      <c r="B2442" t="inlineStr">
        <is>
          <t>meta_prospecting_founder</t>
        </is>
      </c>
      <c r="C2442" t="inlineStr">
        <is>
          <t>meta</t>
        </is>
      </c>
      <c r="D2442" t="n">
        <v>40868</v>
      </c>
      <c r="E2442" t="n">
        <v>29191</v>
      </c>
      <c r="F2442" t="n">
        <v>355</v>
      </c>
      <c r="G2442" t="n">
        <v>7</v>
      </c>
      <c r="H2442" t="n">
        <v>2</v>
      </c>
      <c r="I2442" t="n">
        <v>2</v>
      </c>
      <c r="J2442" t="n">
        <v>0</v>
      </c>
    </row>
    <row r="2443">
      <c r="A2443" s="5" t="n">
        <v>46284</v>
      </c>
      <c r="B2443" t="inlineStr">
        <is>
          <t>meta_retargeting_webinar</t>
        </is>
      </c>
      <c r="C2443" t="inlineStr">
        <is>
          <t>meta</t>
        </is>
      </c>
      <c r="D2443" t="n">
        <v>9624</v>
      </c>
      <c r="E2443" t="n">
        <v>6874</v>
      </c>
      <c r="F2443" t="n">
        <v>81</v>
      </c>
      <c r="G2443" t="n">
        <v>2</v>
      </c>
      <c r="H2443" t="n">
        <v>1</v>
      </c>
      <c r="I2443" t="n">
        <v>0</v>
      </c>
      <c r="J2443" t="n">
        <v>0</v>
      </c>
    </row>
    <row r="2444">
      <c r="A2444" s="5" t="n">
        <v>46285</v>
      </c>
      <c r="B2444" t="inlineStr">
        <is>
          <t>google_brand_search</t>
        </is>
      </c>
      <c r="C2444" t="inlineStr">
        <is>
          <t>google</t>
        </is>
      </c>
      <c r="D2444" t="n">
        <v>6830</v>
      </c>
      <c r="E2444" t="n">
        <v>1422</v>
      </c>
      <c r="F2444" t="n">
        <v>71</v>
      </c>
      <c r="G2444" t="n">
        <v>0</v>
      </c>
      <c r="H2444" t="n">
        <v>2</v>
      </c>
      <c r="I2444" t="n">
        <v>0</v>
      </c>
      <c r="J2444" t="n">
        <v>0</v>
      </c>
    </row>
    <row r="2445">
      <c r="A2445" s="5" t="n">
        <v>46285</v>
      </c>
      <c r="B2445" t="inlineStr">
        <is>
          <t>google_nonbrand_growth</t>
        </is>
      </c>
      <c r="C2445" t="inlineStr">
        <is>
          <t>google</t>
        </is>
      </c>
      <c r="D2445" t="n">
        <v>20464</v>
      </c>
      <c r="E2445" t="n">
        <v>4263</v>
      </c>
      <c r="F2445" t="n">
        <v>250</v>
      </c>
      <c r="G2445" t="n">
        <v>2</v>
      </c>
      <c r="H2445" t="n">
        <v>2</v>
      </c>
      <c r="I2445" t="n">
        <v>0</v>
      </c>
      <c r="J2445" t="n">
        <v>0</v>
      </c>
    </row>
    <row r="2446">
      <c r="A2446" s="5" t="n">
        <v>46285</v>
      </c>
      <c r="B2446" t="inlineStr">
        <is>
          <t>linkedin_ceo_abm</t>
        </is>
      </c>
      <c r="C2446" t="inlineStr">
        <is>
          <t>linkedin</t>
        </is>
      </c>
      <c r="D2446" t="n">
        <v>27529</v>
      </c>
      <c r="E2446" t="n">
        <v>5294</v>
      </c>
      <c r="F2446" t="n">
        <v>33</v>
      </c>
      <c r="G2446" t="n">
        <v>0</v>
      </c>
      <c r="H2446" t="n">
        <v>1</v>
      </c>
      <c r="I2446" t="n">
        <v>1</v>
      </c>
      <c r="J2446" t="n">
        <v>1</v>
      </c>
    </row>
    <row r="2447">
      <c r="A2447" s="5" t="n">
        <v>46285</v>
      </c>
      <c r="B2447" t="inlineStr">
        <is>
          <t>meta_broad_v17</t>
        </is>
      </c>
      <c r="C2447" t="inlineStr">
        <is>
          <t>meta</t>
        </is>
      </c>
      <c r="D2447" t="n">
        <v>42315</v>
      </c>
      <c r="E2447" t="n">
        <v>30224</v>
      </c>
      <c r="F2447" t="n">
        <v>324</v>
      </c>
      <c r="G2447" t="n">
        <v>19</v>
      </c>
      <c r="H2447" t="n">
        <v>3</v>
      </c>
      <c r="I2447" t="n">
        <v>0</v>
      </c>
      <c r="J2447" t="n">
        <v>0</v>
      </c>
    </row>
    <row r="2448">
      <c r="A2448" s="5" t="n">
        <v>46285</v>
      </c>
      <c r="B2448" t="inlineStr">
        <is>
          <t>meta_prospecting_founder</t>
        </is>
      </c>
      <c r="C2448" t="inlineStr">
        <is>
          <t>meta</t>
        </is>
      </c>
      <c r="D2448" t="n">
        <v>42226</v>
      </c>
      <c r="E2448" t="n">
        <v>30161</v>
      </c>
      <c r="F2448" t="n">
        <v>352</v>
      </c>
      <c r="G2448" t="n">
        <v>11</v>
      </c>
      <c r="H2448" t="n">
        <v>3</v>
      </c>
      <c r="I2448" t="n">
        <v>2</v>
      </c>
      <c r="J2448" t="n">
        <v>0</v>
      </c>
    </row>
    <row r="2449">
      <c r="A2449" s="5" t="n">
        <v>46285</v>
      </c>
      <c r="B2449" t="inlineStr">
        <is>
          <t>meta_retargeting_webinar</t>
        </is>
      </c>
      <c r="C2449" t="inlineStr">
        <is>
          <t>meta</t>
        </is>
      </c>
      <c r="D2449" t="n">
        <v>9486</v>
      </c>
      <c r="E2449" t="n">
        <v>6775</v>
      </c>
      <c r="F2449" t="n">
        <v>76</v>
      </c>
      <c r="G2449" t="n">
        <v>2</v>
      </c>
      <c r="H2449" t="n">
        <v>2</v>
      </c>
      <c r="I2449" t="n">
        <v>0</v>
      </c>
      <c r="J2449" t="n">
        <v>0</v>
      </c>
    </row>
    <row r="2450">
      <c r="A2450" s="5" t="n">
        <v>46286</v>
      </c>
      <c r="B2450" t="inlineStr">
        <is>
          <t>google_brand_search</t>
        </is>
      </c>
      <c r="C2450" t="inlineStr">
        <is>
          <t>google</t>
        </is>
      </c>
      <c r="D2450" t="n">
        <v>6305</v>
      </c>
      <c r="E2450" t="n">
        <v>1313</v>
      </c>
      <c r="F2450" t="n">
        <v>65</v>
      </c>
      <c r="G2450" t="n">
        <v>3</v>
      </c>
      <c r="H2450" t="n">
        <v>0</v>
      </c>
      <c r="I2450" t="n">
        <v>1</v>
      </c>
      <c r="J2450" t="n">
        <v>0</v>
      </c>
    </row>
    <row r="2451">
      <c r="A2451" s="5" t="n">
        <v>46286</v>
      </c>
      <c r="B2451" t="inlineStr">
        <is>
          <t>google_nonbrand_growth</t>
        </is>
      </c>
      <c r="C2451" t="inlineStr">
        <is>
          <t>google</t>
        </is>
      </c>
      <c r="D2451" t="n">
        <v>20069</v>
      </c>
      <c r="E2451" t="n">
        <v>4181</v>
      </c>
      <c r="F2451" t="n">
        <v>218</v>
      </c>
      <c r="G2451" t="n">
        <v>3</v>
      </c>
      <c r="H2451" t="n">
        <v>0</v>
      </c>
      <c r="I2451" t="n">
        <v>0</v>
      </c>
      <c r="J2451" t="n">
        <v>0</v>
      </c>
    </row>
    <row r="2452">
      <c r="A2452" s="5" t="n">
        <v>46286</v>
      </c>
      <c r="B2452" t="inlineStr">
        <is>
          <t>linkedin_ceo_abm</t>
        </is>
      </c>
      <c r="C2452" t="inlineStr">
        <is>
          <t>linkedin</t>
        </is>
      </c>
      <c r="D2452" t="n">
        <v>22954</v>
      </c>
      <c r="E2452" t="n">
        <v>4414</v>
      </c>
      <c r="F2452" t="n">
        <v>30</v>
      </c>
      <c r="G2452" t="n">
        <v>1</v>
      </c>
      <c r="H2452" t="n">
        <v>0</v>
      </c>
      <c r="I2452" t="n">
        <v>0</v>
      </c>
      <c r="J2452" t="n">
        <v>0</v>
      </c>
    </row>
    <row r="2453">
      <c r="A2453" s="5" t="n">
        <v>46286</v>
      </c>
      <c r="B2453" t="inlineStr">
        <is>
          <t>meta_broad_v17</t>
        </is>
      </c>
      <c r="C2453" t="inlineStr">
        <is>
          <t>meta</t>
        </is>
      </c>
      <c r="D2453" t="n">
        <v>48980</v>
      </c>
      <c r="E2453" t="n">
        <v>34985</v>
      </c>
      <c r="F2453" t="n">
        <v>392</v>
      </c>
      <c r="G2453" t="n">
        <v>19</v>
      </c>
      <c r="H2453" t="n">
        <v>3</v>
      </c>
      <c r="I2453" t="n">
        <v>0</v>
      </c>
      <c r="J2453" t="n">
        <v>0</v>
      </c>
    </row>
    <row r="2454">
      <c r="A2454" s="5" t="n">
        <v>46286</v>
      </c>
      <c r="B2454" t="inlineStr">
        <is>
          <t>meta_prospecting_founder</t>
        </is>
      </c>
      <c r="C2454" t="inlineStr">
        <is>
          <t>meta</t>
        </is>
      </c>
      <c r="D2454" t="n">
        <v>41648</v>
      </c>
      <c r="E2454" t="n">
        <v>29748</v>
      </c>
      <c r="F2454" t="n">
        <v>340</v>
      </c>
      <c r="G2454" t="n">
        <v>8</v>
      </c>
      <c r="H2454" t="n">
        <v>3</v>
      </c>
      <c r="I2454" t="n">
        <v>2</v>
      </c>
      <c r="J2454" t="n">
        <v>0</v>
      </c>
    </row>
    <row r="2455">
      <c r="A2455" s="5" t="n">
        <v>46286</v>
      </c>
      <c r="B2455" t="inlineStr">
        <is>
          <t>meta_retargeting_webinar</t>
        </is>
      </c>
      <c r="C2455" t="inlineStr">
        <is>
          <t>meta</t>
        </is>
      </c>
      <c r="D2455" t="n">
        <v>9338</v>
      </c>
      <c r="E2455" t="n">
        <v>6670</v>
      </c>
      <c r="F2455" t="n">
        <v>79</v>
      </c>
      <c r="G2455" t="n">
        <v>1</v>
      </c>
      <c r="H2455" t="n">
        <v>0</v>
      </c>
      <c r="I2455" t="n">
        <v>0</v>
      </c>
      <c r="J2455" t="n">
        <v>0</v>
      </c>
    </row>
    <row r="2456">
      <c r="A2456" s="5" t="n">
        <v>46287</v>
      </c>
      <c r="B2456" t="inlineStr">
        <is>
          <t>google_brand_search</t>
        </is>
      </c>
      <c r="C2456" t="inlineStr">
        <is>
          <t>google</t>
        </is>
      </c>
      <c r="D2456" t="n">
        <v>6456</v>
      </c>
      <c r="E2456" t="n">
        <v>1345</v>
      </c>
      <c r="F2456" t="n">
        <v>74</v>
      </c>
      <c r="G2456" t="n">
        <v>5</v>
      </c>
      <c r="H2456" t="n">
        <v>1</v>
      </c>
      <c r="I2456" t="n">
        <v>1</v>
      </c>
      <c r="J2456" t="n">
        <v>0</v>
      </c>
    </row>
    <row r="2457">
      <c r="A2457" s="5" t="n">
        <v>46287</v>
      </c>
      <c r="B2457" t="inlineStr">
        <is>
          <t>google_nonbrand_growth</t>
        </is>
      </c>
      <c r="C2457" t="inlineStr">
        <is>
          <t>google</t>
        </is>
      </c>
      <c r="D2457" t="n">
        <v>18445</v>
      </c>
      <c r="E2457" t="n">
        <v>3842</v>
      </c>
      <c r="F2457" t="n">
        <v>202</v>
      </c>
      <c r="G2457" t="n">
        <v>6</v>
      </c>
      <c r="H2457" t="n">
        <v>0</v>
      </c>
      <c r="I2457" t="n">
        <v>1</v>
      </c>
      <c r="J2457" t="n">
        <v>0</v>
      </c>
    </row>
    <row r="2458">
      <c r="A2458" s="5" t="n">
        <v>46287</v>
      </c>
      <c r="B2458" t="inlineStr">
        <is>
          <t>linkedin_ceo_abm</t>
        </is>
      </c>
      <c r="C2458" t="inlineStr">
        <is>
          <t>linkedin</t>
        </is>
      </c>
      <c r="D2458" t="n">
        <v>26296</v>
      </c>
      <c r="E2458" t="n">
        <v>5056</v>
      </c>
      <c r="F2458" t="n">
        <v>37</v>
      </c>
      <c r="G2458" t="n">
        <v>2</v>
      </c>
      <c r="H2458" t="n">
        <v>0</v>
      </c>
      <c r="I2458" t="n">
        <v>0</v>
      </c>
      <c r="J2458" t="n">
        <v>0</v>
      </c>
    </row>
    <row r="2459">
      <c r="A2459" s="5" t="n">
        <v>46287</v>
      </c>
      <c r="B2459" t="inlineStr">
        <is>
          <t>meta_broad_v17</t>
        </is>
      </c>
      <c r="C2459" t="inlineStr">
        <is>
          <t>meta</t>
        </is>
      </c>
      <c r="D2459" t="n">
        <v>44947</v>
      </c>
      <c r="E2459" t="n">
        <v>32105</v>
      </c>
      <c r="F2459" t="n">
        <v>344</v>
      </c>
      <c r="G2459" t="n">
        <v>19</v>
      </c>
      <c r="H2459" t="n">
        <v>0</v>
      </c>
      <c r="I2459" t="n">
        <v>1</v>
      </c>
      <c r="J2459" t="n">
        <v>0</v>
      </c>
    </row>
    <row r="2460">
      <c r="A2460" s="5" t="n">
        <v>46287</v>
      </c>
      <c r="B2460" t="inlineStr">
        <is>
          <t>meta_prospecting_founder</t>
        </is>
      </c>
      <c r="C2460" t="inlineStr">
        <is>
          <t>meta</t>
        </is>
      </c>
      <c r="D2460" t="n">
        <v>42080</v>
      </c>
      <c r="E2460" t="n">
        <v>30057</v>
      </c>
      <c r="F2460" t="n">
        <v>356</v>
      </c>
      <c r="G2460" t="n">
        <v>15</v>
      </c>
      <c r="H2460" t="n">
        <v>4</v>
      </c>
      <c r="I2460" t="n">
        <v>1</v>
      </c>
      <c r="J2460" t="n">
        <v>0</v>
      </c>
    </row>
    <row r="2461">
      <c r="A2461" s="5" t="n">
        <v>46287</v>
      </c>
      <c r="B2461" t="inlineStr">
        <is>
          <t>meta_retargeting_webinar</t>
        </is>
      </c>
      <c r="C2461" t="inlineStr">
        <is>
          <t>meta</t>
        </is>
      </c>
      <c r="D2461" t="n">
        <v>9791</v>
      </c>
      <c r="E2461" t="n">
        <v>6993</v>
      </c>
      <c r="F2461" t="n">
        <v>87</v>
      </c>
      <c r="G2461" t="n">
        <v>2</v>
      </c>
      <c r="H2461" t="n">
        <v>2</v>
      </c>
      <c r="I2461" t="n">
        <v>0</v>
      </c>
      <c r="J2461" t="n">
        <v>0</v>
      </c>
    </row>
    <row r="2462">
      <c r="A2462" s="5" t="n">
        <v>46288</v>
      </c>
      <c r="B2462" t="inlineStr">
        <is>
          <t>google_brand_search</t>
        </is>
      </c>
      <c r="C2462" t="inlineStr">
        <is>
          <t>google</t>
        </is>
      </c>
      <c r="D2462" t="n">
        <v>7514</v>
      </c>
      <c r="E2462" t="n">
        <v>1565</v>
      </c>
      <c r="F2462" t="n">
        <v>69</v>
      </c>
      <c r="G2462" t="n">
        <v>2</v>
      </c>
      <c r="H2462" t="n">
        <v>1</v>
      </c>
      <c r="I2462" t="n">
        <v>0</v>
      </c>
      <c r="J2462" t="n">
        <v>0</v>
      </c>
    </row>
    <row r="2463">
      <c r="A2463" s="5" t="n">
        <v>46288</v>
      </c>
      <c r="B2463" t="inlineStr">
        <is>
          <t>google_nonbrand_growth</t>
        </is>
      </c>
      <c r="C2463" t="inlineStr">
        <is>
          <t>google</t>
        </is>
      </c>
      <c r="D2463" t="n">
        <v>17332</v>
      </c>
      <c r="E2463" t="n">
        <v>3610</v>
      </c>
      <c r="F2463" t="n">
        <v>182</v>
      </c>
      <c r="G2463" t="n">
        <v>2</v>
      </c>
      <c r="H2463" t="n">
        <v>2</v>
      </c>
      <c r="I2463" t="n">
        <v>1</v>
      </c>
      <c r="J2463" t="n">
        <v>0</v>
      </c>
    </row>
    <row r="2464">
      <c r="A2464" s="5" t="n">
        <v>46288</v>
      </c>
      <c r="B2464" t="inlineStr">
        <is>
          <t>linkedin_ceo_abm</t>
        </is>
      </c>
      <c r="C2464" t="inlineStr">
        <is>
          <t>linkedin</t>
        </is>
      </c>
      <c r="D2464" t="n">
        <v>27413</v>
      </c>
      <c r="E2464" t="n">
        <v>5271</v>
      </c>
      <c r="F2464" t="n">
        <v>37</v>
      </c>
      <c r="G2464" t="n">
        <v>1</v>
      </c>
      <c r="H2464" t="n">
        <v>2</v>
      </c>
      <c r="I2464" t="n">
        <v>0</v>
      </c>
      <c r="J2464" t="n">
        <v>0</v>
      </c>
    </row>
    <row r="2465">
      <c r="A2465" s="5" t="n">
        <v>46288</v>
      </c>
      <c r="B2465" t="inlineStr">
        <is>
          <t>meta_broad_v17</t>
        </is>
      </c>
      <c r="C2465" t="inlineStr">
        <is>
          <t>meta</t>
        </is>
      </c>
      <c r="D2465" t="n">
        <v>45039</v>
      </c>
      <c r="E2465" t="n">
        <v>32170</v>
      </c>
      <c r="F2465" t="n">
        <v>313</v>
      </c>
      <c r="G2465" t="n">
        <v>22</v>
      </c>
      <c r="H2465" t="n">
        <v>2</v>
      </c>
      <c r="I2465" t="n">
        <v>0</v>
      </c>
      <c r="J2465" t="n">
        <v>0</v>
      </c>
    </row>
    <row r="2466">
      <c r="A2466" s="5" t="n">
        <v>46288</v>
      </c>
      <c r="B2466" t="inlineStr">
        <is>
          <t>meta_prospecting_founder</t>
        </is>
      </c>
      <c r="C2466" t="inlineStr">
        <is>
          <t>meta</t>
        </is>
      </c>
      <c r="D2466" t="n">
        <v>42115</v>
      </c>
      <c r="E2466" t="n">
        <v>30082</v>
      </c>
      <c r="F2466" t="n">
        <v>323</v>
      </c>
      <c r="G2466" t="n">
        <v>9</v>
      </c>
      <c r="H2466" t="n">
        <v>2</v>
      </c>
      <c r="I2466" t="n">
        <v>0</v>
      </c>
      <c r="J2466" t="n">
        <v>0</v>
      </c>
    </row>
    <row r="2467">
      <c r="A2467" s="5" t="n">
        <v>46288</v>
      </c>
      <c r="B2467" t="inlineStr">
        <is>
          <t>meta_retargeting_webinar</t>
        </is>
      </c>
      <c r="C2467" t="inlineStr">
        <is>
          <t>meta</t>
        </is>
      </c>
      <c r="D2467" t="n">
        <v>9824</v>
      </c>
      <c r="E2467" t="n">
        <v>7017</v>
      </c>
      <c r="F2467" t="n">
        <v>83</v>
      </c>
      <c r="G2467" t="n">
        <v>4</v>
      </c>
      <c r="H2467" t="n">
        <v>1</v>
      </c>
      <c r="I2467" t="n">
        <v>1</v>
      </c>
      <c r="J2467" t="n">
        <v>0</v>
      </c>
    </row>
    <row r="2468">
      <c r="A2468" s="5" t="n">
        <v>46289</v>
      </c>
      <c r="B2468" t="inlineStr">
        <is>
          <t>google_brand_search</t>
        </is>
      </c>
      <c r="C2468" t="inlineStr">
        <is>
          <t>google</t>
        </is>
      </c>
      <c r="D2468" t="n">
        <v>7321</v>
      </c>
      <c r="E2468" t="n">
        <v>1525</v>
      </c>
      <c r="F2468" t="n">
        <v>76</v>
      </c>
      <c r="G2468" t="n">
        <v>7</v>
      </c>
      <c r="H2468" t="n">
        <v>0</v>
      </c>
      <c r="I2468" t="n">
        <v>1</v>
      </c>
      <c r="J2468" t="n">
        <v>0</v>
      </c>
    </row>
    <row r="2469">
      <c r="A2469" s="5" t="n">
        <v>46289</v>
      </c>
      <c r="B2469" t="inlineStr">
        <is>
          <t>google_nonbrand_growth</t>
        </is>
      </c>
      <c r="C2469" t="inlineStr">
        <is>
          <t>google</t>
        </is>
      </c>
      <c r="D2469" t="n">
        <v>18252</v>
      </c>
      <c r="E2469" t="n">
        <v>3802</v>
      </c>
      <c r="F2469" t="n">
        <v>189</v>
      </c>
      <c r="G2469" t="n">
        <v>4</v>
      </c>
      <c r="H2469" t="n">
        <v>2</v>
      </c>
      <c r="I2469" t="n">
        <v>0</v>
      </c>
      <c r="J2469" t="n">
        <v>0</v>
      </c>
    </row>
    <row r="2470">
      <c r="A2470" s="5" t="n">
        <v>46289</v>
      </c>
      <c r="B2470" t="inlineStr">
        <is>
          <t>linkedin_ceo_abm</t>
        </is>
      </c>
      <c r="C2470" t="inlineStr">
        <is>
          <t>linkedin</t>
        </is>
      </c>
      <c r="D2470" t="n">
        <v>26420</v>
      </c>
      <c r="E2470" t="n">
        <v>5080</v>
      </c>
      <c r="F2470" t="n">
        <v>36</v>
      </c>
      <c r="G2470" t="n">
        <v>5</v>
      </c>
      <c r="H2470" t="n">
        <v>0</v>
      </c>
      <c r="I2470" t="n">
        <v>1</v>
      </c>
      <c r="J2470" t="n">
        <v>0</v>
      </c>
    </row>
    <row r="2471">
      <c r="A2471" s="5" t="n">
        <v>46289</v>
      </c>
      <c r="B2471" t="inlineStr">
        <is>
          <t>meta_broad_v17</t>
        </is>
      </c>
      <c r="C2471" t="inlineStr">
        <is>
          <t>meta</t>
        </is>
      </c>
      <c r="D2471" t="n">
        <v>48103</v>
      </c>
      <c r="E2471" t="n">
        <v>34359</v>
      </c>
      <c r="F2471" t="n">
        <v>434</v>
      </c>
      <c r="G2471" t="n">
        <v>15</v>
      </c>
      <c r="H2471" t="n">
        <v>2</v>
      </c>
      <c r="I2471" t="n">
        <v>0</v>
      </c>
      <c r="J2471" t="n">
        <v>1</v>
      </c>
    </row>
    <row r="2472">
      <c r="A2472" s="5" t="n">
        <v>46289</v>
      </c>
      <c r="B2472" t="inlineStr">
        <is>
          <t>meta_prospecting_founder</t>
        </is>
      </c>
      <c r="C2472" t="inlineStr">
        <is>
          <t>meta</t>
        </is>
      </c>
      <c r="D2472" t="n">
        <v>34867</v>
      </c>
      <c r="E2472" t="n">
        <v>24905</v>
      </c>
      <c r="F2472" t="n">
        <v>273</v>
      </c>
      <c r="G2472" t="n">
        <v>11</v>
      </c>
      <c r="H2472" t="n">
        <v>3</v>
      </c>
      <c r="I2472" t="n">
        <v>1</v>
      </c>
      <c r="J2472" t="n">
        <v>0</v>
      </c>
    </row>
    <row r="2473">
      <c r="A2473" s="5" t="n">
        <v>46289</v>
      </c>
      <c r="B2473" t="inlineStr">
        <is>
          <t>meta_retargeting_webinar</t>
        </is>
      </c>
      <c r="C2473" t="inlineStr">
        <is>
          <t>meta</t>
        </is>
      </c>
      <c r="D2473" t="n">
        <v>8881</v>
      </c>
      <c r="E2473" t="n">
        <v>6343</v>
      </c>
      <c r="F2473" t="n">
        <v>61</v>
      </c>
      <c r="G2473" t="n">
        <v>2</v>
      </c>
      <c r="H2473" t="n">
        <v>0</v>
      </c>
      <c r="I2473" t="n">
        <v>0</v>
      </c>
      <c r="J2473" t="n">
        <v>0</v>
      </c>
    </row>
    <row r="2474">
      <c r="A2474" s="5" t="n">
        <v>46290</v>
      </c>
      <c r="B2474" t="inlineStr">
        <is>
          <t>google_brand_search</t>
        </is>
      </c>
      <c r="C2474" t="inlineStr">
        <is>
          <t>google</t>
        </is>
      </c>
      <c r="D2474" t="n">
        <v>6998</v>
      </c>
      <c r="E2474" t="n">
        <v>1457</v>
      </c>
      <c r="F2474" t="n">
        <v>81</v>
      </c>
      <c r="G2474" t="n">
        <v>2</v>
      </c>
      <c r="H2474" t="n">
        <v>3</v>
      </c>
      <c r="I2474" t="n">
        <v>0</v>
      </c>
      <c r="J2474" t="n">
        <v>0</v>
      </c>
    </row>
    <row r="2475">
      <c r="A2475" s="5" t="n">
        <v>46290</v>
      </c>
      <c r="B2475" t="inlineStr">
        <is>
          <t>google_nonbrand_growth</t>
        </is>
      </c>
      <c r="C2475" t="inlineStr">
        <is>
          <t>google</t>
        </is>
      </c>
      <c r="D2475" t="n">
        <v>19871</v>
      </c>
      <c r="E2475" t="n">
        <v>4139</v>
      </c>
      <c r="F2475" t="n">
        <v>207</v>
      </c>
      <c r="G2475" t="n">
        <v>1</v>
      </c>
      <c r="H2475" t="n">
        <v>0</v>
      </c>
      <c r="I2475" t="n">
        <v>1</v>
      </c>
      <c r="J2475" t="n">
        <v>0</v>
      </c>
    </row>
    <row r="2476">
      <c r="A2476" s="5" t="n">
        <v>46290</v>
      </c>
      <c r="B2476" t="inlineStr">
        <is>
          <t>linkedin_ceo_abm</t>
        </is>
      </c>
      <c r="C2476" t="inlineStr">
        <is>
          <t>linkedin</t>
        </is>
      </c>
      <c r="D2476" t="n">
        <v>23234</v>
      </c>
      <c r="E2476" t="n">
        <v>4468</v>
      </c>
      <c r="F2476" t="n">
        <v>30</v>
      </c>
      <c r="G2476" t="n">
        <v>3</v>
      </c>
      <c r="H2476" t="n">
        <v>2</v>
      </c>
      <c r="I2476" t="n">
        <v>0</v>
      </c>
      <c r="J2476" t="n">
        <v>0</v>
      </c>
    </row>
    <row r="2477">
      <c r="A2477" s="5" t="n">
        <v>46290</v>
      </c>
      <c r="B2477" t="inlineStr">
        <is>
          <t>meta_broad_v17</t>
        </is>
      </c>
      <c r="C2477" t="inlineStr">
        <is>
          <t>meta</t>
        </is>
      </c>
      <c r="D2477" t="n">
        <v>43955</v>
      </c>
      <c r="E2477" t="n">
        <v>31396</v>
      </c>
      <c r="F2477" t="n">
        <v>323</v>
      </c>
      <c r="G2477" t="n">
        <v>11</v>
      </c>
      <c r="H2477" t="n">
        <v>1</v>
      </c>
      <c r="I2477" t="n">
        <v>0</v>
      </c>
      <c r="J2477" t="n">
        <v>0</v>
      </c>
    </row>
    <row r="2478">
      <c r="A2478" s="5" t="n">
        <v>46290</v>
      </c>
      <c r="B2478" t="inlineStr">
        <is>
          <t>meta_prospecting_founder</t>
        </is>
      </c>
      <c r="C2478" t="inlineStr">
        <is>
          <t>meta</t>
        </is>
      </c>
      <c r="D2478" t="n">
        <v>40533</v>
      </c>
      <c r="E2478" t="n">
        <v>28952</v>
      </c>
      <c r="F2478" t="n">
        <v>304</v>
      </c>
      <c r="G2478" t="n">
        <v>6</v>
      </c>
      <c r="H2478" t="n">
        <v>0</v>
      </c>
      <c r="I2478" t="n">
        <v>0</v>
      </c>
      <c r="J2478" t="n">
        <v>0</v>
      </c>
    </row>
    <row r="2479">
      <c r="A2479" s="5" t="n">
        <v>46290</v>
      </c>
      <c r="B2479" t="inlineStr">
        <is>
          <t>meta_retargeting_webinar</t>
        </is>
      </c>
      <c r="C2479" t="inlineStr">
        <is>
          <t>meta</t>
        </is>
      </c>
      <c r="D2479" t="n">
        <v>8808</v>
      </c>
      <c r="E2479" t="n">
        <v>6291</v>
      </c>
      <c r="F2479" t="n">
        <v>79</v>
      </c>
      <c r="G2479" t="n">
        <v>3</v>
      </c>
      <c r="H2479" t="n">
        <v>1</v>
      </c>
      <c r="I2479" t="n">
        <v>0</v>
      </c>
      <c r="J2479" t="n">
        <v>0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J2479"/>
  <pageMargins left="0.75" right="0.75" top="1" bottom="1" header="0.5" footer="0.5"/>
  <pageSetup orientation="landscape" fitToHeight="0" fitToWidth="1"/>
  <headerFooter>
    <oddHeader/>
    <oddFooter>&amp;LGrowthOps OS · synthetic data&amp;R&amp;A · page 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A0A09C"/>
    <outlinePr summaryBelow="1" summaryRight="1"/>
    <pageSetUpPr fitToPage="1"/>
  </sheetPr>
  <dimension ref="A1:S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  <col width="13" customWidth="1" min="11" max="11"/>
    <col width="12" customWidth="1" min="12" max="12"/>
    <col width="14" customWidth="1" min="13" max="13"/>
    <col width="17" customWidth="1" min="14" max="14"/>
    <col width="13" customWidth="1" min="15" max="15"/>
    <col width="17" customWidth="1" min="16" max="16"/>
    <col width="12" customWidth="1" min="17" max="17"/>
    <col width="20" customWidth="1" min="18" max="18"/>
    <col width="16" customWidth="1" min="19" max="19"/>
  </cols>
  <sheetData>
    <row r="1">
      <c r="A1" s="35" t="inlineStr">
        <is>
          <t>email_id</t>
        </is>
      </c>
      <c r="B1" s="35" t="inlineStr">
        <is>
          <t>sent_date</t>
        </is>
      </c>
      <c r="C1" s="35" t="inlineStr">
        <is>
          <t>email_type</t>
        </is>
      </c>
      <c r="D1" s="35" t="inlineStr">
        <is>
          <t>subject</t>
        </is>
      </c>
      <c r="E1" s="35" t="inlineStr">
        <is>
          <t>sending_domain</t>
        </is>
      </c>
      <c r="F1" s="35" t="inlineStr">
        <is>
          <t>sends</t>
        </is>
      </c>
      <c r="G1" s="35" t="inlineStr">
        <is>
          <t>delivered</t>
        </is>
      </c>
      <c r="H1" s="35" t="inlineStr">
        <is>
          <t>bounces</t>
        </is>
      </c>
      <c r="I1" s="35" t="inlineStr">
        <is>
          <t>opens</t>
        </is>
      </c>
      <c r="J1" s="35" t="inlineStr">
        <is>
          <t>machine_opens</t>
        </is>
      </c>
      <c r="K1" s="35" t="inlineStr">
        <is>
          <t>human_opens</t>
        </is>
      </c>
      <c r="L1" s="35" t="inlineStr">
        <is>
          <t>clicks</t>
        </is>
      </c>
      <c r="M1" s="35" t="inlineStr">
        <is>
          <t>unsubscribes</t>
        </is>
      </c>
      <c r="N1" s="35" t="inlineStr">
        <is>
          <t>spam_complaints</t>
        </is>
      </c>
      <c r="O1" s="35" t="inlineStr">
        <is>
          <t>bounce_rate</t>
        </is>
      </c>
      <c r="P1" s="35" t="inlineStr">
        <is>
          <t>human_open_rate</t>
        </is>
      </c>
      <c r="Q1" s="35" t="inlineStr">
        <is>
          <t>click_rate</t>
        </is>
      </c>
      <c r="R1" s="35" t="inlineStr">
        <is>
          <t>click_to_open_rate</t>
        </is>
      </c>
      <c r="S1" s="35" t="inlineStr">
        <is>
          <t>complaint_rate</t>
        </is>
      </c>
    </row>
    <row r="2">
      <c r="A2" s="2" t="inlineStr">
        <is>
          <t>em-20250701-newsletter</t>
        </is>
      </c>
      <c r="B2" s="13" t="n">
        <v>45839</v>
      </c>
      <c r="C2" s="2" t="inlineStr">
        <is>
          <t>newsletter</t>
        </is>
      </c>
      <c r="D2" s="2" t="inlineStr">
        <is>
          <t>The pricing conversation most founders avoid (issue 1)</t>
        </is>
      </c>
      <c r="E2" s="2" t="inlineStr">
        <is>
          <t>mail.scalelab.example</t>
        </is>
      </c>
      <c r="F2" s="2" t="n">
        <v>12000</v>
      </c>
      <c r="G2" s="2" t="n">
        <v>11941</v>
      </c>
      <c r="H2" s="2" t="n">
        <v>59</v>
      </c>
      <c r="I2" s="2" t="n">
        <v>6013</v>
      </c>
      <c r="J2" s="2" t="n">
        <v>3051</v>
      </c>
      <c r="K2" s="2" t="n">
        <v>2962</v>
      </c>
      <c r="L2" s="2" t="n">
        <v>253</v>
      </c>
      <c r="M2" s="2" t="n">
        <v>20</v>
      </c>
      <c r="N2" s="2" t="n">
        <v>2</v>
      </c>
      <c r="O2" s="2" t="n">
        <v>0.0049</v>
      </c>
      <c r="P2" s="2" t="n">
        <v>0.2481</v>
      </c>
      <c r="Q2" s="2" t="n">
        <v>0.0212</v>
      </c>
      <c r="R2" s="2" t="n">
        <v>0.0854</v>
      </c>
      <c r="S2" s="2" t="n">
        <v>0.0002</v>
      </c>
    </row>
    <row r="3">
      <c r="A3" t="inlineStr">
        <is>
          <t>em-20250703-nurture</t>
        </is>
      </c>
      <c r="B3" s="5" t="n">
        <v>45841</v>
      </c>
      <c r="C3" t="inlineStr">
        <is>
          <t>nurture</t>
        </is>
      </c>
      <c r="D3" t="inlineStr">
        <is>
          <t>Welcome sequence (weekly batch)</t>
        </is>
      </c>
      <c r="E3" t="inlineStr">
        <is>
          <t>mail.scalelab.example</t>
        </is>
      </c>
      <c r="F3" t="n">
        <v>207</v>
      </c>
      <c r="G3" t="n">
        <v>206</v>
      </c>
      <c r="H3" t="n">
        <v>1</v>
      </c>
      <c r="I3" t="n">
        <v>135</v>
      </c>
      <c r="J3" t="n">
        <v>59</v>
      </c>
      <c r="K3" t="n">
        <v>76</v>
      </c>
      <c r="L3" t="n">
        <v>10</v>
      </c>
      <c r="M3" t="n">
        <v>0</v>
      </c>
      <c r="N3" t="n">
        <v>0</v>
      </c>
      <c r="O3" t="n">
        <v>0.0048</v>
      </c>
      <c r="P3" t="n">
        <v>0.3689</v>
      </c>
      <c r="Q3" t="n">
        <v>0.0485</v>
      </c>
      <c r="R3" t="n">
        <v>0.1316</v>
      </c>
      <c r="S3" t="n">
        <v>0</v>
      </c>
    </row>
    <row r="4">
      <c r="A4" t="inlineStr">
        <is>
          <t>em-20250707-webinar_invite</t>
        </is>
      </c>
      <c r="B4" s="5" t="n">
        <v>45845</v>
      </c>
      <c r="C4" t="inlineStr">
        <is>
          <t>webinar_invite</t>
        </is>
      </c>
      <c r="D4" t="inlineStr">
        <is>
          <t>Live this Thursday: the Growth OS workshop (July)</t>
        </is>
      </c>
      <c r="E4" t="inlineStr">
        <is>
          <t>mail.scalelab.example</t>
        </is>
      </c>
      <c r="F4" t="n">
        <v>12128</v>
      </c>
      <c r="G4" t="n">
        <v>12066</v>
      </c>
      <c r="H4" t="n">
        <v>62</v>
      </c>
      <c r="I4" t="n">
        <v>6764</v>
      </c>
      <c r="J4" t="n">
        <v>3618</v>
      </c>
      <c r="K4" t="n">
        <v>3146</v>
      </c>
      <c r="L4" t="n">
        <v>314</v>
      </c>
      <c r="M4" t="n">
        <v>18</v>
      </c>
      <c r="N4" t="n">
        <v>2</v>
      </c>
      <c r="O4" t="n">
        <v>0.0051</v>
      </c>
      <c r="P4" t="n">
        <v>0.2607</v>
      </c>
      <c r="Q4" t="n">
        <v>0.026</v>
      </c>
      <c r="R4" t="n">
        <v>0.0998</v>
      </c>
      <c r="S4" t="n">
        <v>0.0002</v>
      </c>
    </row>
    <row r="5">
      <c r="A5" t="inlineStr">
        <is>
          <t>em-20250708-newsletter</t>
        </is>
      </c>
      <c r="B5" s="5" t="n">
        <v>45846</v>
      </c>
      <c r="C5" t="inlineStr">
        <is>
          <t>newsletter</t>
        </is>
      </c>
      <c r="D5" t="inlineStr">
        <is>
          <t>The discovery call, line by line (issue 4)</t>
        </is>
      </c>
      <c r="E5" t="inlineStr">
        <is>
          <t>mail.scalelab.example</t>
        </is>
      </c>
      <c r="F5" t="n">
        <v>12126</v>
      </c>
      <c r="G5" t="n">
        <v>12067</v>
      </c>
      <c r="H5" t="n">
        <v>59</v>
      </c>
      <c r="I5" t="n">
        <v>6871</v>
      </c>
      <c r="J5" t="n">
        <v>3408</v>
      </c>
      <c r="K5" t="n">
        <v>3463</v>
      </c>
      <c r="L5" t="n">
        <v>244</v>
      </c>
      <c r="M5" t="n">
        <v>21</v>
      </c>
      <c r="N5" t="n">
        <v>2</v>
      </c>
      <c r="O5" t="n">
        <v>0.0049</v>
      </c>
      <c r="P5" t="n">
        <v>0.287</v>
      </c>
      <c r="Q5" t="n">
        <v>0.0202</v>
      </c>
      <c r="R5" t="n">
        <v>0.07049999999999999</v>
      </c>
      <c r="S5" t="n">
        <v>0.0002</v>
      </c>
    </row>
    <row r="6">
      <c r="A6" t="inlineStr">
        <is>
          <t>em-20250710-nurture</t>
        </is>
      </c>
      <c r="B6" s="5" t="n">
        <v>45848</v>
      </c>
      <c r="C6" t="inlineStr">
        <is>
          <t>nurture</t>
        </is>
      </c>
      <c r="D6" t="inlineStr">
        <is>
          <t>Welcome sequence (weekly batch)</t>
        </is>
      </c>
      <c r="E6" t="inlineStr">
        <is>
          <t>mail.scalelab.example</t>
        </is>
      </c>
      <c r="F6" t="n">
        <v>645</v>
      </c>
      <c r="G6" t="n">
        <v>642</v>
      </c>
      <c r="H6" t="n">
        <v>3</v>
      </c>
      <c r="I6" t="n">
        <v>413</v>
      </c>
      <c r="J6" t="n">
        <v>181</v>
      </c>
      <c r="K6" t="n">
        <v>232</v>
      </c>
      <c r="L6" t="n">
        <v>32</v>
      </c>
      <c r="M6" t="n">
        <v>1</v>
      </c>
      <c r="N6" t="n">
        <v>0</v>
      </c>
      <c r="O6" t="n">
        <v>0.0047</v>
      </c>
      <c r="P6" t="n">
        <v>0.3614</v>
      </c>
      <c r="Q6" t="n">
        <v>0.0498</v>
      </c>
      <c r="R6" t="n">
        <v>0.1379</v>
      </c>
      <c r="S6" t="n">
        <v>0</v>
      </c>
    </row>
    <row r="7">
      <c r="A7" t="inlineStr">
        <is>
          <t>em-20250715-newsletter</t>
        </is>
      </c>
      <c r="B7" s="5" t="n">
        <v>45853</v>
      </c>
      <c r="C7" t="inlineStr">
        <is>
          <t>newsletter</t>
        </is>
      </c>
      <c r="D7" t="inlineStr">
        <is>
          <t>A calmer launch calendar (issue 6)</t>
        </is>
      </c>
      <c r="E7" t="inlineStr">
        <is>
          <t>mail.scalelab.example</t>
        </is>
      </c>
      <c r="F7" t="n">
        <v>12299</v>
      </c>
      <c r="G7" t="n">
        <v>12237</v>
      </c>
      <c r="H7" t="n">
        <v>62</v>
      </c>
      <c r="I7" t="n">
        <v>7347</v>
      </c>
      <c r="J7" t="n">
        <v>3818</v>
      </c>
      <c r="K7" t="n">
        <v>3529</v>
      </c>
      <c r="L7" t="n">
        <v>257</v>
      </c>
      <c r="M7" t="n">
        <v>20</v>
      </c>
      <c r="N7" t="n">
        <v>2</v>
      </c>
      <c r="O7" t="n">
        <v>0.005</v>
      </c>
      <c r="P7" t="n">
        <v>0.2884</v>
      </c>
      <c r="Q7" t="n">
        <v>0.021</v>
      </c>
      <c r="R7" t="n">
        <v>0.0728</v>
      </c>
      <c r="S7" t="n">
        <v>0.0002</v>
      </c>
    </row>
    <row r="8">
      <c r="A8" t="inlineStr">
        <is>
          <t>em-20250717-nurture</t>
        </is>
      </c>
      <c r="B8" s="5" t="n">
        <v>45855</v>
      </c>
      <c r="C8" t="inlineStr">
        <is>
          <t>nurture</t>
        </is>
      </c>
      <c r="D8" t="inlineStr">
        <is>
          <t>Welcome sequence (weekly batch)</t>
        </is>
      </c>
      <c r="E8" t="inlineStr">
        <is>
          <t>mail.scalelab.example</t>
        </is>
      </c>
      <c r="F8" t="n">
        <v>765</v>
      </c>
      <c r="G8" t="n">
        <v>761</v>
      </c>
      <c r="H8" t="n">
        <v>4</v>
      </c>
      <c r="I8" t="n">
        <v>489</v>
      </c>
      <c r="J8" t="n">
        <v>192</v>
      </c>
      <c r="K8" t="n">
        <v>297</v>
      </c>
      <c r="L8" t="n">
        <v>45</v>
      </c>
      <c r="M8" t="n">
        <v>2</v>
      </c>
      <c r="N8" t="n">
        <v>0</v>
      </c>
      <c r="O8" t="n">
        <v>0.0052</v>
      </c>
      <c r="P8" t="n">
        <v>0.3903</v>
      </c>
      <c r="Q8" t="n">
        <v>0.0591</v>
      </c>
      <c r="R8" t="n">
        <v>0.1515</v>
      </c>
      <c r="S8" t="n">
        <v>0</v>
      </c>
    </row>
    <row r="9">
      <c r="A9" t="inlineStr">
        <is>
          <t>em-20250722-newsletter</t>
        </is>
      </c>
      <c r="B9" s="5" t="n">
        <v>45860</v>
      </c>
      <c r="C9" t="inlineStr">
        <is>
          <t>newsletter</t>
        </is>
      </c>
      <c r="D9" t="inlineStr">
        <is>
          <t>Three numbers to review every Monday (issue 2)</t>
        </is>
      </c>
      <c r="E9" t="inlineStr">
        <is>
          <t>mail.scalelab.example</t>
        </is>
      </c>
      <c r="F9" t="n">
        <v>12464</v>
      </c>
      <c r="G9" t="n">
        <v>12401</v>
      </c>
      <c r="H9" t="n">
        <v>63</v>
      </c>
      <c r="I9" t="n">
        <v>7517</v>
      </c>
      <c r="J9" t="n">
        <v>3763</v>
      </c>
      <c r="K9" t="n">
        <v>3754</v>
      </c>
      <c r="L9" t="n">
        <v>241</v>
      </c>
      <c r="M9" t="n">
        <v>20</v>
      </c>
      <c r="N9" t="n">
        <v>2</v>
      </c>
      <c r="O9" t="n">
        <v>0.0051</v>
      </c>
      <c r="P9" t="n">
        <v>0.3027</v>
      </c>
      <c r="Q9" t="n">
        <v>0.0194</v>
      </c>
      <c r="R9" t="n">
        <v>0.06419999999999999</v>
      </c>
      <c r="S9" t="n">
        <v>0.0002</v>
      </c>
    </row>
    <row r="10">
      <c r="A10" t="inlineStr">
        <is>
          <t>em-20250724-nurture</t>
        </is>
      </c>
      <c r="B10" s="5" t="n">
        <v>45862</v>
      </c>
      <c r="C10" t="inlineStr">
        <is>
          <t>nurture</t>
        </is>
      </c>
      <c r="D10" t="inlineStr">
        <is>
          <t>Welcome sequence (weekly batch)</t>
        </is>
      </c>
      <c r="E10" t="inlineStr">
        <is>
          <t>mail.scalelab.example</t>
        </is>
      </c>
      <c r="F10" t="n">
        <v>687</v>
      </c>
      <c r="G10" t="n">
        <v>683</v>
      </c>
      <c r="H10" t="n">
        <v>4</v>
      </c>
      <c r="I10" t="n">
        <v>437</v>
      </c>
      <c r="J10" t="n">
        <v>188</v>
      </c>
      <c r="K10" t="n">
        <v>249</v>
      </c>
      <c r="L10" t="n">
        <v>35</v>
      </c>
      <c r="M10" t="n">
        <v>2</v>
      </c>
      <c r="N10" t="n">
        <v>0</v>
      </c>
      <c r="O10" t="n">
        <v>0.0058</v>
      </c>
      <c r="P10" t="n">
        <v>0.3646</v>
      </c>
      <c r="Q10" t="n">
        <v>0.0512</v>
      </c>
      <c r="R10" t="n">
        <v>0.1406</v>
      </c>
      <c r="S10" t="n">
        <v>0</v>
      </c>
    </row>
    <row r="11">
      <c r="A11" t="inlineStr">
        <is>
          <t>em-20250729-newsletter</t>
        </is>
      </c>
      <c r="B11" s="5" t="n">
        <v>45867</v>
      </c>
      <c r="C11" t="inlineStr">
        <is>
          <t>newsletter</t>
        </is>
      </c>
      <c r="D11" t="inlineStr">
        <is>
          <t>The discovery call, line by line (issue 4)</t>
        </is>
      </c>
      <c r="E11" t="inlineStr">
        <is>
          <t>mail.scalelab.example</t>
        </is>
      </c>
      <c r="F11" t="n">
        <v>12622</v>
      </c>
      <c r="G11" t="n">
        <v>12562</v>
      </c>
      <c r="H11" t="n">
        <v>60</v>
      </c>
      <c r="I11" t="n">
        <v>7001</v>
      </c>
      <c r="J11" t="n">
        <v>3888</v>
      </c>
      <c r="K11" t="n">
        <v>3113</v>
      </c>
      <c r="L11" t="n">
        <v>287</v>
      </c>
      <c r="M11" t="n">
        <v>23</v>
      </c>
      <c r="N11" t="n">
        <v>2</v>
      </c>
      <c r="O11" t="n">
        <v>0.0048</v>
      </c>
      <c r="P11" t="n">
        <v>0.2478</v>
      </c>
      <c r="Q11" t="n">
        <v>0.0228</v>
      </c>
      <c r="R11" t="n">
        <v>0.0922</v>
      </c>
      <c r="S11" t="n">
        <v>0.0002</v>
      </c>
    </row>
    <row r="12">
      <c r="A12" t="inlineStr">
        <is>
          <t>em-20250731-nurture</t>
        </is>
      </c>
      <c r="B12" s="5" t="n">
        <v>45869</v>
      </c>
      <c r="C12" t="inlineStr">
        <is>
          <t>nurture</t>
        </is>
      </c>
      <c r="D12" t="inlineStr">
        <is>
          <t>Welcome sequence (weekly batch)</t>
        </is>
      </c>
      <c r="E12" t="inlineStr">
        <is>
          <t>mail.scalelab.example</t>
        </is>
      </c>
      <c r="F12" t="n">
        <v>651</v>
      </c>
      <c r="G12" t="n">
        <v>648</v>
      </c>
      <c r="H12" t="n">
        <v>3</v>
      </c>
      <c r="I12" t="n">
        <v>415</v>
      </c>
      <c r="J12" t="n">
        <v>184</v>
      </c>
      <c r="K12" t="n">
        <v>231</v>
      </c>
      <c r="L12" t="n">
        <v>33</v>
      </c>
      <c r="M12" t="n">
        <v>1</v>
      </c>
      <c r="N12" t="n">
        <v>0</v>
      </c>
      <c r="O12" t="n">
        <v>0.0046</v>
      </c>
      <c r="P12" t="n">
        <v>0.3565</v>
      </c>
      <c r="Q12" t="n">
        <v>0.0509</v>
      </c>
      <c r="R12" t="n">
        <v>0.1429</v>
      </c>
      <c r="S12" t="n">
        <v>0</v>
      </c>
    </row>
    <row r="13">
      <c r="A13" t="inlineStr">
        <is>
          <t>em-20250805-newsletter</t>
        </is>
      </c>
      <c r="B13" s="5" t="n">
        <v>45874</v>
      </c>
      <c r="C13" t="inlineStr">
        <is>
          <t>newsletter</t>
        </is>
      </c>
      <c r="D13" t="inlineStr">
        <is>
          <t>A calmer launch calendar (issue 6)</t>
        </is>
      </c>
      <c r="E13" t="inlineStr">
        <is>
          <t>mail.scalelab.example</t>
        </is>
      </c>
      <c r="F13" t="n">
        <v>12757</v>
      </c>
      <c r="G13" t="n">
        <v>12696</v>
      </c>
      <c r="H13" t="n">
        <v>61</v>
      </c>
      <c r="I13" t="n">
        <v>7064</v>
      </c>
      <c r="J13" t="n">
        <v>3799</v>
      </c>
      <c r="K13" t="n">
        <v>3265</v>
      </c>
      <c r="L13" t="n">
        <v>250</v>
      </c>
      <c r="M13" t="n">
        <v>25</v>
      </c>
      <c r="N13" t="n">
        <v>2</v>
      </c>
      <c r="O13" t="n">
        <v>0.0048</v>
      </c>
      <c r="P13" t="n">
        <v>0.2572</v>
      </c>
      <c r="Q13" t="n">
        <v>0.0197</v>
      </c>
      <c r="R13" t="n">
        <v>0.0766</v>
      </c>
      <c r="S13" t="n">
        <v>0.0002</v>
      </c>
    </row>
    <row r="14">
      <c r="A14" t="inlineStr">
        <is>
          <t>em-20250807-nurture</t>
        </is>
      </c>
      <c r="B14" s="5" t="n">
        <v>45876</v>
      </c>
      <c r="C14" t="inlineStr">
        <is>
          <t>nurture</t>
        </is>
      </c>
      <c r="D14" t="inlineStr">
        <is>
          <t>Welcome sequence (weekly batch)</t>
        </is>
      </c>
      <c r="E14" t="inlineStr">
        <is>
          <t>mail.scalelab.example</t>
        </is>
      </c>
      <c r="F14" t="n">
        <v>615</v>
      </c>
      <c r="G14" t="n">
        <v>612</v>
      </c>
      <c r="H14" t="n">
        <v>3</v>
      </c>
      <c r="I14" t="n">
        <v>410</v>
      </c>
      <c r="J14" t="n">
        <v>191</v>
      </c>
      <c r="K14" t="n">
        <v>219</v>
      </c>
      <c r="L14" t="n">
        <v>32</v>
      </c>
      <c r="M14" t="n">
        <v>1</v>
      </c>
      <c r="N14" t="n">
        <v>0</v>
      </c>
      <c r="O14" t="n">
        <v>0.0049</v>
      </c>
      <c r="P14" t="n">
        <v>0.3578</v>
      </c>
      <c r="Q14" t="n">
        <v>0.0523</v>
      </c>
      <c r="R14" t="n">
        <v>0.1461</v>
      </c>
      <c r="S14" t="n">
        <v>0</v>
      </c>
    </row>
    <row r="15">
      <c r="A15" t="inlineStr">
        <is>
          <t>em-20250811-webinar_invite</t>
        </is>
      </c>
      <c r="B15" s="5" t="n">
        <v>45880</v>
      </c>
      <c r="C15" t="inlineStr">
        <is>
          <t>webinar_invite</t>
        </is>
      </c>
      <c r="D15" t="inlineStr">
        <is>
          <t>Live this Thursday: the Growth OS workshop (August)</t>
        </is>
      </c>
      <c r="E15" t="inlineStr">
        <is>
          <t>mail.scalelab.example</t>
        </is>
      </c>
      <c r="F15" t="n">
        <v>12893</v>
      </c>
      <c r="G15" t="n">
        <v>12818</v>
      </c>
      <c r="H15" t="n">
        <v>75</v>
      </c>
      <c r="I15" t="n">
        <v>7189</v>
      </c>
      <c r="J15" t="n">
        <v>4085</v>
      </c>
      <c r="K15" t="n">
        <v>3104</v>
      </c>
      <c r="L15" t="n">
        <v>334</v>
      </c>
      <c r="M15" t="n">
        <v>19</v>
      </c>
      <c r="N15" t="n">
        <v>2</v>
      </c>
      <c r="O15" t="n">
        <v>0.0058</v>
      </c>
      <c r="P15" t="n">
        <v>0.2422</v>
      </c>
      <c r="Q15" t="n">
        <v>0.0261</v>
      </c>
      <c r="R15" t="n">
        <v>0.1076</v>
      </c>
      <c r="S15" t="n">
        <v>0.0002</v>
      </c>
    </row>
    <row r="16">
      <c r="A16" t="inlineStr">
        <is>
          <t>em-20250812-newsletter</t>
        </is>
      </c>
      <c r="B16" s="5" t="n">
        <v>45881</v>
      </c>
      <c r="C16" t="inlineStr">
        <is>
          <t>newsletter</t>
        </is>
      </c>
      <c r="D16" t="inlineStr">
        <is>
          <t>How we would hire your first operator (issue 3)</t>
        </is>
      </c>
      <c r="E16" t="inlineStr">
        <is>
          <t>mail.scalelab.example</t>
        </is>
      </c>
      <c r="F16" t="n">
        <v>12903</v>
      </c>
      <c r="G16" t="n">
        <v>12839</v>
      </c>
      <c r="H16" t="n">
        <v>64</v>
      </c>
      <c r="I16" t="n">
        <v>7614</v>
      </c>
      <c r="J16" t="n">
        <v>3989</v>
      </c>
      <c r="K16" t="n">
        <v>3625</v>
      </c>
      <c r="L16" t="n">
        <v>278</v>
      </c>
      <c r="M16" t="n">
        <v>21</v>
      </c>
      <c r="N16" t="n">
        <v>2</v>
      </c>
      <c r="O16" t="n">
        <v>0.005</v>
      </c>
      <c r="P16" t="n">
        <v>0.2823</v>
      </c>
      <c r="Q16" t="n">
        <v>0.0217</v>
      </c>
      <c r="R16" t="n">
        <v>0.0767</v>
      </c>
      <c r="S16" t="n">
        <v>0.0002</v>
      </c>
    </row>
    <row r="17">
      <c r="A17" t="inlineStr">
        <is>
          <t>em-20250814-nurture</t>
        </is>
      </c>
      <c r="B17" s="5" t="n">
        <v>45883</v>
      </c>
      <c r="C17" t="inlineStr">
        <is>
          <t>nurture</t>
        </is>
      </c>
      <c r="D17" t="inlineStr">
        <is>
          <t>Welcome sequence (weekly batch)</t>
        </is>
      </c>
      <c r="E17" t="inlineStr">
        <is>
          <t>mail.scalelab.example</t>
        </is>
      </c>
      <c r="F17" t="n">
        <v>666</v>
      </c>
      <c r="G17" t="n">
        <v>663</v>
      </c>
      <c r="H17" t="n">
        <v>3</v>
      </c>
      <c r="I17" t="n">
        <v>433</v>
      </c>
      <c r="J17" t="n">
        <v>164</v>
      </c>
      <c r="K17" t="n">
        <v>269</v>
      </c>
      <c r="L17" t="n">
        <v>33</v>
      </c>
      <c r="M17" t="n">
        <v>1</v>
      </c>
      <c r="N17" t="n">
        <v>0</v>
      </c>
      <c r="O17" t="n">
        <v>0.0045</v>
      </c>
      <c r="P17" t="n">
        <v>0.4057</v>
      </c>
      <c r="Q17" t="n">
        <v>0.0498</v>
      </c>
      <c r="R17" t="n">
        <v>0.1227</v>
      </c>
      <c r="S17" t="n">
        <v>0</v>
      </c>
    </row>
    <row r="18">
      <c r="A18" t="inlineStr">
        <is>
          <t>em-20250819-newsletter</t>
        </is>
      </c>
      <c r="B18" s="5" t="n">
        <v>45888</v>
      </c>
      <c r="C18" t="inlineStr">
        <is>
          <t>newsletter</t>
        </is>
      </c>
      <c r="D18" t="inlineStr">
        <is>
          <t>Why busy founders stall at $1M (issue 5)</t>
        </is>
      </c>
      <c r="E18" t="inlineStr">
        <is>
          <t>mail.scalelab.example</t>
        </is>
      </c>
      <c r="F18" t="n">
        <v>13034</v>
      </c>
      <c r="G18" t="n">
        <v>12960</v>
      </c>
      <c r="H18" t="n">
        <v>74</v>
      </c>
      <c r="I18" t="n">
        <v>7236</v>
      </c>
      <c r="J18" t="n">
        <v>3932</v>
      </c>
      <c r="K18" t="n">
        <v>3304</v>
      </c>
      <c r="L18" t="n">
        <v>271</v>
      </c>
      <c r="M18" t="n">
        <v>24</v>
      </c>
      <c r="N18" t="n">
        <v>2</v>
      </c>
      <c r="O18" t="n">
        <v>0.0057</v>
      </c>
      <c r="P18" t="n">
        <v>0.2549</v>
      </c>
      <c r="Q18" t="n">
        <v>0.0209</v>
      </c>
      <c r="R18" t="n">
        <v>0.082</v>
      </c>
      <c r="S18" t="n">
        <v>0.0002</v>
      </c>
    </row>
    <row r="19">
      <c r="A19" t="inlineStr">
        <is>
          <t>em-20250821-nurture</t>
        </is>
      </c>
      <c r="B19" s="5" t="n">
        <v>45890</v>
      </c>
      <c r="C19" t="inlineStr">
        <is>
          <t>nurture</t>
        </is>
      </c>
      <c r="D19" t="inlineStr">
        <is>
          <t>Welcome sequence (weekly batch)</t>
        </is>
      </c>
      <c r="E19" t="inlineStr">
        <is>
          <t>mail.scalelab.example</t>
        </is>
      </c>
      <c r="F19" t="n">
        <v>540</v>
      </c>
      <c r="G19" t="n">
        <v>537</v>
      </c>
      <c r="H19" t="n">
        <v>3</v>
      </c>
      <c r="I19" t="n">
        <v>357</v>
      </c>
      <c r="J19" t="n">
        <v>158</v>
      </c>
      <c r="K19" t="n">
        <v>199</v>
      </c>
      <c r="L19" t="n">
        <v>29</v>
      </c>
      <c r="M19" t="n">
        <v>1</v>
      </c>
      <c r="N19" t="n">
        <v>0</v>
      </c>
      <c r="O19" t="n">
        <v>0.0056</v>
      </c>
      <c r="P19" t="n">
        <v>0.3706</v>
      </c>
      <c r="Q19" t="n">
        <v>0.054</v>
      </c>
      <c r="R19" t="n">
        <v>0.1457</v>
      </c>
      <c r="S19" t="n">
        <v>0</v>
      </c>
    </row>
    <row r="20">
      <c r="A20" t="inlineStr">
        <is>
          <t>em-20250826-newsletter</t>
        </is>
      </c>
      <c r="B20" s="5" t="n">
        <v>45895</v>
      </c>
      <c r="C20" t="inlineStr">
        <is>
          <t>newsletter</t>
        </is>
      </c>
      <c r="D20" t="inlineStr">
        <is>
          <t>The pricing conversation most founders avoid (issue 1)</t>
        </is>
      </c>
      <c r="E20" t="inlineStr">
        <is>
          <t>mail.scalelab.example</t>
        </is>
      </c>
      <c r="F20" t="n">
        <v>13157</v>
      </c>
      <c r="G20" t="n">
        <v>13093</v>
      </c>
      <c r="H20" t="n">
        <v>64</v>
      </c>
      <c r="I20" t="n">
        <v>7541</v>
      </c>
      <c r="J20" t="n">
        <v>4025</v>
      </c>
      <c r="K20" t="n">
        <v>3516</v>
      </c>
      <c r="L20" t="n">
        <v>247</v>
      </c>
      <c r="M20" t="n">
        <v>20</v>
      </c>
      <c r="N20" t="n">
        <v>2</v>
      </c>
      <c r="O20" t="n">
        <v>0.0049</v>
      </c>
      <c r="P20" t="n">
        <v>0.2685</v>
      </c>
      <c r="Q20" t="n">
        <v>0.0189</v>
      </c>
      <c r="R20" t="n">
        <v>0.0703</v>
      </c>
      <c r="S20" t="n">
        <v>0.0002</v>
      </c>
    </row>
    <row r="21">
      <c r="A21" t="inlineStr">
        <is>
          <t>em-20250828-nurture</t>
        </is>
      </c>
      <c r="B21" s="5" t="n">
        <v>45897</v>
      </c>
      <c r="C21" t="inlineStr">
        <is>
          <t>nurture</t>
        </is>
      </c>
      <c r="D21" t="inlineStr">
        <is>
          <t>Welcome sequence (weekly batch)</t>
        </is>
      </c>
      <c r="E21" t="inlineStr">
        <is>
          <t>mail.scalelab.example</t>
        </is>
      </c>
      <c r="F21" t="n">
        <v>618</v>
      </c>
      <c r="G21" t="n">
        <v>615</v>
      </c>
      <c r="H21" t="n">
        <v>3</v>
      </c>
      <c r="I21" t="n">
        <v>377</v>
      </c>
      <c r="J21" t="n">
        <v>152</v>
      </c>
      <c r="K21" t="n">
        <v>225</v>
      </c>
      <c r="L21" t="n">
        <v>31</v>
      </c>
      <c r="M21" t="n">
        <v>1</v>
      </c>
      <c r="N21" t="n">
        <v>0</v>
      </c>
      <c r="O21" t="n">
        <v>0.0049</v>
      </c>
      <c r="P21" t="n">
        <v>0.3659</v>
      </c>
      <c r="Q21" t="n">
        <v>0.0504</v>
      </c>
      <c r="R21" t="n">
        <v>0.1378</v>
      </c>
      <c r="S21" t="n">
        <v>0</v>
      </c>
    </row>
    <row r="22">
      <c r="A22" t="inlineStr">
        <is>
          <t>em-20250902-newsletter</t>
        </is>
      </c>
      <c r="B22" s="5" t="n">
        <v>45902</v>
      </c>
      <c r="C22" t="inlineStr">
        <is>
          <t>newsletter</t>
        </is>
      </c>
      <c r="D22" t="inlineStr">
        <is>
          <t>How we would hire your first operator (issue 3)</t>
        </is>
      </c>
      <c r="E22" t="inlineStr">
        <is>
          <t>mail.scalelab.example</t>
        </is>
      </c>
      <c r="F22" t="n">
        <v>13285</v>
      </c>
      <c r="G22" t="n">
        <v>13219</v>
      </c>
      <c r="H22" t="n">
        <v>66</v>
      </c>
      <c r="I22" t="n">
        <v>7933</v>
      </c>
      <c r="J22" t="n">
        <v>3992</v>
      </c>
      <c r="K22" t="n">
        <v>3941</v>
      </c>
      <c r="L22" t="n">
        <v>292</v>
      </c>
      <c r="M22" t="n">
        <v>23</v>
      </c>
      <c r="N22" t="n">
        <v>2</v>
      </c>
      <c r="O22" t="n">
        <v>0.005</v>
      </c>
      <c r="P22" t="n">
        <v>0.2981</v>
      </c>
      <c r="Q22" t="n">
        <v>0.0221</v>
      </c>
      <c r="R22" t="n">
        <v>0.0741</v>
      </c>
      <c r="S22" t="n">
        <v>0.0002</v>
      </c>
    </row>
    <row r="23">
      <c r="A23" t="inlineStr">
        <is>
          <t>em-20250904-nurture</t>
        </is>
      </c>
      <c r="B23" s="5" t="n">
        <v>45904</v>
      </c>
      <c r="C23" t="inlineStr">
        <is>
          <t>nurture</t>
        </is>
      </c>
      <c r="D23" t="inlineStr">
        <is>
          <t>Welcome sequence (weekly batch)</t>
        </is>
      </c>
      <c r="E23" t="inlineStr">
        <is>
          <t>mail.scalelab.example</t>
        </is>
      </c>
      <c r="F23" t="n">
        <v>546</v>
      </c>
      <c r="G23" t="n">
        <v>543</v>
      </c>
      <c r="H23" t="n">
        <v>3</v>
      </c>
      <c r="I23" t="n">
        <v>352</v>
      </c>
      <c r="J23" t="n">
        <v>151</v>
      </c>
      <c r="K23" t="n">
        <v>201</v>
      </c>
      <c r="L23" t="n">
        <v>31</v>
      </c>
      <c r="M23" t="n">
        <v>1</v>
      </c>
      <c r="N23" t="n">
        <v>0</v>
      </c>
      <c r="O23" t="n">
        <v>0.0055</v>
      </c>
      <c r="P23" t="n">
        <v>0.3702</v>
      </c>
      <c r="Q23" t="n">
        <v>0.0571</v>
      </c>
      <c r="R23" t="n">
        <v>0.1542</v>
      </c>
      <c r="S23" t="n">
        <v>0</v>
      </c>
    </row>
    <row r="24">
      <c r="A24" t="inlineStr">
        <is>
          <t>em-20250908-webinar_invite</t>
        </is>
      </c>
      <c r="B24" s="5" t="n">
        <v>45908</v>
      </c>
      <c r="C24" t="inlineStr">
        <is>
          <t>webinar_invite</t>
        </is>
      </c>
      <c r="D24" t="inlineStr">
        <is>
          <t>Live this Thursday: the Growth OS workshop (September)</t>
        </is>
      </c>
      <c r="E24" t="inlineStr">
        <is>
          <t>mail.scalelab.example</t>
        </is>
      </c>
      <c r="F24" t="n">
        <v>13399</v>
      </c>
      <c r="G24" t="n">
        <v>13326</v>
      </c>
      <c r="H24" t="n">
        <v>73</v>
      </c>
      <c r="I24" t="n">
        <v>7486</v>
      </c>
      <c r="J24" t="n">
        <v>4281</v>
      </c>
      <c r="K24" t="n">
        <v>3205</v>
      </c>
      <c r="L24" t="n">
        <v>349</v>
      </c>
      <c r="M24" t="n">
        <v>20</v>
      </c>
      <c r="N24" t="n">
        <v>2</v>
      </c>
      <c r="O24" t="n">
        <v>0.0054</v>
      </c>
      <c r="P24" t="n">
        <v>0.2405</v>
      </c>
      <c r="Q24" t="n">
        <v>0.0262</v>
      </c>
      <c r="R24" t="n">
        <v>0.1089</v>
      </c>
      <c r="S24" t="n">
        <v>0.0002</v>
      </c>
    </row>
    <row r="25">
      <c r="A25" t="inlineStr">
        <is>
          <t>em-20250909-newsletter</t>
        </is>
      </c>
      <c r="B25" s="5" t="n">
        <v>45909</v>
      </c>
      <c r="C25" t="inlineStr">
        <is>
          <t>newsletter</t>
        </is>
      </c>
      <c r="D25" t="inlineStr">
        <is>
          <t>A calmer launch calendar (issue 6)</t>
        </is>
      </c>
      <c r="E25" t="inlineStr">
        <is>
          <t>mail.scalelab.example</t>
        </is>
      </c>
      <c r="F25" t="n">
        <v>13406</v>
      </c>
      <c r="G25" t="n">
        <v>13346</v>
      </c>
      <c r="H25" t="n">
        <v>60</v>
      </c>
      <c r="I25" t="n">
        <v>7945</v>
      </c>
      <c r="J25" t="n">
        <v>4115</v>
      </c>
      <c r="K25" t="n">
        <v>3830</v>
      </c>
      <c r="L25" t="n">
        <v>288</v>
      </c>
      <c r="M25" t="n">
        <v>26</v>
      </c>
      <c r="N25" t="n">
        <v>2</v>
      </c>
      <c r="O25" t="n">
        <v>0.0045</v>
      </c>
      <c r="P25" t="n">
        <v>0.287</v>
      </c>
      <c r="Q25" t="n">
        <v>0.0216</v>
      </c>
      <c r="R25" t="n">
        <v>0.0752</v>
      </c>
      <c r="S25" t="n">
        <v>0.0001</v>
      </c>
    </row>
    <row r="26">
      <c r="A26" t="inlineStr">
        <is>
          <t>em-20250911-nurture</t>
        </is>
      </c>
      <c r="B26" s="5" t="n">
        <v>45911</v>
      </c>
      <c r="C26" t="inlineStr">
        <is>
          <t>nurture</t>
        </is>
      </c>
      <c r="D26" t="inlineStr">
        <is>
          <t>Welcome sequence (weekly batch)</t>
        </is>
      </c>
      <c r="E26" t="inlineStr">
        <is>
          <t>mail.scalelab.example</t>
        </is>
      </c>
      <c r="F26" t="n">
        <v>660</v>
      </c>
      <c r="G26" t="n">
        <v>656</v>
      </c>
      <c r="H26" t="n">
        <v>4</v>
      </c>
      <c r="I26" t="n">
        <v>417</v>
      </c>
      <c r="J26" t="n">
        <v>176</v>
      </c>
      <c r="K26" t="n">
        <v>241</v>
      </c>
      <c r="L26" t="n">
        <v>35</v>
      </c>
      <c r="M26" t="n">
        <v>2</v>
      </c>
      <c r="N26" t="n">
        <v>0</v>
      </c>
      <c r="O26" t="n">
        <v>0.0061</v>
      </c>
      <c r="P26" t="n">
        <v>0.3674</v>
      </c>
      <c r="Q26" t="n">
        <v>0.0534</v>
      </c>
      <c r="R26" t="n">
        <v>0.1452</v>
      </c>
      <c r="S26" t="n">
        <v>0</v>
      </c>
    </row>
    <row r="27">
      <c r="A27" t="inlineStr">
        <is>
          <t>em-20250916-newsletter</t>
        </is>
      </c>
      <c r="B27" s="5" t="n">
        <v>45916</v>
      </c>
      <c r="C27" t="inlineStr">
        <is>
          <t>newsletter</t>
        </is>
      </c>
      <c r="D27" t="inlineStr">
        <is>
          <t>Three numbers to review every Monday (issue 2)</t>
        </is>
      </c>
      <c r="E27" t="inlineStr">
        <is>
          <t>mail.scalelab.example</t>
        </is>
      </c>
      <c r="F27" t="n">
        <v>13571</v>
      </c>
      <c r="G27" t="n">
        <v>13496</v>
      </c>
      <c r="H27" t="n">
        <v>75</v>
      </c>
      <c r="I27" t="n">
        <v>7777</v>
      </c>
      <c r="J27" t="n">
        <v>3915</v>
      </c>
      <c r="K27" t="n">
        <v>3862</v>
      </c>
      <c r="L27" t="n">
        <v>275</v>
      </c>
      <c r="M27" t="n">
        <v>22</v>
      </c>
      <c r="N27" t="n">
        <v>2</v>
      </c>
      <c r="O27" t="n">
        <v>0.0055</v>
      </c>
      <c r="P27" t="n">
        <v>0.2862</v>
      </c>
      <c r="Q27" t="n">
        <v>0.0204</v>
      </c>
      <c r="R27" t="n">
        <v>0.0712</v>
      </c>
      <c r="S27" t="n">
        <v>0.0001</v>
      </c>
    </row>
    <row r="28">
      <c r="A28" t="inlineStr">
        <is>
          <t>em-20250918-nurture</t>
        </is>
      </c>
      <c r="B28" s="5" t="n">
        <v>45918</v>
      </c>
      <c r="C28" t="inlineStr">
        <is>
          <t>nurture</t>
        </is>
      </c>
      <c r="D28" t="inlineStr">
        <is>
          <t>Welcome sequence (weekly batch)</t>
        </is>
      </c>
      <c r="E28" t="inlineStr">
        <is>
          <t>mail.scalelab.example</t>
        </is>
      </c>
      <c r="F28" t="n">
        <v>663</v>
      </c>
      <c r="G28" t="n">
        <v>660</v>
      </c>
      <c r="H28" t="n">
        <v>3</v>
      </c>
      <c r="I28" t="n">
        <v>428</v>
      </c>
      <c r="J28" t="n">
        <v>187</v>
      </c>
      <c r="K28" t="n">
        <v>241</v>
      </c>
      <c r="L28" t="n">
        <v>33</v>
      </c>
      <c r="M28" t="n">
        <v>2</v>
      </c>
      <c r="N28" t="n">
        <v>0</v>
      </c>
      <c r="O28" t="n">
        <v>0.0045</v>
      </c>
      <c r="P28" t="n">
        <v>0.3652</v>
      </c>
      <c r="Q28" t="n">
        <v>0.05</v>
      </c>
      <c r="R28" t="n">
        <v>0.1369</v>
      </c>
      <c r="S28" t="n">
        <v>0</v>
      </c>
    </row>
    <row r="29">
      <c r="A29" t="inlineStr">
        <is>
          <t>em-20250923-newsletter</t>
        </is>
      </c>
      <c r="B29" s="5" t="n">
        <v>45923</v>
      </c>
      <c r="C29" t="inlineStr">
        <is>
          <t>newsletter</t>
        </is>
      </c>
      <c r="D29" t="inlineStr">
        <is>
          <t>The discovery call, line by line (issue 4)</t>
        </is>
      </c>
      <c r="E29" t="inlineStr">
        <is>
          <t>mail.scalelab.example</t>
        </is>
      </c>
      <c r="F29" t="n">
        <v>13713</v>
      </c>
      <c r="G29" t="n">
        <v>13650</v>
      </c>
      <c r="H29" t="n">
        <v>63</v>
      </c>
      <c r="I29" t="n">
        <v>7638</v>
      </c>
      <c r="J29" t="n">
        <v>4033</v>
      </c>
      <c r="K29" t="n">
        <v>3605</v>
      </c>
      <c r="L29" t="n">
        <v>298</v>
      </c>
      <c r="M29" t="n">
        <v>23</v>
      </c>
      <c r="N29" t="n">
        <v>2</v>
      </c>
      <c r="O29" t="n">
        <v>0.0046</v>
      </c>
      <c r="P29" t="n">
        <v>0.2641</v>
      </c>
      <c r="Q29" t="n">
        <v>0.0218</v>
      </c>
      <c r="R29" t="n">
        <v>0.0827</v>
      </c>
      <c r="S29" t="n">
        <v>0.0001</v>
      </c>
    </row>
    <row r="30">
      <c r="A30" t="inlineStr">
        <is>
          <t>em-20250925-nurture</t>
        </is>
      </c>
      <c r="B30" s="5" t="n">
        <v>45925</v>
      </c>
      <c r="C30" t="inlineStr">
        <is>
          <t>nurture</t>
        </is>
      </c>
      <c r="D30" t="inlineStr">
        <is>
          <t>Welcome sequence (weekly batch)</t>
        </is>
      </c>
      <c r="E30" t="inlineStr">
        <is>
          <t>mail.scalelab.example</t>
        </is>
      </c>
      <c r="F30" t="n">
        <v>648</v>
      </c>
      <c r="G30" t="n">
        <v>645</v>
      </c>
      <c r="H30" t="n">
        <v>3</v>
      </c>
      <c r="I30" t="n">
        <v>408</v>
      </c>
      <c r="J30" t="n">
        <v>179</v>
      </c>
      <c r="K30" t="n">
        <v>229</v>
      </c>
      <c r="L30" t="n">
        <v>31</v>
      </c>
      <c r="M30" t="n">
        <v>1</v>
      </c>
      <c r="N30" t="n">
        <v>0</v>
      </c>
      <c r="O30" t="n">
        <v>0.0046</v>
      </c>
      <c r="P30" t="n">
        <v>0.355</v>
      </c>
      <c r="Q30" t="n">
        <v>0.0481</v>
      </c>
      <c r="R30" t="n">
        <v>0.1354</v>
      </c>
      <c r="S30" t="n">
        <v>0</v>
      </c>
    </row>
    <row r="31">
      <c r="A31" t="inlineStr">
        <is>
          <t>em-20250930-newsletter</t>
        </is>
      </c>
      <c r="B31" s="5" t="n">
        <v>45930</v>
      </c>
      <c r="C31" t="inlineStr">
        <is>
          <t>newsletter</t>
        </is>
      </c>
      <c r="D31" t="inlineStr">
        <is>
          <t>A calmer launch calendar (issue 6)</t>
        </is>
      </c>
      <c r="E31" t="inlineStr">
        <is>
          <t>mail.scalelab.example</t>
        </is>
      </c>
      <c r="F31" t="n">
        <v>13856</v>
      </c>
      <c r="G31" t="n">
        <v>13782</v>
      </c>
      <c r="H31" t="n">
        <v>74</v>
      </c>
      <c r="I31" t="n">
        <v>8640</v>
      </c>
      <c r="J31" t="n">
        <v>4617</v>
      </c>
      <c r="K31" t="n">
        <v>4023</v>
      </c>
      <c r="L31" t="n">
        <v>283</v>
      </c>
      <c r="M31" t="n">
        <v>28</v>
      </c>
      <c r="N31" t="n">
        <v>2</v>
      </c>
      <c r="O31" t="n">
        <v>0.0053</v>
      </c>
      <c r="P31" t="n">
        <v>0.2919</v>
      </c>
      <c r="Q31" t="n">
        <v>0.0205</v>
      </c>
      <c r="R31" t="n">
        <v>0.0703</v>
      </c>
      <c r="S31" t="n">
        <v>0.0001</v>
      </c>
    </row>
    <row r="32">
      <c r="A32" t="inlineStr">
        <is>
          <t>em-20251002-nurture</t>
        </is>
      </c>
      <c r="B32" s="5" t="n">
        <v>45932</v>
      </c>
      <c r="C32" t="inlineStr">
        <is>
          <t>nurture</t>
        </is>
      </c>
      <c r="D32" t="inlineStr">
        <is>
          <t>Welcome sequence (weekly batch)</t>
        </is>
      </c>
      <c r="E32" t="inlineStr">
        <is>
          <t>mail.scalelab.example</t>
        </is>
      </c>
      <c r="F32" t="n">
        <v>576</v>
      </c>
      <c r="G32" t="n">
        <v>573</v>
      </c>
      <c r="H32" t="n">
        <v>3</v>
      </c>
      <c r="I32" t="n">
        <v>388</v>
      </c>
      <c r="J32" t="n">
        <v>161</v>
      </c>
      <c r="K32" t="n">
        <v>227</v>
      </c>
      <c r="L32" t="n">
        <v>30</v>
      </c>
      <c r="M32" t="n">
        <v>1</v>
      </c>
      <c r="N32" t="n">
        <v>0</v>
      </c>
      <c r="O32" t="n">
        <v>0.0052</v>
      </c>
      <c r="P32" t="n">
        <v>0.3962</v>
      </c>
      <c r="Q32" t="n">
        <v>0.0524</v>
      </c>
      <c r="R32" t="n">
        <v>0.1322</v>
      </c>
      <c r="S32" t="n">
        <v>0</v>
      </c>
    </row>
    <row r="33">
      <c r="A33" t="inlineStr">
        <is>
          <t>em-20251006-webinar_invite</t>
        </is>
      </c>
      <c r="B33" s="5" t="n">
        <v>45936</v>
      </c>
      <c r="C33" t="inlineStr">
        <is>
          <t>webinar_invite</t>
        </is>
      </c>
      <c r="D33" t="inlineStr">
        <is>
          <t>Live this Thursday: the Growth OS workshop (October)</t>
        </is>
      </c>
      <c r="E33" t="inlineStr">
        <is>
          <t>mail.scalelab.example</t>
        </is>
      </c>
      <c r="F33" t="n">
        <v>13965</v>
      </c>
      <c r="G33" t="n">
        <v>13899</v>
      </c>
      <c r="H33" t="n">
        <v>66</v>
      </c>
      <c r="I33" t="n">
        <v>7615</v>
      </c>
      <c r="J33" t="n">
        <v>4034</v>
      </c>
      <c r="K33" t="n">
        <v>3581</v>
      </c>
      <c r="L33" t="n">
        <v>418</v>
      </c>
      <c r="M33" t="n">
        <v>20</v>
      </c>
      <c r="N33" t="n">
        <v>2</v>
      </c>
      <c r="O33" t="n">
        <v>0.0047</v>
      </c>
      <c r="P33" t="n">
        <v>0.2576</v>
      </c>
      <c r="Q33" t="n">
        <v>0.0301</v>
      </c>
      <c r="R33" t="n">
        <v>0.1167</v>
      </c>
      <c r="S33" t="n">
        <v>0.0001</v>
      </c>
    </row>
    <row r="34">
      <c r="A34" t="inlineStr">
        <is>
          <t>em-20251007-newsletter</t>
        </is>
      </c>
      <c r="B34" s="5" t="n">
        <v>45937</v>
      </c>
      <c r="C34" t="inlineStr">
        <is>
          <t>newsletter</t>
        </is>
      </c>
      <c r="D34" t="inlineStr">
        <is>
          <t>How we would hire your first operator (issue 3)</t>
        </is>
      </c>
      <c r="E34" t="inlineStr">
        <is>
          <t>mail.scalelab.example</t>
        </is>
      </c>
      <c r="F34" t="n">
        <v>13966</v>
      </c>
      <c r="G34" t="n">
        <v>13897</v>
      </c>
      <c r="H34" t="n">
        <v>69</v>
      </c>
      <c r="I34" t="n">
        <v>7998</v>
      </c>
      <c r="J34" t="n">
        <v>4624</v>
      </c>
      <c r="K34" t="n">
        <v>3374</v>
      </c>
      <c r="L34" t="n">
        <v>278</v>
      </c>
      <c r="M34" t="n">
        <v>27</v>
      </c>
      <c r="N34" t="n">
        <v>2</v>
      </c>
      <c r="O34" t="n">
        <v>0.0049</v>
      </c>
      <c r="P34" t="n">
        <v>0.2428</v>
      </c>
      <c r="Q34" t="n">
        <v>0.02</v>
      </c>
      <c r="R34" t="n">
        <v>0.0824</v>
      </c>
      <c r="S34" t="n">
        <v>0.0001</v>
      </c>
    </row>
    <row r="35">
      <c r="A35" t="inlineStr">
        <is>
          <t>em-20251009-nurture</t>
        </is>
      </c>
      <c r="B35" s="5" t="n">
        <v>45939</v>
      </c>
      <c r="C35" t="inlineStr">
        <is>
          <t>nurture</t>
        </is>
      </c>
      <c r="D35" t="inlineStr">
        <is>
          <t>Welcome sequence (weekly batch)</t>
        </is>
      </c>
      <c r="E35" t="inlineStr">
        <is>
          <t>mail.scalelab.example</t>
        </is>
      </c>
      <c r="F35" t="n">
        <v>645</v>
      </c>
      <c r="G35" t="n">
        <v>642</v>
      </c>
      <c r="H35" t="n">
        <v>3</v>
      </c>
      <c r="I35" t="n">
        <v>414</v>
      </c>
      <c r="J35" t="n">
        <v>178</v>
      </c>
      <c r="K35" t="n">
        <v>236</v>
      </c>
      <c r="L35" t="n">
        <v>35</v>
      </c>
      <c r="M35" t="n">
        <v>1</v>
      </c>
      <c r="N35" t="n">
        <v>0</v>
      </c>
      <c r="O35" t="n">
        <v>0.0047</v>
      </c>
      <c r="P35" t="n">
        <v>0.3676</v>
      </c>
      <c r="Q35" t="n">
        <v>0.0545</v>
      </c>
      <c r="R35" t="n">
        <v>0.1483</v>
      </c>
      <c r="S35" t="n">
        <v>0</v>
      </c>
    </row>
    <row r="36">
      <c r="A36" t="inlineStr">
        <is>
          <t>em-20251014-newsletter</t>
        </is>
      </c>
      <c r="B36" s="5" t="n">
        <v>45944</v>
      </c>
      <c r="C36" t="inlineStr">
        <is>
          <t>newsletter</t>
        </is>
      </c>
      <c r="D36" t="inlineStr">
        <is>
          <t>Why busy founders stall at $1M (issue 5)</t>
        </is>
      </c>
      <c r="E36" t="inlineStr">
        <is>
          <t>mail.scalelab.example</t>
        </is>
      </c>
      <c r="F36" t="n">
        <v>14136</v>
      </c>
      <c r="G36" t="n">
        <v>14055</v>
      </c>
      <c r="H36" t="n">
        <v>81</v>
      </c>
      <c r="I36" t="n">
        <v>7413</v>
      </c>
      <c r="J36" t="n">
        <v>3773</v>
      </c>
      <c r="K36" t="n">
        <v>3640</v>
      </c>
      <c r="L36" t="n">
        <v>279</v>
      </c>
      <c r="M36" t="n">
        <v>26</v>
      </c>
      <c r="N36" t="n">
        <v>2</v>
      </c>
      <c r="O36" t="n">
        <v>0.0057</v>
      </c>
      <c r="P36" t="n">
        <v>0.259</v>
      </c>
      <c r="Q36" t="n">
        <v>0.0199</v>
      </c>
      <c r="R36" t="n">
        <v>0.0766</v>
      </c>
      <c r="S36" t="n">
        <v>0.0001</v>
      </c>
    </row>
    <row r="37">
      <c r="A37" t="inlineStr">
        <is>
          <t>em-20251016-nurture</t>
        </is>
      </c>
      <c r="B37" s="5" t="n">
        <v>45946</v>
      </c>
      <c r="C37" t="inlineStr">
        <is>
          <t>nurture</t>
        </is>
      </c>
      <c r="D37" t="inlineStr">
        <is>
          <t>Welcome sequence (weekly batch)</t>
        </is>
      </c>
      <c r="E37" t="inlineStr">
        <is>
          <t>mail.scalelab.example</t>
        </is>
      </c>
      <c r="F37" t="n">
        <v>696</v>
      </c>
      <c r="G37" t="n">
        <v>693</v>
      </c>
      <c r="H37" t="n">
        <v>3</v>
      </c>
      <c r="I37" t="n">
        <v>414</v>
      </c>
      <c r="J37" t="n">
        <v>174</v>
      </c>
      <c r="K37" t="n">
        <v>240</v>
      </c>
      <c r="L37" t="n">
        <v>35</v>
      </c>
      <c r="M37" t="n">
        <v>1</v>
      </c>
      <c r="N37" t="n">
        <v>0</v>
      </c>
      <c r="O37" t="n">
        <v>0.0043</v>
      </c>
      <c r="P37" t="n">
        <v>0.3463</v>
      </c>
      <c r="Q37" t="n">
        <v>0.0505</v>
      </c>
      <c r="R37" t="n">
        <v>0.1458</v>
      </c>
      <c r="S37" t="n">
        <v>0</v>
      </c>
    </row>
    <row r="38">
      <c r="A38" t="inlineStr">
        <is>
          <t>em-20251021-newsletter</t>
        </is>
      </c>
      <c r="B38" s="5" t="n">
        <v>45951</v>
      </c>
      <c r="C38" t="inlineStr">
        <is>
          <t>newsletter</t>
        </is>
      </c>
      <c r="D38" t="inlineStr">
        <is>
          <t>The pricing conversation most founders avoid (issue 1)</t>
        </is>
      </c>
      <c r="E38" t="inlineStr">
        <is>
          <t>mail.scalelab.example</t>
        </is>
      </c>
      <c r="F38" t="n">
        <v>14269</v>
      </c>
      <c r="G38" t="n">
        <v>14194</v>
      </c>
      <c r="H38" t="n">
        <v>75</v>
      </c>
      <c r="I38" t="n">
        <v>8410</v>
      </c>
      <c r="J38" t="n">
        <v>4357</v>
      </c>
      <c r="K38" t="n">
        <v>4053</v>
      </c>
      <c r="L38" t="n">
        <v>300</v>
      </c>
      <c r="M38" t="n">
        <v>24</v>
      </c>
      <c r="N38" t="n">
        <v>2</v>
      </c>
      <c r="O38" t="n">
        <v>0.0053</v>
      </c>
      <c r="P38" t="n">
        <v>0.2855</v>
      </c>
      <c r="Q38" t="n">
        <v>0.0211</v>
      </c>
      <c r="R38" t="n">
        <v>0.074</v>
      </c>
      <c r="S38" t="n">
        <v>0.0001</v>
      </c>
    </row>
    <row r="39">
      <c r="A39" t="inlineStr">
        <is>
          <t>em-20251023-nurture</t>
        </is>
      </c>
      <c r="B39" s="5" t="n">
        <v>45953</v>
      </c>
      <c r="C39" t="inlineStr">
        <is>
          <t>nurture</t>
        </is>
      </c>
      <c r="D39" t="inlineStr">
        <is>
          <t>Welcome sequence (weekly batch)</t>
        </is>
      </c>
      <c r="E39" t="inlineStr">
        <is>
          <t>mail.scalelab.example</t>
        </is>
      </c>
      <c r="F39" t="n">
        <v>618</v>
      </c>
      <c r="G39" t="n">
        <v>615</v>
      </c>
      <c r="H39" t="n">
        <v>3</v>
      </c>
      <c r="I39" t="n">
        <v>398</v>
      </c>
      <c r="J39" t="n">
        <v>163</v>
      </c>
      <c r="K39" t="n">
        <v>235</v>
      </c>
      <c r="L39" t="n">
        <v>32</v>
      </c>
      <c r="M39" t="n">
        <v>1</v>
      </c>
      <c r="N39" t="n">
        <v>0</v>
      </c>
      <c r="O39" t="n">
        <v>0.0049</v>
      </c>
      <c r="P39" t="n">
        <v>0.3821</v>
      </c>
      <c r="Q39" t="n">
        <v>0.052</v>
      </c>
      <c r="R39" t="n">
        <v>0.1362</v>
      </c>
      <c r="S39" t="n">
        <v>0</v>
      </c>
    </row>
    <row r="40">
      <c r="A40" t="inlineStr">
        <is>
          <t>em-20251028-newsletter</t>
        </is>
      </c>
      <c r="B40" s="5" t="n">
        <v>45958</v>
      </c>
      <c r="C40" t="inlineStr">
        <is>
          <t>newsletter</t>
        </is>
      </c>
      <c r="D40" t="inlineStr">
        <is>
          <t>How we would hire your first operator (issue 3)</t>
        </is>
      </c>
      <c r="E40" t="inlineStr">
        <is>
          <t>mail.scalelab.example</t>
        </is>
      </c>
      <c r="F40" t="n">
        <v>14408</v>
      </c>
      <c r="G40" t="n">
        <v>14335</v>
      </c>
      <c r="H40" t="n">
        <v>73</v>
      </c>
      <c r="I40" t="n">
        <v>7868</v>
      </c>
      <c r="J40" t="n">
        <v>4176</v>
      </c>
      <c r="K40" t="n">
        <v>3692</v>
      </c>
      <c r="L40" t="n">
        <v>321</v>
      </c>
      <c r="M40" t="n">
        <v>27</v>
      </c>
      <c r="N40" t="n">
        <v>2</v>
      </c>
      <c r="O40" t="n">
        <v>0.0051</v>
      </c>
      <c r="P40" t="n">
        <v>0.2576</v>
      </c>
      <c r="Q40" t="n">
        <v>0.0224</v>
      </c>
      <c r="R40" t="n">
        <v>0.08690000000000001</v>
      </c>
      <c r="S40" t="n">
        <v>0.0001</v>
      </c>
    </row>
    <row r="41">
      <c r="A41" t="inlineStr">
        <is>
          <t>em-20251030-nurture</t>
        </is>
      </c>
      <c r="B41" s="5" t="n">
        <v>45960</v>
      </c>
      <c r="C41" t="inlineStr">
        <is>
          <t>nurture</t>
        </is>
      </c>
      <c r="D41" t="inlineStr">
        <is>
          <t>Welcome sequence (weekly batch)</t>
        </is>
      </c>
      <c r="E41" t="inlineStr">
        <is>
          <t>mail.scalelab.example</t>
        </is>
      </c>
      <c r="F41" t="n">
        <v>612</v>
      </c>
      <c r="G41" t="n">
        <v>609</v>
      </c>
      <c r="H41" t="n">
        <v>3</v>
      </c>
      <c r="I41" t="n">
        <v>407</v>
      </c>
      <c r="J41" t="n">
        <v>174</v>
      </c>
      <c r="K41" t="n">
        <v>233</v>
      </c>
      <c r="L41" t="n">
        <v>32</v>
      </c>
      <c r="M41" t="n">
        <v>1</v>
      </c>
      <c r="N41" t="n">
        <v>0</v>
      </c>
      <c r="O41" t="n">
        <v>0.0049</v>
      </c>
      <c r="P41" t="n">
        <v>0.3826</v>
      </c>
      <c r="Q41" t="n">
        <v>0.0525</v>
      </c>
      <c r="R41" t="n">
        <v>0.1373</v>
      </c>
      <c r="S41" t="n">
        <v>0</v>
      </c>
    </row>
    <row r="42">
      <c r="A42" t="inlineStr">
        <is>
          <t>em-20251104-newsletter</t>
        </is>
      </c>
      <c r="B42" s="5" t="n">
        <v>45965</v>
      </c>
      <c r="C42" t="inlineStr">
        <is>
          <t>newsletter</t>
        </is>
      </c>
      <c r="D42" t="inlineStr">
        <is>
          <t>Why busy founders stall at $1M (issue 5)</t>
        </is>
      </c>
      <c r="E42" t="inlineStr">
        <is>
          <t>mail.scalelab.example</t>
        </is>
      </c>
      <c r="F42" t="n">
        <v>14548</v>
      </c>
      <c r="G42" t="n">
        <v>14480</v>
      </c>
      <c r="H42" t="n">
        <v>68</v>
      </c>
      <c r="I42" t="n">
        <v>8196</v>
      </c>
      <c r="J42" t="n">
        <v>4595</v>
      </c>
      <c r="K42" t="n">
        <v>3601</v>
      </c>
      <c r="L42" t="n">
        <v>370</v>
      </c>
      <c r="M42" t="n">
        <v>28</v>
      </c>
      <c r="N42" t="n">
        <v>2</v>
      </c>
      <c r="O42" t="n">
        <v>0.0047</v>
      </c>
      <c r="P42" t="n">
        <v>0.2487</v>
      </c>
      <c r="Q42" t="n">
        <v>0.0256</v>
      </c>
      <c r="R42" t="n">
        <v>0.1027</v>
      </c>
      <c r="S42" t="n">
        <v>0.0001</v>
      </c>
    </row>
    <row r="43">
      <c r="A43" t="inlineStr">
        <is>
          <t>em-20251106-nurture</t>
        </is>
      </c>
      <c r="B43" s="5" t="n">
        <v>45967</v>
      </c>
      <c r="C43" t="inlineStr">
        <is>
          <t>nurture</t>
        </is>
      </c>
      <c r="D43" t="inlineStr">
        <is>
          <t>Welcome sequence (weekly batch)</t>
        </is>
      </c>
      <c r="E43" t="inlineStr">
        <is>
          <t>mail.scalelab.example</t>
        </is>
      </c>
      <c r="F43" t="n">
        <v>597</v>
      </c>
      <c r="G43" t="n">
        <v>594</v>
      </c>
      <c r="H43" t="n">
        <v>3</v>
      </c>
      <c r="I43" t="n">
        <v>387</v>
      </c>
      <c r="J43" t="n">
        <v>162</v>
      </c>
      <c r="K43" t="n">
        <v>225</v>
      </c>
      <c r="L43" t="n">
        <v>28</v>
      </c>
      <c r="M43" t="n">
        <v>1</v>
      </c>
      <c r="N43" t="n">
        <v>0</v>
      </c>
      <c r="O43" t="n">
        <v>0.005</v>
      </c>
      <c r="P43" t="n">
        <v>0.3788</v>
      </c>
      <c r="Q43" t="n">
        <v>0.0471</v>
      </c>
      <c r="R43" t="n">
        <v>0.1244</v>
      </c>
      <c r="S43" t="n">
        <v>0</v>
      </c>
    </row>
    <row r="44">
      <c r="A44" t="inlineStr">
        <is>
          <t>em-20251110-webinar_invite</t>
        </is>
      </c>
      <c r="B44" s="5" t="n">
        <v>45971</v>
      </c>
      <c r="C44" t="inlineStr">
        <is>
          <t>webinar_invite</t>
        </is>
      </c>
      <c r="D44" t="inlineStr">
        <is>
          <t>Live this Thursday: the Growth OS workshop (November)</t>
        </is>
      </c>
      <c r="E44" t="inlineStr">
        <is>
          <t>mail.scalelab.example</t>
        </is>
      </c>
      <c r="F44" t="n">
        <v>14658</v>
      </c>
      <c r="G44" t="n">
        <v>14577</v>
      </c>
      <c r="H44" t="n">
        <v>81</v>
      </c>
      <c r="I44" t="n">
        <v>8050</v>
      </c>
      <c r="J44" t="n">
        <v>4299</v>
      </c>
      <c r="K44" t="n">
        <v>3751</v>
      </c>
      <c r="L44" t="n">
        <v>390</v>
      </c>
      <c r="M44" t="n">
        <v>21</v>
      </c>
      <c r="N44" t="n">
        <v>2</v>
      </c>
      <c r="O44" t="n">
        <v>0.0055</v>
      </c>
      <c r="P44" t="n">
        <v>0.2573</v>
      </c>
      <c r="Q44" t="n">
        <v>0.0268</v>
      </c>
      <c r="R44" t="n">
        <v>0.104</v>
      </c>
      <c r="S44" t="n">
        <v>0.0001</v>
      </c>
    </row>
    <row r="45">
      <c r="A45" t="inlineStr">
        <is>
          <t>em-20251111-newsletter</t>
        </is>
      </c>
      <c r="B45" s="5" t="n">
        <v>45972</v>
      </c>
      <c r="C45" t="inlineStr">
        <is>
          <t>newsletter</t>
        </is>
      </c>
      <c r="D45" t="inlineStr">
        <is>
          <t>Three numbers to review every Monday (issue 2)</t>
        </is>
      </c>
      <c r="E45" t="inlineStr">
        <is>
          <t>mail.scalelab.example</t>
        </is>
      </c>
      <c r="F45" t="n">
        <v>14657</v>
      </c>
      <c r="G45" t="n">
        <v>14577</v>
      </c>
      <c r="H45" t="n">
        <v>80</v>
      </c>
      <c r="I45" t="n">
        <v>8350</v>
      </c>
      <c r="J45" t="n">
        <v>4176</v>
      </c>
      <c r="K45" t="n">
        <v>4174</v>
      </c>
      <c r="L45" t="n">
        <v>272</v>
      </c>
      <c r="M45" t="n">
        <v>26</v>
      </c>
      <c r="N45" t="n">
        <v>2</v>
      </c>
      <c r="O45" t="n">
        <v>0.0055</v>
      </c>
      <c r="P45" t="n">
        <v>0.2863</v>
      </c>
      <c r="Q45" t="n">
        <v>0.0187</v>
      </c>
      <c r="R45" t="n">
        <v>0.06519999999999999</v>
      </c>
      <c r="S45" t="n">
        <v>0.0001</v>
      </c>
    </row>
    <row r="46">
      <c r="A46" t="inlineStr">
        <is>
          <t>em-20251113-nurture</t>
        </is>
      </c>
      <c r="B46" s="5" t="n">
        <v>45974</v>
      </c>
      <c r="C46" t="inlineStr">
        <is>
          <t>nurture</t>
        </is>
      </c>
      <c r="D46" t="inlineStr">
        <is>
          <t>Welcome sequence (weekly batch)</t>
        </is>
      </c>
      <c r="E46" t="inlineStr">
        <is>
          <t>mail.scalelab.example</t>
        </is>
      </c>
      <c r="F46" t="n">
        <v>645</v>
      </c>
      <c r="G46" t="n">
        <v>642</v>
      </c>
      <c r="H46" t="n">
        <v>3</v>
      </c>
      <c r="I46" t="n">
        <v>412</v>
      </c>
      <c r="J46" t="n">
        <v>167</v>
      </c>
      <c r="K46" t="n">
        <v>245</v>
      </c>
      <c r="L46" t="n">
        <v>34</v>
      </c>
      <c r="M46" t="n">
        <v>1</v>
      </c>
      <c r="N46" t="n">
        <v>0</v>
      </c>
      <c r="O46" t="n">
        <v>0.0047</v>
      </c>
      <c r="P46" t="n">
        <v>0.3816</v>
      </c>
      <c r="Q46" t="n">
        <v>0.053</v>
      </c>
      <c r="R46" t="n">
        <v>0.1388</v>
      </c>
      <c r="S46" t="n">
        <v>0</v>
      </c>
    </row>
    <row r="47">
      <c r="A47" t="inlineStr">
        <is>
          <t>em-20251118-newsletter</t>
        </is>
      </c>
      <c r="B47" s="5" t="n">
        <v>45979</v>
      </c>
      <c r="C47" t="inlineStr">
        <is>
          <t>newsletter</t>
        </is>
      </c>
      <c r="D47" t="inlineStr">
        <is>
          <t>The discovery call, line by line (issue 4)</t>
        </is>
      </c>
      <c r="E47" t="inlineStr">
        <is>
          <t>mail.scalelab.example</t>
        </is>
      </c>
      <c r="F47" t="n">
        <v>14817</v>
      </c>
      <c r="G47" t="n">
        <v>14741</v>
      </c>
      <c r="H47" t="n">
        <v>76</v>
      </c>
      <c r="I47" t="n">
        <v>8669</v>
      </c>
      <c r="J47" t="n">
        <v>4949</v>
      </c>
      <c r="K47" t="n">
        <v>3720</v>
      </c>
      <c r="L47" t="n">
        <v>283</v>
      </c>
      <c r="M47" t="n">
        <v>25</v>
      </c>
      <c r="N47" t="n">
        <v>2</v>
      </c>
      <c r="O47" t="n">
        <v>0.0051</v>
      </c>
      <c r="P47" t="n">
        <v>0.2524</v>
      </c>
      <c r="Q47" t="n">
        <v>0.0192</v>
      </c>
      <c r="R47" t="n">
        <v>0.0761</v>
      </c>
      <c r="S47" t="n">
        <v>0.0001</v>
      </c>
    </row>
    <row r="48">
      <c r="A48" t="inlineStr">
        <is>
          <t>em-20251120-nurture</t>
        </is>
      </c>
      <c r="B48" s="5" t="n">
        <v>45981</v>
      </c>
      <c r="C48" t="inlineStr">
        <is>
          <t>nurture</t>
        </is>
      </c>
      <c r="D48" t="inlineStr">
        <is>
          <t>Welcome sequence (weekly batch)</t>
        </is>
      </c>
      <c r="E48" t="inlineStr">
        <is>
          <t>mail.scalelab.example</t>
        </is>
      </c>
      <c r="F48" t="n">
        <v>615</v>
      </c>
      <c r="G48" t="n">
        <v>612</v>
      </c>
      <c r="H48" t="n">
        <v>3</v>
      </c>
      <c r="I48" t="n">
        <v>404</v>
      </c>
      <c r="J48" t="n">
        <v>162</v>
      </c>
      <c r="K48" t="n">
        <v>242</v>
      </c>
      <c r="L48" t="n">
        <v>29</v>
      </c>
      <c r="M48" t="n">
        <v>1</v>
      </c>
      <c r="N48" t="n">
        <v>0</v>
      </c>
      <c r="O48" t="n">
        <v>0.0049</v>
      </c>
      <c r="P48" t="n">
        <v>0.3954</v>
      </c>
      <c r="Q48" t="n">
        <v>0.0474</v>
      </c>
      <c r="R48" t="n">
        <v>0.1198</v>
      </c>
      <c r="S48" t="n">
        <v>0</v>
      </c>
    </row>
    <row r="49">
      <c r="A49" t="inlineStr">
        <is>
          <t>em-20251125-newsletter</t>
        </is>
      </c>
      <c r="B49" s="5" t="n">
        <v>45986</v>
      </c>
      <c r="C49" t="inlineStr">
        <is>
          <t>newsletter</t>
        </is>
      </c>
      <c r="D49" t="inlineStr">
        <is>
          <t>A calmer launch calendar (issue 6)</t>
        </is>
      </c>
      <c r="E49" t="inlineStr">
        <is>
          <t>mail.scalelab.example</t>
        </is>
      </c>
      <c r="F49" t="n">
        <v>14926</v>
      </c>
      <c r="G49" t="n">
        <v>14849</v>
      </c>
      <c r="H49" t="n">
        <v>77</v>
      </c>
      <c r="I49" t="n">
        <v>8340</v>
      </c>
      <c r="J49" t="n">
        <v>4691</v>
      </c>
      <c r="K49" t="n">
        <v>3649</v>
      </c>
      <c r="L49" t="n">
        <v>314</v>
      </c>
      <c r="M49" t="n">
        <v>28</v>
      </c>
      <c r="N49" t="n">
        <v>2</v>
      </c>
      <c r="O49" t="n">
        <v>0.0052</v>
      </c>
      <c r="P49" t="n">
        <v>0.2457</v>
      </c>
      <c r="Q49" t="n">
        <v>0.0211</v>
      </c>
      <c r="R49" t="n">
        <v>0.0861</v>
      </c>
      <c r="S49" t="n">
        <v>0.0001</v>
      </c>
    </row>
    <row r="50">
      <c r="A50" t="inlineStr">
        <is>
          <t>em-20251127-nurture</t>
        </is>
      </c>
      <c r="B50" s="5" t="n">
        <v>45988</v>
      </c>
      <c r="C50" t="inlineStr">
        <is>
          <t>nurture</t>
        </is>
      </c>
      <c r="D50" t="inlineStr">
        <is>
          <t>Welcome sequence (weekly batch)</t>
        </is>
      </c>
      <c r="E50" t="inlineStr">
        <is>
          <t>mail.scalelab.example</t>
        </is>
      </c>
      <c r="F50" t="n">
        <v>513</v>
      </c>
      <c r="G50" t="n">
        <v>510</v>
      </c>
      <c r="H50" t="n">
        <v>3</v>
      </c>
      <c r="I50" t="n">
        <v>323</v>
      </c>
      <c r="J50" t="n">
        <v>138</v>
      </c>
      <c r="K50" t="n">
        <v>185</v>
      </c>
      <c r="L50" t="n">
        <v>28</v>
      </c>
      <c r="M50" t="n">
        <v>1</v>
      </c>
      <c r="N50" t="n">
        <v>0</v>
      </c>
      <c r="O50" t="n">
        <v>0.0058</v>
      </c>
      <c r="P50" t="n">
        <v>0.3627</v>
      </c>
      <c r="Q50" t="n">
        <v>0.0549</v>
      </c>
      <c r="R50" t="n">
        <v>0.1514</v>
      </c>
      <c r="S50" t="n">
        <v>0</v>
      </c>
    </row>
    <row r="51">
      <c r="A51" t="inlineStr">
        <is>
          <t>em-20251202-newsletter</t>
        </is>
      </c>
      <c r="B51" s="5" t="n">
        <v>45993</v>
      </c>
      <c r="C51" t="inlineStr">
        <is>
          <t>newsletter</t>
        </is>
      </c>
      <c r="D51" t="inlineStr">
        <is>
          <t>Three numbers to review every Monday (issue 2)</t>
        </is>
      </c>
      <c r="E51" t="inlineStr">
        <is>
          <t>mail.scalelab.example</t>
        </is>
      </c>
      <c r="F51" t="n">
        <v>15049</v>
      </c>
      <c r="G51" t="n">
        <v>14979</v>
      </c>
      <c r="H51" t="n">
        <v>70</v>
      </c>
      <c r="I51" t="n">
        <v>8632</v>
      </c>
      <c r="J51" t="n">
        <v>4898</v>
      </c>
      <c r="K51" t="n">
        <v>3734</v>
      </c>
      <c r="L51" t="n">
        <v>307</v>
      </c>
      <c r="M51" t="n">
        <v>29</v>
      </c>
      <c r="N51" t="n">
        <v>2</v>
      </c>
      <c r="O51" t="n">
        <v>0.0047</v>
      </c>
      <c r="P51" t="n">
        <v>0.2493</v>
      </c>
      <c r="Q51" t="n">
        <v>0.0205</v>
      </c>
      <c r="R51" t="n">
        <v>0.0822</v>
      </c>
      <c r="S51" t="n">
        <v>0.0001</v>
      </c>
    </row>
    <row r="52">
      <c r="A52" t="inlineStr">
        <is>
          <t>em-20251204-nurture</t>
        </is>
      </c>
      <c r="B52" s="5" t="n">
        <v>45995</v>
      </c>
      <c r="C52" t="inlineStr">
        <is>
          <t>nurture</t>
        </is>
      </c>
      <c r="D52" t="inlineStr">
        <is>
          <t>Welcome sequence (weekly batch)</t>
        </is>
      </c>
      <c r="E52" t="inlineStr">
        <is>
          <t>mail.scalelab.example</t>
        </is>
      </c>
      <c r="F52" t="n">
        <v>636</v>
      </c>
      <c r="G52" t="n">
        <v>633</v>
      </c>
      <c r="H52" t="n">
        <v>3</v>
      </c>
      <c r="I52" t="n">
        <v>387</v>
      </c>
      <c r="J52" t="n">
        <v>159</v>
      </c>
      <c r="K52" t="n">
        <v>228</v>
      </c>
      <c r="L52" t="n">
        <v>33</v>
      </c>
      <c r="M52" t="n">
        <v>1</v>
      </c>
      <c r="N52" t="n">
        <v>0</v>
      </c>
      <c r="O52" t="n">
        <v>0.0047</v>
      </c>
      <c r="P52" t="n">
        <v>0.3602</v>
      </c>
      <c r="Q52" t="n">
        <v>0.0521</v>
      </c>
      <c r="R52" t="n">
        <v>0.1447</v>
      </c>
      <c r="S52" t="n">
        <v>0</v>
      </c>
    </row>
    <row r="53">
      <c r="A53" t="inlineStr">
        <is>
          <t>em-20251208-webinar_invite</t>
        </is>
      </c>
      <c r="B53" s="5" t="n">
        <v>45999</v>
      </c>
      <c r="C53" t="inlineStr">
        <is>
          <t>webinar_invite</t>
        </is>
      </c>
      <c r="D53" t="inlineStr">
        <is>
          <t>Live this Thursday: the Growth OS workshop (December)</t>
        </is>
      </c>
      <c r="E53" t="inlineStr">
        <is>
          <t>mail.scalelab.example</t>
        </is>
      </c>
      <c r="F53" t="n">
        <v>15159</v>
      </c>
      <c r="G53" t="n">
        <v>15081</v>
      </c>
      <c r="H53" t="n">
        <v>78</v>
      </c>
      <c r="I53" t="n">
        <v>7759</v>
      </c>
      <c r="J53" t="n">
        <v>4220</v>
      </c>
      <c r="K53" t="n">
        <v>3539</v>
      </c>
      <c r="L53" t="n">
        <v>422</v>
      </c>
      <c r="M53" t="n">
        <v>23</v>
      </c>
      <c r="N53" t="n">
        <v>2</v>
      </c>
      <c r="O53" t="n">
        <v>0.0051</v>
      </c>
      <c r="P53" t="n">
        <v>0.2347</v>
      </c>
      <c r="Q53" t="n">
        <v>0.028</v>
      </c>
      <c r="R53" t="n">
        <v>0.1192</v>
      </c>
      <c r="S53" t="n">
        <v>0.0001</v>
      </c>
    </row>
    <row r="54">
      <c r="A54" t="inlineStr">
        <is>
          <t>em-20251209-newsletter</t>
        </is>
      </c>
      <c r="B54" s="5" t="n">
        <v>46000</v>
      </c>
      <c r="C54" t="inlineStr">
        <is>
          <t>newsletter</t>
        </is>
      </c>
      <c r="D54" t="inlineStr">
        <is>
          <t>Why busy founders stall at $1M (issue 5)</t>
        </is>
      </c>
      <c r="E54" t="inlineStr">
        <is>
          <t>mail.scalelab.example</t>
        </is>
      </c>
      <c r="F54" t="n">
        <v>15157</v>
      </c>
      <c r="G54" t="n">
        <v>15077</v>
      </c>
      <c r="H54" t="n">
        <v>80</v>
      </c>
      <c r="I54" t="n">
        <v>8493</v>
      </c>
      <c r="J54" t="n">
        <v>4524</v>
      </c>
      <c r="K54" t="n">
        <v>3969</v>
      </c>
      <c r="L54" t="n">
        <v>304</v>
      </c>
      <c r="M54" t="n">
        <v>29</v>
      </c>
      <c r="N54" t="n">
        <v>2</v>
      </c>
      <c r="O54" t="n">
        <v>0.0053</v>
      </c>
      <c r="P54" t="n">
        <v>0.2632</v>
      </c>
      <c r="Q54" t="n">
        <v>0.0202</v>
      </c>
      <c r="R54" t="n">
        <v>0.0766</v>
      </c>
      <c r="S54" t="n">
        <v>0.0001</v>
      </c>
    </row>
    <row r="55">
      <c r="A55" t="inlineStr">
        <is>
          <t>em-20251211-nurture</t>
        </is>
      </c>
      <c r="B55" s="5" t="n">
        <v>46002</v>
      </c>
      <c r="C55" t="inlineStr">
        <is>
          <t>nurture</t>
        </is>
      </c>
      <c r="D55" t="inlineStr">
        <is>
          <t>Welcome sequence (weekly batch)</t>
        </is>
      </c>
      <c r="E55" t="inlineStr">
        <is>
          <t>mail.scalelab.example</t>
        </is>
      </c>
      <c r="F55" t="n">
        <v>516</v>
      </c>
      <c r="G55" t="n">
        <v>514</v>
      </c>
      <c r="H55" t="n">
        <v>2</v>
      </c>
      <c r="I55" t="n">
        <v>324</v>
      </c>
      <c r="J55" t="n">
        <v>132</v>
      </c>
      <c r="K55" t="n">
        <v>192</v>
      </c>
      <c r="L55" t="n">
        <v>25</v>
      </c>
      <c r="M55" t="n">
        <v>1</v>
      </c>
      <c r="N55" t="n">
        <v>0</v>
      </c>
      <c r="O55" t="n">
        <v>0.0039</v>
      </c>
      <c r="P55" t="n">
        <v>0.3735</v>
      </c>
      <c r="Q55" t="n">
        <v>0.0486</v>
      </c>
      <c r="R55" t="n">
        <v>0.1302</v>
      </c>
      <c r="S55" t="n">
        <v>0</v>
      </c>
    </row>
    <row r="56">
      <c r="A56" t="inlineStr">
        <is>
          <t>em-20251216-newsletter</t>
        </is>
      </c>
      <c r="B56" s="5" t="n">
        <v>46007</v>
      </c>
      <c r="C56" t="inlineStr">
        <is>
          <t>newsletter</t>
        </is>
      </c>
      <c r="D56" t="inlineStr">
        <is>
          <t>The pricing conversation most founders avoid (issue 1)</t>
        </is>
      </c>
      <c r="E56" t="inlineStr">
        <is>
          <t>mail.scalelab.example</t>
        </is>
      </c>
      <c r="F56" t="n">
        <v>15282</v>
      </c>
      <c r="G56" t="n">
        <v>15208</v>
      </c>
      <c r="H56" t="n">
        <v>74</v>
      </c>
      <c r="I56" t="n">
        <v>8709</v>
      </c>
      <c r="J56" t="n">
        <v>4814</v>
      </c>
      <c r="K56" t="n">
        <v>3895</v>
      </c>
      <c r="L56" t="n">
        <v>302</v>
      </c>
      <c r="M56" t="n">
        <v>26</v>
      </c>
      <c r="N56" t="n">
        <v>2</v>
      </c>
      <c r="O56" t="n">
        <v>0.0048</v>
      </c>
      <c r="P56" t="n">
        <v>0.2561</v>
      </c>
      <c r="Q56" t="n">
        <v>0.0199</v>
      </c>
      <c r="R56" t="n">
        <v>0.0775</v>
      </c>
      <c r="S56" t="n">
        <v>0.0001</v>
      </c>
    </row>
    <row r="57">
      <c r="A57" t="inlineStr">
        <is>
          <t>em-20251218-nurture</t>
        </is>
      </c>
      <c r="B57" s="5" t="n">
        <v>46009</v>
      </c>
      <c r="C57" t="inlineStr">
        <is>
          <t>nurture</t>
        </is>
      </c>
      <c r="D57" t="inlineStr">
        <is>
          <t>Welcome sequence (weekly batch)</t>
        </is>
      </c>
      <c r="E57" t="inlineStr">
        <is>
          <t>mail.scalelab.example</t>
        </is>
      </c>
      <c r="F57" t="n">
        <v>645</v>
      </c>
      <c r="G57" t="n">
        <v>642</v>
      </c>
      <c r="H57" t="n">
        <v>3</v>
      </c>
      <c r="I57" t="n">
        <v>448</v>
      </c>
      <c r="J57" t="n">
        <v>183</v>
      </c>
      <c r="K57" t="n">
        <v>265</v>
      </c>
      <c r="L57" t="n">
        <v>32</v>
      </c>
      <c r="M57" t="n">
        <v>1</v>
      </c>
      <c r="N57" t="n">
        <v>0</v>
      </c>
      <c r="O57" t="n">
        <v>0.0047</v>
      </c>
      <c r="P57" t="n">
        <v>0.4128</v>
      </c>
      <c r="Q57" t="n">
        <v>0.0498</v>
      </c>
      <c r="R57" t="n">
        <v>0.1208</v>
      </c>
      <c r="S57" t="n">
        <v>0</v>
      </c>
    </row>
    <row r="58">
      <c r="A58" t="inlineStr">
        <is>
          <t>em-20251223-newsletter</t>
        </is>
      </c>
      <c r="B58" s="5" t="n">
        <v>46014</v>
      </c>
      <c r="C58" t="inlineStr">
        <is>
          <t>newsletter</t>
        </is>
      </c>
      <c r="D58" t="inlineStr">
        <is>
          <t>How we would hire your first operator (issue 3)</t>
        </is>
      </c>
      <c r="E58" t="inlineStr">
        <is>
          <t>mail.scalelab.example</t>
        </is>
      </c>
      <c r="F58" t="n">
        <v>15405</v>
      </c>
      <c r="G58" t="n">
        <v>15333</v>
      </c>
      <c r="H58" t="n">
        <v>72</v>
      </c>
      <c r="I58" t="n">
        <v>8162</v>
      </c>
      <c r="J58" t="n">
        <v>4168</v>
      </c>
      <c r="K58" t="n">
        <v>3994</v>
      </c>
      <c r="L58" t="n">
        <v>356</v>
      </c>
      <c r="M58" t="n">
        <v>28</v>
      </c>
      <c r="N58" t="n">
        <v>2</v>
      </c>
      <c r="O58" t="n">
        <v>0.0047</v>
      </c>
      <c r="P58" t="n">
        <v>0.2605</v>
      </c>
      <c r="Q58" t="n">
        <v>0.0232</v>
      </c>
      <c r="R58" t="n">
        <v>0.0891</v>
      </c>
      <c r="S58" t="n">
        <v>0.0001</v>
      </c>
    </row>
    <row r="59">
      <c r="A59" t="inlineStr">
        <is>
          <t>em-20251225-nurture</t>
        </is>
      </c>
      <c r="B59" s="5" t="n">
        <v>46016</v>
      </c>
      <c r="C59" t="inlineStr">
        <is>
          <t>nurture</t>
        </is>
      </c>
      <c r="D59" t="inlineStr">
        <is>
          <t>Welcome sequence (weekly batch)</t>
        </is>
      </c>
      <c r="E59" t="inlineStr">
        <is>
          <t>mail.scalelab.example</t>
        </is>
      </c>
      <c r="F59" t="n">
        <v>456</v>
      </c>
      <c r="G59" t="n">
        <v>454</v>
      </c>
      <c r="H59" t="n">
        <v>2</v>
      </c>
      <c r="I59" t="n">
        <v>308</v>
      </c>
      <c r="J59" t="n">
        <v>136</v>
      </c>
      <c r="K59" t="n">
        <v>172</v>
      </c>
      <c r="L59" t="n">
        <v>23</v>
      </c>
      <c r="M59" t="n">
        <v>1</v>
      </c>
      <c r="N59" t="n">
        <v>0</v>
      </c>
      <c r="O59" t="n">
        <v>0.0044</v>
      </c>
      <c r="P59" t="n">
        <v>0.3789</v>
      </c>
      <c r="Q59" t="n">
        <v>0.0507</v>
      </c>
      <c r="R59" t="n">
        <v>0.1337</v>
      </c>
      <c r="S59" t="n">
        <v>0</v>
      </c>
    </row>
    <row r="60">
      <c r="A60" t="inlineStr">
        <is>
          <t>em-20251230-newsletter</t>
        </is>
      </c>
      <c r="B60" s="5" t="n">
        <v>46021</v>
      </c>
      <c r="C60" t="inlineStr">
        <is>
          <t>newsletter</t>
        </is>
      </c>
      <c r="D60" t="inlineStr">
        <is>
          <t>Why busy founders stall at $1M (issue 5)</t>
        </is>
      </c>
      <c r="E60" t="inlineStr">
        <is>
          <t>mail.scalelab.example</t>
        </is>
      </c>
      <c r="F60" t="n">
        <v>15479</v>
      </c>
      <c r="G60" t="n">
        <v>15400</v>
      </c>
      <c r="H60" t="n">
        <v>79</v>
      </c>
      <c r="I60" t="n">
        <v>9266</v>
      </c>
      <c r="J60" t="n">
        <v>4661</v>
      </c>
      <c r="K60" t="n">
        <v>4605</v>
      </c>
      <c r="L60" t="n">
        <v>322</v>
      </c>
      <c r="M60" t="n">
        <v>28</v>
      </c>
      <c r="N60" t="n">
        <v>2</v>
      </c>
      <c r="O60" t="n">
        <v>0.0051</v>
      </c>
      <c r="P60" t="n">
        <v>0.299</v>
      </c>
      <c r="Q60" t="n">
        <v>0.0209</v>
      </c>
      <c r="R60" t="n">
        <v>0.0699</v>
      </c>
      <c r="S60" t="n">
        <v>0.0001</v>
      </c>
    </row>
    <row r="61">
      <c r="A61" t="inlineStr">
        <is>
          <t>em-20260101-nurture</t>
        </is>
      </c>
      <c r="B61" s="5" t="n">
        <v>46023</v>
      </c>
      <c r="C61" t="inlineStr">
        <is>
          <t>nurture</t>
        </is>
      </c>
      <c r="D61" t="inlineStr">
        <is>
          <t>Welcome sequence (weekly batch)</t>
        </is>
      </c>
      <c r="E61" t="inlineStr">
        <is>
          <t>mail.scalelab.example</t>
        </is>
      </c>
      <c r="F61" t="n">
        <v>402</v>
      </c>
      <c r="G61" t="n">
        <v>400</v>
      </c>
      <c r="H61" t="n">
        <v>2</v>
      </c>
      <c r="I61" t="n">
        <v>267</v>
      </c>
      <c r="J61" t="n">
        <v>118</v>
      </c>
      <c r="K61" t="n">
        <v>149</v>
      </c>
      <c r="L61" t="n">
        <v>21</v>
      </c>
      <c r="M61" t="n">
        <v>1</v>
      </c>
      <c r="N61" t="n">
        <v>0</v>
      </c>
      <c r="O61" t="n">
        <v>0.005</v>
      </c>
      <c r="P61" t="n">
        <v>0.3725</v>
      </c>
      <c r="Q61" t="n">
        <v>0.0525</v>
      </c>
      <c r="R61" t="n">
        <v>0.1409</v>
      </c>
      <c r="S61" t="n">
        <v>0</v>
      </c>
    </row>
    <row r="62">
      <c r="A62" t="inlineStr">
        <is>
          <t>em-20260105-webinar_invite</t>
        </is>
      </c>
      <c r="B62" s="5" t="n">
        <v>46027</v>
      </c>
      <c r="C62" t="inlineStr">
        <is>
          <t>webinar_invite</t>
        </is>
      </c>
      <c r="D62" t="inlineStr">
        <is>
          <t>Live this Thursday: the Growth OS workshop (January)</t>
        </is>
      </c>
      <c r="E62" t="inlineStr">
        <is>
          <t>mail.scalelab.example</t>
        </is>
      </c>
      <c r="F62" t="n">
        <v>15560</v>
      </c>
      <c r="G62" t="n">
        <v>15483</v>
      </c>
      <c r="H62" t="n">
        <v>77</v>
      </c>
      <c r="I62" t="n">
        <v>8535</v>
      </c>
      <c r="J62" t="n">
        <v>4666</v>
      </c>
      <c r="K62" t="n">
        <v>3869</v>
      </c>
      <c r="L62" t="n">
        <v>469</v>
      </c>
      <c r="M62" t="n">
        <v>24</v>
      </c>
      <c r="N62" t="n">
        <v>3</v>
      </c>
      <c r="O62" t="n">
        <v>0.0049</v>
      </c>
      <c r="P62" t="n">
        <v>0.2499</v>
      </c>
      <c r="Q62" t="n">
        <v>0.0303</v>
      </c>
      <c r="R62" t="n">
        <v>0.1212</v>
      </c>
      <c r="S62" t="n">
        <v>0.0002</v>
      </c>
    </row>
    <row r="63">
      <c r="A63" t="inlineStr">
        <is>
          <t>em-20260106-newsletter</t>
        </is>
      </c>
      <c r="B63" s="5" t="n">
        <v>46028</v>
      </c>
      <c r="C63" t="inlineStr">
        <is>
          <t>newsletter</t>
        </is>
      </c>
      <c r="D63" t="inlineStr">
        <is>
          <t>Three numbers to review every Monday (issue 2)</t>
        </is>
      </c>
      <c r="E63" t="inlineStr">
        <is>
          <t>mail.scalelab.example</t>
        </is>
      </c>
      <c r="F63" t="n">
        <v>15571</v>
      </c>
      <c r="G63" t="n">
        <v>15496</v>
      </c>
      <c r="H63" t="n">
        <v>75</v>
      </c>
      <c r="I63" t="n">
        <v>9600</v>
      </c>
      <c r="J63" t="n">
        <v>4844</v>
      </c>
      <c r="K63" t="n">
        <v>4756</v>
      </c>
      <c r="L63" t="n">
        <v>331</v>
      </c>
      <c r="M63" t="n">
        <v>30</v>
      </c>
      <c r="N63" t="n">
        <v>2</v>
      </c>
      <c r="O63" t="n">
        <v>0.0048</v>
      </c>
      <c r="P63" t="n">
        <v>0.3069</v>
      </c>
      <c r="Q63" t="n">
        <v>0.0214</v>
      </c>
      <c r="R63" t="n">
        <v>0.0696</v>
      </c>
      <c r="S63" t="n">
        <v>0.0001</v>
      </c>
    </row>
    <row r="64">
      <c r="A64" t="inlineStr">
        <is>
          <t>em-20260108-nurture</t>
        </is>
      </c>
      <c r="B64" s="5" t="n">
        <v>46030</v>
      </c>
      <c r="C64" t="inlineStr">
        <is>
          <t>nurture</t>
        </is>
      </c>
      <c r="D64" t="inlineStr">
        <is>
          <t>Welcome sequence (weekly batch)</t>
        </is>
      </c>
      <c r="E64" t="inlineStr">
        <is>
          <t>mail.scalelab.example</t>
        </is>
      </c>
      <c r="F64" t="n">
        <v>621</v>
      </c>
      <c r="G64" t="n">
        <v>618</v>
      </c>
      <c r="H64" t="n">
        <v>3</v>
      </c>
      <c r="I64" t="n">
        <v>398</v>
      </c>
      <c r="J64" t="n">
        <v>185</v>
      </c>
      <c r="K64" t="n">
        <v>213</v>
      </c>
      <c r="L64" t="n">
        <v>32</v>
      </c>
      <c r="M64" t="n">
        <v>2</v>
      </c>
      <c r="N64" t="n">
        <v>0</v>
      </c>
      <c r="O64" t="n">
        <v>0.0048</v>
      </c>
      <c r="P64" t="n">
        <v>0.3447</v>
      </c>
      <c r="Q64" t="n">
        <v>0.0518</v>
      </c>
      <c r="R64" t="n">
        <v>0.1502</v>
      </c>
      <c r="S64" t="n">
        <v>0</v>
      </c>
    </row>
    <row r="65">
      <c r="A65" t="inlineStr">
        <is>
          <t>em-20260113-newsletter</t>
        </is>
      </c>
      <c r="B65" s="5" t="n">
        <v>46035</v>
      </c>
      <c r="C65" t="inlineStr">
        <is>
          <t>newsletter</t>
        </is>
      </c>
      <c r="D65" t="inlineStr">
        <is>
          <t>The discovery call, line by line (issue 4)</t>
        </is>
      </c>
      <c r="E65" t="inlineStr">
        <is>
          <t>mail.scalelab.example</t>
        </is>
      </c>
      <c r="F65" t="n">
        <v>15745</v>
      </c>
      <c r="G65" t="n">
        <v>15671</v>
      </c>
      <c r="H65" t="n">
        <v>74</v>
      </c>
      <c r="I65" t="n">
        <v>8930</v>
      </c>
      <c r="J65" t="n">
        <v>4602</v>
      </c>
      <c r="K65" t="n">
        <v>4328</v>
      </c>
      <c r="L65" t="n">
        <v>327</v>
      </c>
      <c r="M65" t="n">
        <v>26</v>
      </c>
      <c r="N65" t="n">
        <v>2</v>
      </c>
      <c r="O65" t="n">
        <v>0.0047</v>
      </c>
      <c r="P65" t="n">
        <v>0.2762</v>
      </c>
      <c r="Q65" t="n">
        <v>0.0209</v>
      </c>
      <c r="R65" t="n">
        <v>0.0756</v>
      </c>
      <c r="S65" t="n">
        <v>0.0001</v>
      </c>
    </row>
    <row r="66">
      <c r="A66" t="inlineStr">
        <is>
          <t>em-20260115-nurture</t>
        </is>
      </c>
      <c r="B66" s="5" t="n">
        <v>46037</v>
      </c>
      <c r="C66" t="inlineStr">
        <is>
          <t>nurture</t>
        </is>
      </c>
      <c r="D66" t="inlineStr">
        <is>
          <t>Welcome sequence (weekly batch)</t>
        </is>
      </c>
      <c r="E66" t="inlineStr">
        <is>
          <t>mail.scalelab.example</t>
        </is>
      </c>
      <c r="F66" t="n">
        <v>723</v>
      </c>
      <c r="G66" t="n">
        <v>720</v>
      </c>
      <c r="H66" t="n">
        <v>3</v>
      </c>
      <c r="I66" t="n">
        <v>446</v>
      </c>
      <c r="J66" t="n">
        <v>195</v>
      </c>
      <c r="K66" t="n">
        <v>251</v>
      </c>
      <c r="L66" t="n">
        <v>38</v>
      </c>
      <c r="M66" t="n">
        <v>2</v>
      </c>
      <c r="N66" t="n">
        <v>0</v>
      </c>
      <c r="O66" t="n">
        <v>0.0041</v>
      </c>
      <c r="P66" t="n">
        <v>0.3486</v>
      </c>
      <c r="Q66" t="n">
        <v>0.0528</v>
      </c>
      <c r="R66" t="n">
        <v>0.1514</v>
      </c>
      <c r="S66" t="n">
        <v>0</v>
      </c>
    </row>
    <row r="67">
      <c r="A67" t="inlineStr">
        <is>
          <t>em-20260120-newsletter</t>
        </is>
      </c>
      <c r="B67" s="5" t="n">
        <v>46042</v>
      </c>
      <c r="C67" t="inlineStr">
        <is>
          <t>newsletter</t>
        </is>
      </c>
      <c r="D67" t="inlineStr">
        <is>
          <t>A calmer launch calendar (issue 6)</t>
        </is>
      </c>
      <c r="E67" t="inlineStr">
        <is>
          <t>mail.scalelab.example</t>
        </is>
      </c>
      <c r="F67" t="n">
        <v>15891</v>
      </c>
      <c r="G67" t="n">
        <v>15822</v>
      </c>
      <c r="H67" t="n">
        <v>69</v>
      </c>
      <c r="I67" t="n">
        <v>9400</v>
      </c>
      <c r="J67" t="n">
        <v>5134</v>
      </c>
      <c r="K67" t="n">
        <v>4266</v>
      </c>
      <c r="L67" t="n">
        <v>353</v>
      </c>
      <c r="M67" t="n">
        <v>27</v>
      </c>
      <c r="N67" t="n">
        <v>2</v>
      </c>
      <c r="O67" t="n">
        <v>0.0043</v>
      </c>
      <c r="P67" t="n">
        <v>0.2696</v>
      </c>
      <c r="Q67" t="n">
        <v>0.0223</v>
      </c>
      <c r="R67" t="n">
        <v>0.0827</v>
      </c>
      <c r="S67" t="n">
        <v>0.0001</v>
      </c>
    </row>
    <row r="68">
      <c r="A68" t="inlineStr">
        <is>
          <t>em-20260122-nurture</t>
        </is>
      </c>
      <c r="B68" s="5" t="n">
        <v>46044</v>
      </c>
      <c r="C68" t="inlineStr">
        <is>
          <t>nurture</t>
        </is>
      </c>
      <c r="D68" t="inlineStr">
        <is>
          <t>Welcome sequence (weekly batch)</t>
        </is>
      </c>
      <c r="E68" t="inlineStr">
        <is>
          <t>mail.scalelab.example</t>
        </is>
      </c>
      <c r="F68" t="n">
        <v>714</v>
      </c>
      <c r="G68" t="n">
        <v>711</v>
      </c>
      <c r="H68" t="n">
        <v>3</v>
      </c>
      <c r="I68" t="n">
        <v>430</v>
      </c>
      <c r="J68" t="n">
        <v>186</v>
      </c>
      <c r="K68" t="n">
        <v>244</v>
      </c>
      <c r="L68" t="n">
        <v>35</v>
      </c>
      <c r="M68" t="n">
        <v>1</v>
      </c>
      <c r="N68" t="n">
        <v>0</v>
      </c>
      <c r="O68" t="n">
        <v>0.0042</v>
      </c>
      <c r="P68" t="n">
        <v>0.3432</v>
      </c>
      <c r="Q68" t="n">
        <v>0.0492</v>
      </c>
      <c r="R68" t="n">
        <v>0.1434</v>
      </c>
      <c r="S68" t="n">
        <v>0</v>
      </c>
    </row>
    <row r="69">
      <c r="A69" t="inlineStr">
        <is>
          <t>em-20260127-newsletter</t>
        </is>
      </c>
      <c r="B69" s="5" t="n">
        <v>46049</v>
      </c>
      <c r="C69" t="inlineStr">
        <is>
          <t>newsletter</t>
        </is>
      </c>
      <c r="D69" t="inlineStr">
        <is>
          <t>Three numbers to review every Monday (issue 2)</t>
        </is>
      </c>
      <c r="E69" t="inlineStr">
        <is>
          <t>mail.scalelab.example</t>
        </is>
      </c>
      <c r="F69" t="n">
        <v>16042</v>
      </c>
      <c r="G69" t="n">
        <v>15957</v>
      </c>
      <c r="H69" t="n">
        <v>85</v>
      </c>
      <c r="I69" t="n">
        <v>9436</v>
      </c>
      <c r="J69" t="n">
        <v>4880</v>
      </c>
      <c r="K69" t="n">
        <v>4556</v>
      </c>
      <c r="L69" t="n">
        <v>337</v>
      </c>
      <c r="M69" t="n">
        <v>29</v>
      </c>
      <c r="N69" t="n">
        <v>2</v>
      </c>
      <c r="O69" t="n">
        <v>0.0053</v>
      </c>
      <c r="P69" t="n">
        <v>0.2855</v>
      </c>
      <c r="Q69" t="n">
        <v>0.0211</v>
      </c>
      <c r="R69" t="n">
        <v>0.074</v>
      </c>
      <c r="S69" t="n">
        <v>0.0001</v>
      </c>
    </row>
    <row r="70">
      <c r="A70" t="inlineStr">
        <is>
          <t>em-20260129-nurture</t>
        </is>
      </c>
      <c r="B70" s="5" t="n">
        <v>46051</v>
      </c>
      <c r="C70" t="inlineStr">
        <is>
          <t>nurture</t>
        </is>
      </c>
      <c r="D70" t="inlineStr">
        <is>
          <t>Welcome sequence (weekly batch)</t>
        </is>
      </c>
      <c r="E70" t="inlineStr">
        <is>
          <t>mail.scalelab.example</t>
        </is>
      </c>
      <c r="F70" t="n">
        <v>672</v>
      </c>
      <c r="G70" t="n">
        <v>669</v>
      </c>
      <c r="H70" t="n">
        <v>3</v>
      </c>
      <c r="I70" t="n">
        <v>443</v>
      </c>
      <c r="J70" t="n">
        <v>194</v>
      </c>
      <c r="K70" t="n">
        <v>249</v>
      </c>
      <c r="L70" t="n">
        <v>36</v>
      </c>
      <c r="M70" t="n">
        <v>2</v>
      </c>
      <c r="N70" t="n">
        <v>0</v>
      </c>
      <c r="O70" t="n">
        <v>0.0045</v>
      </c>
      <c r="P70" t="n">
        <v>0.3722</v>
      </c>
      <c r="Q70" t="n">
        <v>0.0538</v>
      </c>
      <c r="R70" t="n">
        <v>0.1446</v>
      </c>
      <c r="S70" t="n">
        <v>0</v>
      </c>
    </row>
    <row r="71">
      <c r="A71" t="inlineStr">
        <is>
          <t>em-20260203-newsletter</t>
        </is>
      </c>
      <c r="B71" s="5" t="n">
        <v>46056</v>
      </c>
      <c r="C71" t="inlineStr">
        <is>
          <t>newsletter</t>
        </is>
      </c>
      <c r="D71" t="inlineStr">
        <is>
          <t>The discovery call, line by line (issue 4)</t>
        </is>
      </c>
      <c r="E71" t="inlineStr">
        <is>
          <t>mail.scalelab.example</t>
        </is>
      </c>
      <c r="F71" t="n">
        <v>16205</v>
      </c>
      <c r="G71" t="n">
        <v>16127</v>
      </c>
      <c r="H71" t="n">
        <v>78</v>
      </c>
      <c r="I71" t="n">
        <v>9525</v>
      </c>
      <c r="J71" t="n">
        <v>5298</v>
      </c>
      <c r="K71" t="n">
        <v>4227</v>
      </c>
      <c r="L71" t="n">
        <v>342</v>
      </c>
      <c r="M71" t="n">
        <v>31</v>
      </c>
      <c r="N71" t="n">
        <v>3</v>
      </c>
      <c r="O71" t="n">
        <v>0.0048</v>
      </c>
      <c r="P71" t="n">
        <v>0.2621</v>
      </c>
      <c r="Q71" t="n">
        <v>0.0212</v>
      </c>
      <c r="R71" t="n">
        <v>0.0809</v>
      </c>
      <c r="S71" t="n">
        <v>0.0002</v>
      </c>
    </row>
    <row r="72">
      <c r="A72" t="inlineStr">
        <is>
          <t>em-20260205-nurture</t>
        </is>
      </c>
      <c r="B72" s="5" t="n">
        <v>46058</v>
      </c>
      <c r="C72" t="inlineStr">
        <is>
          <t>nurture</t>
        </is>
      </c>
      <c r="D72" t="inlineStr">
        <is>
          <t>Welcome sequence (weekly batch)</t>
        </is>
      </c>
      <c r="E72" t="inlineStr">
        <is>
          <t>mail.scalelab.example</t>
        </is>
      </c>
      <c r="F72" t="n">
        <v>678</v>
      </c>
      <c r="G72" t="n">
        <v>675</v>
      </c>
      <c r="H72" t="n">
        <v>3</v>
      </c>
      <c r="I72" t="n">
        <v>457</v>
      </c>
      <c r="J72" t="n">
        <v>187</v>
      </c>
      <c r="K72" t="n">
        <v>270</v>
      </c>
      <c r="L72" t="n">
        <v>34</v>
      </c>
      <c r="M72" t="n">
        <v>1</v>
      </c>
      <c r="N72" t="n">
        <v>0</v>
      </c>
      <c r="O72" t="n">
        <v>0.0044</v>
      </c>
      <c r="P72" t="n">
        <v>0.4</v>
      </c>
      <c r="Q72" t="n">
        <v>0.0504</v>
      </c>
      <c r="R72" t="n">
        <v>0.1259</v>
      </c>
      <c r="S72" t="n">
        <v>0</v>
      </c>
    </row>
    <row r="73">
      <c r="A73" t="inlineStr">
        <is>
          <t>em-20260209-webinar_invite</t>
        </is>
      </c>
      <c r="B73" s="5" t="n">
        <v>46062</v>
      </c>
      <c r="C73" t="inlineStr">
        <is>
          <t>webinar_invite</t>
        </is>
      </c>
      <c r="D73" t="inlineStr">
        <is>
          <t>Live this Thursday: the Growth OS workshop (February)</t>
        </is>
      </c>
      <c r="E73" t="inlineStr">
        <is>
          <t>mail.scalelab.example</t>
        </is>
      </c>
      <c r="F73" t="n">
        <v>16319</v>
      </c>
      <c r="G73" t="n">
        <v>16232</v>
      </c>
      <c r="H73" t="n">
        <v>87</v>
      </c>
      <c r="I73" t="n">
        <v>8855</v>
      </c>
      <c r="J73" t="n">
        <v>5007</v>
      </c>
      <c r="K73" t="n">
        <v>3848</v>
      </c>
      <c r="L73" t="n">
        <v>395</v>
      </c>
      <c r="M73" t="n">
        <v>22</v>
      </c>
      <c r="N73" t="n">
        <v>2</v>
      </c>
      <c r="O73" t="n">
        <v>0.0053</v>
      </c>
      <c r="P73" t="n">
        <v>0.2371</v>
      </c>
      <c r="Q73" t="n">
        <v>0.0243</v>
      </c>
      <c r="R73" t="n">
        <v>0.1027</v>
      </c>
      <c r="S73" t="n">
        <v>0.0001</v>
      </c>
    </row>
    <row r="74">
      <c r="A74" t="inlineStr">
        <is>
          <t>em-20260210-newsletter</t>
        </is>
      </c>
      <c r="B74" s="5" t="n">
        <v>46063</v>
      </c>
      <c r="C74" t="inlineStr">
        <is>
          <t>newsletter</t>
        </is>
      </c>
      <c r="D74" t="inlineStr">
        <is>
          <t>The pricing conversation most founders avoid (issue 1)</t>
        </is>
      </c>
      <c r="E74" t="inlineStr">
        <is>
          <t>mail.scalelab.example</t>
        </is>
      </c>
      <c r="F74" t="n">
        <v>16320</v>
      </c>
      <c r="G74" t="n">
        <v>16249</v>
      </c>
      <c r="H74" t="n">
        <v>71</v>
      </c>
      <c r="I74" t="n">
        <v>8784</v>
      </c>
      <c r="J74" t="n">
        <v>4716</v>
      </c>
      <c r="K74" t="n">
        <v>4068</v>
      </c>
      <c r="L74" t="n">
        <v>317</v>
      </c>
      <c r="M74" t="n">
        <v>30</v>
      </c>
      <c r="N74" t="n">
        <v>2</v>
      </c>
      <c r="O74" t="n">
        <v>0.0044</v>
      </c>
      <c r="P74" t="n">
        <v>0.2504</v>
      </c>
      <c r="Q74" t="n">
        <v>0.0195</v>
      </c>
      <c r="R74" t="n">
        <v>0.0779</v>
      </c>
      <c r="S74" t="n">
        <v>0.0001</v>
      </c>
    </row>
    <row r="75">
      <c r="A75" t="inlineStr">
        <is>
          <t>em-20260212-nurture</t>
        </is>
      </c>
      <c r="B75" s="5" t="n">
        <v>46065</v>
      </c>
      <c r="C75" t="inlineStr">
        <is>
          <t>nurture</t>
        </is>
      </c>
      <c r="D75" t="inlineStr">
        <is>
          <t>Welcome sequence (weekly batch)</t>
        </is>
      </c>
      <c r="E75" t="inlineStr">
        <is>
          <t>mail.scalelab.example</t>
        </is>
      </c>
      <c r="F75" t="n">
        <v>576</v>
      </c>
      <c r="G75" t="n">
        <v>573</v>
      </c>
      <c r="H75" t="n">
        <v>3</v>
      </c>
      <c r="I75" t="n">
        <v>366</v>
      </c>
      <c r="J75" t="n">
        <v>161</v>
      </c>
      <c r="K75" t="n">
        <v>205</v>
      </c>
      <c r="L75" t="n">
        <v>25</v>
      </c>
      <c r="M75" t="n">
        <v>1</v>
      </c>
      <c r="N75" t="n">
        <v>0</v>
      </c>
      <c r="O75" t="n">
        <v>0.0052</v>
      </c>
      <c r="P75" t="n">
        <v>0.3578</v>
      </c>
      <c r="Q75" t="n">
        <v>0.0436</v>
      </c>
      <c r="R75" t="n">
        <v>0.122</v>
      </c>
      <c r="S75" t="n">
        <v>0</v>
      </c>
    </row>
    <row r="76">
      <c r="A76" t="inlineStr">
        <is>
          <t>em-20260217-newsletter</t>
        </is>
      </c>
      <c r="B76" s="5" t="n">
        <v>46070</v>
      </c>
      <c r="C76" t="inlineStr">
        <is>
          <t>newsletter</t>
        </is>
      </c>
      <c r="D76" t="inlineStr">
        <is>
          <t>How we would hire your first operator (issue 3)</t>
        </is>
      </c>
      <c r="E76" t="inlineStr">
        <is>
          <t>mail.scalelab.example</t>
        </is>
      </c>
      <c r="F76" t="n">
        <v>16459</v>
      </c>
      <c r="G76" t="n">
        <v>16375</v>
      </c>
      <c r="H76" t="n">
        <v>84</v>
      </c>
      <c r="I76" t="n">
        <v>9888</v>
      </c>
      <c r="J76" t="n">
        <v>5342</v>
      </c>
      <c r="K76" t="n">
        <v>4546</v>
      </c>
      <c r="L76" t="n">
        <v>348</v>
      </c>
      <c r="M76" t="n">
        <v>30</v>
      </c>
      <c r="N76" t="n">
        <v>2</v>
      </c>
      <c r="O76" t="n">
        <v>0.0051</v>
      </c>
      <c r="P76" t="n">
        <v>0.2776</v>
      </c>
      <c r="Q76" t="n">
        <v>0.0213</v>
      </c>
      <c r="R76" t="n">
        <v>0.0766</v>
      </c>
      <c r="S76" t="n">
        <v>0.0001</v>
      </c>
    </row>
    <row r="77">
      <c r="A77" t="inlineStr">
        <is>
          <t>em-20260219-nurture</t>
        </is>
      </c>
      <c r="B77" s="5" t="n">
        <v>46072</v>
      </c>
      <c r="C77" t="inlineStr">
        <is>
          <t>nurture</t>
        </is>
      </c>
      <c r="D77" t="inlineStr">
        <is>
          <t>Welcome sequence (weekly batch)</t>
        </is>
      </c>
      <c r="E77" t="inlineStr">
        <is>
          <t>mail.scalelab.example</t>
        </is>
      </c>
      <c r="F77" t="n">
        <v>645</v>
      </c>
      <c r="G77" t="n">
        <v>642</v>
      </c>
      <c r="H77" t="n">
        <v>3</v>
      </c>
      <c r="I77" t="n">
        <v>412</v>
      </c>
      <c r="J77" t="n">
        <v>157</v>
      </c>
      <c r="K77" t="n">
        <v>255</v>
      </c>
      <c r="L77" t="n">
        <v>34</v>
      </c>
      <c r="M77" t="n">
        <v>1</v>
      </c>
      <c r="N77" t="n">
        <v>0</v>
      </c>
      <c r="O77" t="n">
        <v>0.0047</v>
      </c>
      <c r="P77" t="n">
        <v>0.3972</v>
      </c>
      <c r="Q77" t="n">
        <v>0.053</v>
      </c>
      <c r="R77" t="n">
        <v>0.1333</v>
      </c>
      <c r="S77" t="n">
        <v>0</v>
      </c>
    </row>
    <row r="78">
      <c r="A78" t="inlineStr">
        <is>
          <t>em-20260224-newsletter</t>
        </is>
      </c>
      <c r="B78" s="5" t="n">
        <v>46077</v>
      </c>
      <c r="C78" t="inlineStr">
        <is>
          <t>newsletter</t>
        </is>
      </c>
      <c r="D78" t="inlineStr">
        <is>
          <t>Why busy founders stall at $1M (issue 5)</t>
        </is>
      </c>
      <c r="E78" t="inlineStr">
        <is>
          <t>mail.scalelab.example</t>
        </is>
      </c>
      <c r="F78" t="n">
        <v>16575</v>
      </c>
      <c r="G78" t="n">
        <v>16494</v>
      </c>
      <c r="H78" t="n">
        <v>81</v>
      </c>
      <c r="I78" t="n">
        <v>9373</v>
      </c>
      <c r="J78" t="n">
        <v>5260</v>
      </c>
      <c r="K78" t="n">
        <v>4113</v>
      </c>
      <c r="L78" t="n">
        <v>370</v>
      </c>
      <c r="M78" t="n">
        <v>28</v>
      </c>
      <c r="N78" t="n">
        <v>2</v>
      </c>
      <c r="O78" t="n">
        <v>0.0049</v>
      </c>
      <c r="P78" t="n">
        <v>0.2494</v>
      </c>
      <c r="Q78" t="n">
        <v>0.0224</v>
      </c>
      <c r="R78" t="n">
        <v>0.09</v>
      </c>
      <c r="S78" t="n">
        <v>0.0001</v>
      </c>
    </row>
    <row r="79">
      <c r="A79" t="inlineStr">
        <is>
          <t>em-20260226-nurture</t>
        </is>
      </c>
      <c r="B79" s="5" t="n">
        <v>46079</v>
      </c>
      <c r="C79" t="inlineStr">
        <is>
          <t>nurture</t>
        </is>
      </c>
      <c r="D79" t="inlineStr">
        <is>
          <t>Welcome sequence (weekly batch)</t>
        </is>
      </c>
      <c r="E79" t="inlineStr">
        <is>
          <t>mail.scalelab.example</t>
        </is>
      </c>
      <c r="F79" t="n">
        <v>603</v>
      </c>
      <c r="G79" t="n">
        <v>600</v>
      </c>
      <c r="H79" t="n">
        <v>3</v>
      </c>
      <c r="I79" t="n">
        <v>394</v>
      </c>
      <c r="J79" t="n">
        <v>168</v>
      </c>
      <c r="K79" t="n">
        <v>226</v>
      </c>
      <c r="L79" t="n">
        <v>33</v>
      </c>
      <c r="M79" t="n">
        <v>1</v>
      </c>
      <c r="N79" t="n">
        <v>0</v>
      </c>
      <c r="O79" t="n">
        <v>0.005</v>
      </c>
      <c r="P79" t="n">
        <v>0.3767</v>
      </c>
      <c r="Q79" t="n">
        <v>0.055</v>
      </c>
      <c r="R79" t="n">
        <v>0.146</v>
      </c>
      <c r="S79" t="n">
        <v>0</v>
      </c>
    </row>
    <row r="80">
      <c r="A80" t="inlineStr">
        <is>
          <t>em-20260303-newsletter</t>
        </is>
      </c>
      <c r="B80" s="5" t="n">
        <v>46084</v>
      </c>
      <c r="C80" t="inlineStr">
        <is>
          <t>newsletter</t>
        </is>
      </c>
      <c r="D80" t="inlineStr">
        <is>
          <t>The pricing conversation most founders avoid (issue 1)</t>
        </is>
      </c>
      <c r="E80" t="inlineStr">
        <is>
          <t>mail.scalelab.example</t>
        </is>
      </c>
      <c r="F80" t="n">
        <v>16716</v>
      </c>
      <c r="G80" t="n">
        <v>16630</v>
      </c>
      <c r="H80" t="n">
        <v>86</v>
      </c>
      <c r="I80" t="n">
        <v>9357</v>
      </c>
      <c r="J80" t="n">
        <v>4746</v>
      </c>
      <c r="K80" t="n">
        <v>4611</v>
      </c>
      <c r="L80" t="n">
        <v>339</v>
      </c>
      <c r="M80" t="n">
        <v>28</v>
      </c>
      <c r="N80" t="n">
        <v>2</v>
      </c>
      <c r="O80" t="n">
        <v>0.0051</v>
      </c>
      <c r="P80" t="n">
        <v>0.2773</v>
      </c>
      <c r="Q80" t="n">
        <v>0.0204</v>
      </c>
      <c r="R80" t="n">
        <v>0.0735</v>
      </c>
      <c r="S80" t="n">
        <v>0.0001</v>
      </c>
    </row>
    <row r="81">
      <c r="A81" t="inlineStr">
        <is>
          <t>em-20260305-nurture</t>
        </is>
      </c>
      <c r="B81" s="5" t="n">
        <v>46086</v>
      </c>
      <c r="C81" t="inlineStr">
        <is>
          <t>nurture</t>
        </is>
      </c>
      <c r="D81" t="inlineStr">
        <is>
          <t>Welcome sequence (weekly batch)</t>
        </is>
      </c>
      <c r="E81" t="inlineStr">
        <is>
          <t>mail.scalelab.example</t>
        </is>
      </c>
      <c r="F81" t="n">
        <v>576</v>
      </c>
      <c r="G81" t="n">
        <v>573</v>
      </c>
      <c r="H81" t="n">
        <v>3</v>
      </c>
      <c r="I81" t="n">
        <v>375</v>
      </c>
      <c r="J81" t="n">
        <v>160</v>
      </c>
      <c r="K81" t="n">
        <v>215</v>
      </c>
      <c r="L81" t="n">
        <v>27</v>
      </c>
      <c r="M81" t="n">
        <v>1</v>
      </c>
      <c r="N81" t="n">
        <v>0</v>
      </c>
      <c r="O81" t="n">
        <v>0.0052</v>
      </c>
      <c r="P81" t="n">
        <v>0.3752</v>
      </c>
      <c r="Q81" t="n">
        <v>0.0471</v>
      </c>
      <c r="R81" t="n">
        <v>0.1256</v>
      </c>
      <c r="S81" t="n">
        <v>0</v>
      </c>
    </row>
    <row r="82">
      <c r="A82" t="inlineStr">
        <is>
          <t>em-20260309-webinar_invite</t>
        </is>
      </c>
      <c r="B82" s="5" t="n">
        <v>46090</v>
      </c>
      <c r="C82" t="inlineStr">
        <is>
          <t>webinar_invite</t>
        </is>
      </c>
      <c r="D82" t="inlineStr">
        <is>
          <t>Live this Thursday: the Growth OS workshop (March)</t>
        </is>
      </c>
      <c r="E82" t="inlineStr">
        <is>
          <t>mail.scalelab.example</t>
        </is>
      </c>
      <c r="F82" t="n">
        <v>16819</v>
      </c>
      <c r="G82" t="n">
        <v>16737</v>
      </c>
      <c r="H82" t="n">
        <v>82</v>
      </c>
      <c r="I82" t="n">
        <v>8511</v>
      </c>
      <c r="J82" t="n">
        <v>4574</v>
      </c>
      <c r="K82" t="n">
        <v>3937</v>
      </c>
      <c r="L82" t="n">
        <v>448</v>
      </c>
      <c r="M82" t="n">
        <v>22</v>
      </c>
      <c r="N82" t="n">
        <v>2</v>
      </c>
      <c r="O82" t="n">
        <v>0.0049</v>
      </c>
      <c r="P82" t="n">
        <v>0.2352</v>
      </c>
      <c r="Q82" t="n">
        <v>0.0268</v>
      </c>
      <c r="R82" t="n">
        <v>0.1138</v>
      </c>
      <c r="S82" t="n">
        <v>0.0001</v>
      </c>
    </row>
    <row r="83">
      <c r="A83" t="inlineStr">
        <is>
          <t>em-20260310-newsletter</t>
        </is>
      </c>
      <c r="B83" s="5" t="n">
        <v>46091</v>
      </c>
      <c r="C83" t="inlineStr">
        <is>
          <t>newsletter</t>
        </is>
      </c>
      <c r="D83" t="inlineStr">
        <is>
          <t>The discovery call, line by line (issue 4)</t>
        </is>
      </c>
      <c r="E83" t="inlineStr">
        <is>
          <t>mail.scalelab.example</t>
        </is>
      </c>
      <c r="F83" t="n">
        <v>16817</v>
      </c>
      <c r="G83" t="n">
        <v>16734</v>
      </c>
      <c r="H83" t="n">
        <v>83</v>
      </c>
      <c r="I83" t="n">
        <v>9503</v>
      </c>
      <c r="J83" t="n">
        <v>4853</v>
      </c>
      <c r="K83" t="n">
        <v>4650</v>
      </c>
      <c r="L83" t="n">
        <v>351</v>
      </c>
      <c r="M83" t="n">
        <v>30</v>
      </c>
      <c r="N83" t="n">
        <v>3</v>
      </c>
      <c r="O83" t="n">
        <v>0.0049</v>
      </c>
      <c r="P83" t="n">
        <v>0.2779</v>
      </c>
      <c r="Q83" t="n">
        <v>0.021</v>
      </c>
      <c r="R83" t="n">
        <v>0.0755</v>
      </c>
      <c r="S83" t="n">
        <v>0.0002</v>
      </c>
    </row>
    <row r="84">
      <c r="A84" t="inlineStr">
        <is>
          <t>em-20260312-nurture</t>
        </is>
      </c>
      <c r="B84" s="5" t="n">
        <v>46093</v>
      </c>
      <c r="C84" t="inlineStr">
        <is>
          <t>nurture</t>
        </is>
      </c>
      <c r="D84" t="inlineStr">
        <is>
          <t>Welcome sequence (weekly batch)</t>
        </is>
      </c>
      <c r="E84" t="inlineStr">
        <is>
          <t>mail.scalelab.example</t>
        </is>
      </c>
      <c r="F84" t="n">
        <v>612</v>
      </c>
      <c r="G84" t="n">
        <v>609</v>
      </c>
      <c r="H84" t="n">
        <v>3</v>
      </c>
      <c r="I84" t="n">
        <v>414</v>
      </c>
      <c r="J84" t="n">
        <v>181</v>
      </c>
      <c r="K84" t="n">
        <v>233</v>
      </c>
      <c r="L84" t="n">
        <v>33</v>
      </c>
      <c r="M84" t="n">
        <v>1</v>
      </c>
      <c r="N84" t="n">
        <v>0</v>
      </c>
      <c r="O84" t="n">
        <v>0.0049</v>
      </c>
      <c r="P84" t="n">
        <v>0.3826</v>
      </c>
      <c r="Q84" t="n">
        <v>0.0542</v>
      </c>
      <c r="R84" t="n">
        <v>0.1416</v>
      </c>
      <c r="S84" t="n">
        <v>0</v>
      </c>
    </row>
    <row r="85">
      <c r="A85" t="inlineStr">
        <is>
          <t>em-20260317-newsletter</t>
        </is>
      </c>
      <c r="B85" s="5" t="n">
        <v>46098</v>
      </c>
      <c r="C85" t="inlineStr">
        <is>
          <t>newsletter</t>
        </is>
      </c>
      <c r="D85" t="inlineStr">
        <is>
          <t>A calmer launch calendar (issue 6)</t>
        </is>
      </c>
      <c r="E85" t="inlineStr">
        <is>
          <t>mail.scalelab.example</t>
        </is>
      </c>
      <c r="F85" t="n">
        <v>16955</v>
      </c>
      <c r="G85" t="n">
        <v>16869</v>
      </c>
      <c r="H85" t="n">
        <v>86</v>
      </c>
      <c r="I85" t="n">
        <v>9919</v>
      </c>
      <c r="J85" t="n">
        <v>5412</v>
      </c>
      <c r="K85" t="n">
        <v>4507</v>
      </c>
      <c r="L85" t="n">
        <v>355</v>
      </c>
      <c r="M85" t="n">
        <v>30</v>
      </c>
      <c r="N85" t="n">
        <v>2</v>
      </c>
      <c r="O85" t="n">
        <v>0.0051</v>
      </c>
      <c r="P85" t="n">
        <v>0.2672</v>
      </c>
      <c r="Q85" t="n">
        <v>0.021</v>
      </c>
      <c r="R85" t="n">
        <v>0.0788</v>
      </c>
      <c r="S85" t="n">
        <v>0.0001</v>
      </c>
    </row>
    <row r="86">
      <c r="A86" t="inlineStr">
        <is>
          <t>em-20260319-nurture</t>
        </is>
      </c>
      <c r="B86" s="5" t="n">
        <v>46100</v>
      </c>
      <c r="C86" t="inlineStr">
        <is>
          <t>nurture</t>
        </is>
      </c>
      <c r="D86" t="inlineStr">
        <is>
          <t>Welcome sequence (weekly batch)</t>
        </is>
      </c>
      <c r="E86" t="inlineStr">
        <is>
          <t>mail.scalelab.example</t>
        </is>
      </c>
      <c r="F86" t="n">
        <v>585</v>
      </c>
      <c r="G86" t="n">
        <v>582</v>
      </c>
      <c r="H86" t="n">
        <v>3</v>
      </c>
      <c r="I86" t="n">
        <v>395</v>
      </c>
      <c r="J86" t="n">
        <v>154</v>
      </c>
      <c r="K86" t="n">
        <v>241</v>
      </c>
      <c r="L86" t="n">
        <v>29</v>
      </c>
      <c r="M86" t="n">
        <v>1</v>
      </c>
      <c r="N86" t="n">
        <v>0</v>
      </c>
      <c r="O86" t="n">
        <v>0.0051</v>
      </c>
      <c r="P86" t="n">
        <v>0.4141</v>
      </c>
      <c r="Q86" t="n">
        <v>0.0498</v>
      </c>
      <c r="R86" t="n">
        <v>0.1203</v>
      </c>
      <c r="S86" t="n">
        <v>0</v>
      </c>
    </row>
    <row r="87">
      <c r="A87" t="inlineStr">
        <is>
          <t>em-20260324-newsletter</t>
        </is>
      </c>
      <c r="B87" s="5" t="n">
        <v>46105</v>
      </c>
      <c r="C87" t="inlineStr">
        <is>
          <t>newsletter</t>
        </is>
      </c>
      <c r="D87" t="inlineStr">
        <is>
          <t>Three numbers to review every Monday (issue 2)</t>
        </is>
      </c>
      <c r="E87" t="inlineStr">
        <is>
          <t>mail.scalelab.example</t>
        </is>
      </c>
      <c r="F87" t="n">
        <v>17064</v>
      </c>
      <c r="G87" t="n">
        <v>16986</v>
      </c>
      <c r="H87" t="n">
        <v>78</v>
      </c>
      <c r="I87" t="n">
        <v>9665</v>
      </c>
      <c r="J87" t="n">
        <v>4982</v>
      </c>
      <c r="K87" t="n">
        <v>4683</v>
      </c>
      <c r="L87" t="n">
        <v>365</v>
      </c>
      <c r="M87" t="n">
        <v>32</v>
      </c>
      <c r="N87" t="n">
        <v>2</v>
      </c>
      <c r="O87" t="n">
        <v>0.0046</v>
      </c>
      <c r="P87" t="n">
        <v>0.2757</v>
      </c>
      <c r="Q87" t="n">
        <v>0.0215</v>
      </c>
      <c r="R87" t="n">
        <v>0.0779</v>
      </c>
      <c r="S87" t="n">
        <v>0.0001</v>
      </c>
    </row>
    <row r="88">
      <c r="A88" t="inlineStr">
        <is>
          <t>em-20260326-nurture</t>
        </is>
      </c>
      <c r="B88" s="5" t="n">
        <v>46107</v>
      </c>
      <c r="C88" t="inlineStr">
        <is>
          <t>nurture</t>
        </is>
      </c>
      <c r="D88" t="inlineStr">
        <is>
          <t>Welcome sequence (weekly batch)</t>
        </is>
      </c>
      <c r="E88" t="inlineStr">
        <is>
          <t>mail.scalelab.example</t>
        </is>
      </c>
      <c r="F88" t="n">
        <v>531</v>
      </c>
      <c r="G88" t="n">
        <v>528</v>
      </c>
      <c r="H88" t="n">
        <v>3</v>
      </c>
      <c r="I88" t="n">
        <v>323</v>
      </c>
      <c r="J88" t="n">
        <v>131</v>
      </c>
      <c r="K88" t="n">
        <v>192</v>
      </c>
      <c r="L88" t="n">
        <v>27</v>
      </c>
      <c r="M88" t="n">
        <v>1</v>
      </c>
      <c r="N88" t="n">
        <v>0</v>
      </c>
      <c r="O88" t="n">
        <v>0.0056</v>
      </c>
      <c r="P88" t="n">
        <v>0.3636</v>
      </c>
      <c r="Q88" t="n">
        <v>0.0511</v>
      </c>
      <c r="R88" t="n">
        <v>0.1406</v>
      </c>
      <c r="S88" t="n">
        <v>0</v>
      </c>
    </row>
    <row r="89">
      <c r="A89" t="inlineStr">
        <is>
          <t>em-20260331-newsletter</t>
        </is>
      </c>
      <c r="B89" s="5" t="n">
        <v>46112</v>
      </c>
      <c r="C89" t="inlineStr">
        <is>
          <t>newsletter</t>
        </is>
      </c>
      <c r="D89" t="inlineStr">
        <is>
          <t>The discovery call, line by line (issue 4)</t>
        </is>
      </c>
      <c r="E89" t="inlineStr">
        <is>
          <t>mail.scalelab.example</t>
        </is>
      </c>
      <c r="F89" t="n">
        <v>17177</v>
      </c>
      <c r="G89" t="n">
        <v>17086</v>
      </c>
      <c r="H89" t="n">
        <v>91</v>
      </c>
      <c r="I89" t="n">
        <v>9806</v>
      </c>
      <c r="J89" t="n">
        <v>5704</v>
      </c>
      <c r="K89" t="n">
        <v>4102</v>
      </c>
      <c r="L89" t="n">
        <v>324</v>
      </c>
      <c r="M89" t="n">
        <v>30</v>
      </c>
      <c r="N89" t="n">
        <v>3</v>
      </c>
      <c r="O89" t="n">
        <v>0.0053</v>
      </c>
      <c r="P89" t="n">
        <v>0.2401</v>
      </c>
      <c r="Q89" t="n">
        <v>0.019</v>
      </c>
      <c r="R89" t="n">
        <v>0.079</v>
      </c>
      <c r="S89" t="n">
        <v>0.0002</v>
      </c>
    </row>
    <row r="90">
      <c r="A90" t="inlineStr">
        <is>
          <t>em-20260402-nurture</t>
        </is>
      </c>
      <c r="B90" s="5" t="n">
        <v>46114</v>
      </c>
      <c r="C90" t="inlineStr">
        <is>
          <t>nurture</t>
        </is>
      </c>
      <c r="D90" t="inlineStr">
        <is>
          <t>Welcome sequence (weekly batch)</t>
        </is>
      </c>
      <c r="E90" t="inlineStr">
        <is>
          <t>mail.scalelab.example</t>
        </is>
      </c>
      <c r="F90" t="n">
        <v>543</v>
      </c>
      <c r="G90" t="n">
        <v>541</v>
      </c>
      <c r="H90" t="n">
        <v>2</v>
      </c>
      <c r="I90" t="n">
        <v>348</v>
      </c>
      <c r="J90" t="n">
        <v>141</v>
      </c>
      <c r="K90" t="n">
        <v>207</v>
      </c>
      <c r="L90" t="n">
        <v>31</v>
      </c>
      <c r="M90" t="n">
        <v>1</v>
      </c>
      <c r="N90" t="n">
        <v>0</v>
      </c>
      <c r="O90" t="n">
        <v>0.0037</v>
      </c>
      <c r="P90" t="n">
        <v>0.3826</v>
      </c>
      <c r="Q90" t="n">
        <v>0.0573</v>
      </c>
      <c r="R90" t="n">
        <v>0.1498</v>
      </c>
      <c r="S90" t="n">
        <v>0</v>
      </c>
    </row>
    <row r="91">
      <c r="A91" t="inlineStr">
        <is>
          <t>em-20260406-webinar_invite</t>
        </is>
      </c>
      <c r="B91" s="5" t="n">
        <v>46118</v>
      </c>
      <c r="C91" t="inlineStr">
        <is>
          <t>webinar_invite</t>
        </is>
      </c>
      <c r="D91" t="inlineStr">
        <is>
          <t>Live this Thursday: the Growth OS workshop (April)</t>
        </is>
      </c>
      <c r="E91" t="inlineStr">
        <is>
          <t>mail.scalelab.example</t>
        </is>
      </c>
      <c r="F91" t="n">
        <v>17274</v>
      </c>
      <c r="G91" t="n">
        <v>17189</v>
      </c>
      <c r="H91" t="n">
        <v>85</v>
      </c>
      <c r="I91" t="n">
        <v>9093</v>
      </c>
      <c r="J91" t="n">
        <v>4964</v>
      </c>
      <c r="K91" t="n">
        <v>4129</v>
      </c>
      <c r="L91" t="n">
        <v>448</v>
      </c>
      <c r="M91" t="n">
        <v>30</v>
      </c>
      <c r="N91" t="n">
        <v>3</v>
      </c>
      <c r="O91" t="n">
        <v>0.0049</v>
      </c>
      <c r="P91" t="n">
        <v>0.2402</v>
      </c>
      <c r="Q91" t="n">
        <v>0.0261</v>
      </c>
      <c r="R91" t="n">
        <v>0.1085</v>
      </c>
      <c r="S91" t="n">
        <v>0.0002</v>
      </c>
    </row>
    <row r="92">
      <c r="A92" t="inlineStr">
        <is>
          <t>em-20260407-newsletter</t>
        </is>
      </c>
      <c r="B92" s="5" t="n">
        <v>46119</v>
      </c>
      <c r="C92" t="inlineStr">
        <is>
          <t>newsletter</t>
        </is>
      </c>
      <c r="D92" t="inlineStr">
        <is>
          <t>The pricing conversation most founders avoid (issue 1)</t>
        </is>
      </c>
      <c r="E92" t="inlineStr">
        <is>
          <t>mail.scalelab.example</t>
        </is>
      </c>
      <c r="F92" t="n">
        <v>17277</v>
      </c>
      <c r="G92" t="n">
        <v>17195</v>
      </c>
      <c r="H92" t="n">
        <v>82</v>
      </c>
      <c r="I92" t="n">
        <v>9250</v>
      </c>
      <c r="J92" t="n">
        <v>4684</v>
      </c>
      <c r="K92" t="n">
        <v>4566</v>
      </c>
      <c r="L92" t="n">
        <v>322</v>
      </c>
      <c r="M92" t="n">
        <v>28</v>
      </c>
      <c r="N92" t="n">
        <v>2</v>
      </c>
      <c r="O92" t="n">
        <v>0.0047</v>
      </c>
      <c r="P92" t="n">
        <v>0.2655</v>
      </c>
      <c r="Q92" t="n">
        <v>0.0187</v>
      </c>
      <c r="R92" t="n">
        <v>0.07049999999999999</v>
      </c>
      <c r="S92" t="n">
        <v>0.0001</v>
      </c>
    </row>
    <row r="93">
      <c r="A93" t="inlineStr">
        <is>
          <t>em-20260409-nurture</t>
        </is>
      </c>
      <c r="B93" s="5" t="n">
        <v>46121</v>
      </c>
      <c r="C93" t="inlineStr">
        <is>
          <t>nurture</t>
        </is>
      </c>
      <c r="D93" t="inlineStr">
        <is>
          <t>Welcome sequence (weekly batch)</t>
        </is>
      </c>
      <c r="E93" t="inlineStr">
        <is>
          <t>mail.scalelab.example</t>
        </is>
      </c>
      <c r="F93" t="n">
        <v>621</v>
      </c>
      <c r="G93" t="n">
        <v>618</v>
      </c>
      <c r="H93" t="n">
        <v>3</v>
      </c>
      <c r="I93" t="n">
        <v>422</v>
      </c>
      <c r="J93" t="n">
        <v>187</v>
      </c>
      <c r="K93" t="n">
        <v>235</v>
      </c>
      <c r="L93" t="n">
        <v>31</v>
      </c>
      <c r="M93" t="n">
        <v>1</v>
      </c>
      <c r="N93" t="n">
        <v>0</v>
      </c>
      <c r="O93" t="n">
        <v>0.0048</v>
      </c>
      <c r="P93" t="n">
        <v>0.3803</v>
      </c>
      <c r="Q93" t="n">
        <v>0.0502</v>
      </c>
      <c r="R93" t="n">
        <v>0.1319</v>
      </c>
      <c r="S93" t="n">
        <v>0</v>
      </c>
    </row>
    <row r="94">
      <c r="A94" t="inlineStr">
        <is>
          <t>em-20260414-newsletter</t>
        </is>
      </c>
      <c r="B94" s="5" t="n">
        <v>46126</v>
      </c>
      <c r="C94" t="inlineStr">
        <is>
          <t>newsletter</t>
        </is>
      </c>
      <c r="D94" t="inlineStr">
        <is>
          <t>How we would hire your first operator (issue 3)</t>
        </is>
      </c>
      <c r="E94" t="inlineStr">
        <is>
          <t>mail.scalelab.example</t>
        </is>
      </c>
      <c r="F94" t="n">
        <v>17422</v>
      </c>
      <c r="G94" t="n">
        <v>17328</v>
      </c>
      <c r="H94" t="n">
        <v>94</v>
      </c>
      <c r="I94" t="n">
        <v>9722</v>
      </c>
      <c r="J94" t="n">
        <v>4957</v>
      </c>
      <c r="K94" t="n">
        <v>4765</v>
      </c>
      <c r="L94" t="n">
        <v>373</v>
      </c>
      <c r="M94" t="n">
        <v>32</v>
      </c>
      <c r="N94" t="n">
        <v>3</v>
      </c>
      <c r="O94" t="n">
        <v>0.0054</v>
      </c>
      <c r="P94" t="n">
        <v>0.275</v>
      </c>
      <c r="Q94" t="n">
        <v>0.0215</v>
      </c>
      <c r="R94" t="n">
        <v>0.07829999999999999</v>
      </c>
      <c r="S94" t="n">
        <v>0.0002</v>
      </c>
    </row>
    <row r="95">
      <c r="A95" t="inlineStr">
        <is>
          <t>em-20260416-nurture</t>
        </is>
      </c>
      <c r="B95" s="5" t="n">
        <v>46128</v>
      </c>
      <c r="C95" t="inlineStr">
        <is>
          <t>nurture</t>
        </is>
      </c>
      <c r="D95" t="inlineStr">
        <is>
          <t>Welcome sequence (weekly batch)</t>
        </is>
      </c>
      <c r="E95" t="inlineStr">
        <is>
          <t>mail.scalelab.example</t>
        </is>
      </c>
      <c r="F95" t="n">
        <v>654</v>
      </c>
      <c r="G95" t="n">
        <v>650</v>
      </c>
      <c r="H95" t="n">
        <v>4</v>
      </c>
      <c r="I95" t="n">
        <v>434</v>
      </c>
      <c r="J95" t="n">
        <v>177</v>
      </c>
      <c r="K95" t="n">
        <v>257</v>
      </c>
      <c r="L95" t="n">
        <v>35</v>
      </c>
      <c r="M95" t="n">
        <v>2</v>
      </c>
      <c r="N95" t="n">
        <v>0</v>
      </c>
      <c r="O95" t="n">
        <v>0.0061</v>
      </c>
      <c r="P95" t="n">
        <v>0.3954</v>
      </c>
      <c r="Q95" t="n">
        <v>0.0538</v>
      </c>
      <c r="R95" t="n">
        <v>0.1362</v>
      </c>
      <c r="S95" t="n">
        <v>0</v>
      </c>
    </row>
    <row r="96">
      <c r="A96" t="inlineStr">
        <is>
          <t>em-20260421-newsletter</t>
        </is>
      </c>
      <c r="B96" s="5" t="n">
        <v>46133</v>
      </c>
      <c r="C96" t="inlineStr">
        <is>
          <t>newsletter</t>
        </is>
      </c>
      <c r="D96" t="inlineStr">
        <is>
          <t>Why busy founders stall at $1M (issue 5)</t>
        </is>
      </c>
      <c r="E96" t="inlineStr">
        <is>
          <t>mail.scalelab.example</t>
        </is>
      </c>
      <c r="F96" t="n">
        <v>17554</v>
      </c>
      <c r="G96" t="n">
        <v>17468</v>
      </c>
      <c r="H96" t="n">
        <v>86</v>
      </c>
      <c r="I96" t="n">
        <v>10583</v>
      </c>
      <c r="J96" t="n">
        <v>5580</v>
      </c>
      <c r="K96" t="n">
        <v>5003</v>
      </c>
      <c r="L96" t="n">
        <v>364</v>
      </c>
      <c r="M96" t="n">
        <v>29</v>
      </c>
      <c r="N96" t="n">
        <v>3</v>
      </c>
      <c r="O96" t="n">
        <v>0.0049</v>
      </c>
      <c r="P96" t="n">
        <v>0.2864</v>
      </c>
      <c r="Q96" t="n">
        <v>0.0208</v>
      </c>
      <c r="R96" t="n">
        <v>0.0728</v>
      </c>
      <c r="S96" t="n">
        <v>0.0002</v>
      </c>
    </row>
    <row r="97">
      <c r="A97" t="inlineStr">
        <is>
          <t>em-20260423-nurture</t>
        </is>
      </c>
      <c r="B97" s="5" t="n">
        <v>46135</v>
      </c>
      <c r="C97" t="inlineStr">
        <is>
          <t>nurture</t>
        </is>
      </c>
      <c r="D97" t="inlineStr">
        <is>
          <t>Welcome sequence (weekly batch)</t>
        </is>
      </c>
      <c r="E97" t="inlineStr">
        <is>
          <t>mail.scalelab.example</t>
        </is>
      </c>
      <c r="F97" t="n">
        <v>648</v>
      </c>
      <c r="G97" t="n">
        <v>645</v>
      </c>
      <c r="H97" t="n">
        <v>3</v>
      </c>
      <c r="I97" t="n">
        <v>421</v>
      </c>
      <c r="J97" t="n">
        <v>177</v>
      </c>
      <c r="K97" t="n">
        <v>244</v>
      </c>
      <c r="L97" t="n">
        <v>33</v>
      </c>
      <c r="M97" t="n">
        <v>1</v>
      </c>
      <c r="N97" t="n">
        <v>0</v>
      </c>
      <c r="O97" t="n">
        <v>0.0046</v>
      </c>
      <c r="P97" t="n">
        <v>0.3783</v>
      </c>
      <c r="Q97" t="n">
        <v>0.0512</v>
      </c>
      <c r="R97" t="n">
        <v>0.1352</v>
      </c>
      <c r="S97" t="n">
        <v>0</v>
      </c>
    </row>
    <row r="98">
      <c r="A98" t="inlineStr">
        <is>
          <t>em-20260428-newsletter</t>
        </is>
      </c>
      <c r="B98" s="5" t="n">
        <v>46140</v>
      </c>
      <c r="C98" t="inlineStr">
        <is>
          <t>newsletter</t>
        </is>
      </c>
      <c r="D98" t="inlineStr">
        <is>
          <t>The pricing conversation most founders avoid (issue 1)</t>
        </is>
      </c>
      <c r="E98" t="inlineStr">
        <is>
          <t>mail.scalelab.example</t>
        </is>
      </c>
      <c r="F98" t="n">
        <v>17700</v>
      </c>
      <c r="G98" t="n">
        <v>17602</v>
      </c>
      <c r="H98" t="n">
        <v>98</v>
      </c>
      <c r="I98" t="n">
        <v>10488</v>
      </c>
      <c r="J98" t="n">
        <v>5371</v>
      </c>
      <c r="K98" t="n">
        <v>5117</v>
      </c>
      <c r="L98" t="n">
        <v>397</v>
      </c>
      <c r="M98" t="n">
        <v>33</v>
      </c>
      <c r="N98" t="n">
        <v>3</v>
      </c>
      <c r="O98" t="n">
        <v>0.0055</v>
      </c>
      <c r="P98" t="n">
        <v>0.2907</v>
      </c>
      <c r="Q98" t="n">
        <v>0.0226</v>
      </c>
      <c r="R98" t="n">
        <v>0.0776</v>
      </c>
      <c r="S98" t="n">
        <v>0.0002</v>
      </c>
    </row>
    <row r="99">
      <c r="A99" t="inlineStr">
        <is>
          <t>em-20260430-nurture</t>
        </is>
      </c>
      <c r="B99" s="5" t="n">
        <v>46142</v>
      </c>
      <c r="C99" t="inlineStr">
        <is>
          <t>nurture</t>
        </is>
      </c>
      <c r="D99" t="inlineStr">
        <is>
          <t>Welcome sequence (weekly batch)</t>
        </is>
      </c>
      <c r="E99" t="inlineStr">
        <is>
          <t>mail.scalelab.example</t>
        </is>
      </c>
      <c r="F99" t="n">
        <v>657</v>
      </c>
      <c r="G99" t="n">
        <v>654</v>
      </c>
      <c r="H99" t="n">
        <v>3</v>
      </c>
      <c r="I99" t="n">
        <v>441</v>
      </c>
      <c r="J99" t="n">
        <v>204</v>
      </c>
      <c r="K99" t="n">
        <v>237</v>
      </c>
      <c r="L99" t="n">
        <v>33</v>
      </c>
      <c r="M99" t="n">
        <v>1</v>
      </c>
      <c r="N99" t="n">
        <v>0</v>
      </c>
      <c r="O99" t="n">
        <v>0.0046</v>
      </c>
      <c r="P99" t="n">
        <v>0.3624</v>
      </c>
      <c r="Q99" t="n">
        <v>0.0505</v>
      </c>
      <c r="R99" t="n">
        <v>0.1392</v>
      </c>
      <c r="S99" t="n">
        <v>0</v>
      </c>
    </row>
    <row r="100">
      <c r="A100" t="inlineStr">
        <is>
          <t>em-20260505-newsletter</t>
        </is>
      </c>
      <c r="B100" s="5" t="n">
        <v>46147</v>
      </c>
      <c r="C100" t="inlineStr">
        <is>
          <t>newsletter</t>
        </is>
      </c>
      <c r="D100" t="inlineStr">
        <is>
          <t>How we would hire your first operator (issue 3)</t>
        </is>
      </c>
      <c r="E100" t="inlineStr">
        <is>
          <t>mail.scalelab.example</t>
        </is>
      </c>
      <c r="F100" t="n">
        <v>17824</v>
      </c>
      <c r="G100" t="n">
        <v>17738</v>
      </c>
      <c r="H100" t="n">
        <v>86</v>
      </c>
      <c r="I100" t="n">
        <v>10014</v>
      </c>
      <c r="J100" t="n">
        <v>5294</v>
      </c>
      <c r="K100" t="n">
        <v>4720</v>
      </c>
      <c r="L100" t="n">
        <v>349</v>
      </c>
      <c r="M100" t="n">
        <v>34</v>
      </c>
      <c r="N100" t="n">
        <v>2</v>
      </c>
      <c r="O100" t="n">
        <v>0.0048</v>
      </c>
      <c r="P100" t="n">
        <v>0.2661</v>
      </c>
      <c r="Q100" t="n">
        <v>0.0197</v>
      </c>
      <c r="R100" t="n">
        <v>0.07389999999999999</v>
      </c>
      <c r="S100" t="n">
        <v>0.0001</v>
      </c>
    </row>
    <row r="101">
      <c r="A101" t="inlineStr">
        <is>
          <t>em-20260507-nurture</t>
        </is>
      </c>
      <c r="B101" s="5" t="n">
        <v>46149</v>
      </c>
      <c r="C101" t="inlineStr">
        <is>
          <t>nurture</t>
        </is>
      </c>
      <c r="D101" t="inlineStr">
        <is>
          <t>Welcome sequence (weekly batch)</t>
        </is>
      </c>
      <c r="E101" t="inlineStr">
        <is>
          <t>mail.scalelab.example</t>
        </is>
      </c>
      <c r="F101" t="n">
        <v>621</v>
      </c>
      <c r="G101" t="n">
        <v>618</v>
      </c>
      <c r="H101" t="n">
        <v>3</v>
      </c>
      <c r="I101" t="n">
        <v>405</v>
      </c>
      <c r="J101" t="n">
        <v>173</v>
      </c>
      <c r="K101" t="n">
        <v>232</v>
      </c>
      <c r="L101" t="n">
        <v>33</v>
      </c>
      <c r="M101" t="n">
        <v>1</v>
      </c>
      <c r="N101" t="n">
        <v>0</v>
      </c>
      <c r="O101" t="n">
        <v>0.0048</v>
      </c>
      <c r="P101" t="n">
        <v>0.3754</v>
      </c>
      <c r="Q101" t="n">
        <v>0.0534</v>
      </c>
      <c r="R101" t="n">
        <v>0.1422</v>
      </c>
      <c r="S101" t="n">
        <v>0</v>
      </c>
    </row>
    <row r="102">
      <c r="A102" t="inlineStr">
        <is>
          <t>em-20260511-webinar_invite</t>
        </is>
      </c>
      <c r="B102" s="5" t="n">
        <v>46153</v>
      </c>
      <c r="C102" t="inlineStr">
        <is>
          <t>webinar_invite</t>
        </is>
      </c>
      <c r="D102" t="inlineStr">
        <is>
          <t>Live this Thursday: the Growth OS workshop (May)</t>
        </is>
      </c>
      <c r="E102" t="inlineStr">
        <is>
          <t>mail.scalelab.example</t>
        </is>
      </c>
      <c r="F102" t="n">
        <v>17956</v>
      </c>
      <c r="G102" t="n">
        <v>17861</v>
      </c>
      <c r="H102" t="n">
        <v>95</v>
      </c>
      <c r="I102" t="n">
        <v>9666</v>
      </c>
      <c r="J102" t="n">
        <v>5272</v>
      </c>
      <c r="K102" t="n">
        <v>4394</v>
      </c>
      <c r="L102" t="n">
        <v>517</v>
      </c>
      <c r="M102" t="n">
        <v>28</v>
      </c>
      <c r="N102" t="n">
        <v>3</v>
      </c>
      <c r="O102" t="n">
        <v>0.0053</v>
      </c>
      <c r="P102" t="n">
        <v>0.246</v>
      </c>
      <c r="Q102" t="n">
        <v>0.0289</v>
      </c>
      <c r="R102" t="n">
        <v>0.1177</v>
      </c>
      <c r="S102" t="n">
        <v>0.0002</v>
      </c>
    </row>
    <row r="103">
      <c r="A103" t="inlineStr">
        <is>
          <t>em-20260512-newsletter</t>
        </is>
      </c>
      <c r="B103" s="5" t="n">
        <v>46154</v>
      </c>
      <c r="C103" t="inlineStr">
        <is>
          <t>newsletter</t>
        </is>
      </c>
      <c r="D103" t="inlineStr">
        <is>
          <t>A calmer launch calendar (issue 6)</t>
        </is>
      </c>
      <c r="E103" t="inlineStr">
        <is>
          <t>mail.scalelab.example</t>
        </is>
      </c>
      <c r="F103" t="n">
        <v>17955</v>
      </c>
      <c r="G103" t="n">
        <v>17869</v>
      </c>
      <c r="H103" t="n">
        <v>86</v>
      </c>
      <c r="I103" t="n">
        <v>10189</v>
      </c>
      <c r="J103" t="n">
        <v>5661</v>
      </c>
      <c r="K103" t="n">
        <v>4528</v>
      </c>
      <c r="L103" t="n">
        <v>345</v>
      </c>
      <c r="M103" t="n">
        <v>36</v>
      </c>
      <c r="N103" t="n">
        <v>3</v>
      </c>
      <c r="O103" t="n">
        <v>0.0048</v>
      </c>
      <c r="P103" t="n">
        <v>0.2534</v>
      </c>
      <c r="Q103" t="n">
        <v>0.0193</v>
      </c>
      <c r="R103" t="n">
        <v>0.0762</v>
      </c>
      <c r="S103" t="n">
        <v>0.0002</v>
      </c>
    </row>
    <row r="104">
      <c r="A104" t="inlineStr">
        <is>
          <t>em-20260514-nurture</t>
        </is>
      </c>
      <c r="B104" s="5" t="n">
        <v>46156</v>
      </c>
      <c r="C104" t="inlineStr">
        <is>
          <t>nurture</t>
        </is>
      </c>
      <c r="D104" t="inlineStr">
        <is>
          <t>Welcome sequence (weekly batch)</t>
        </is>
      </c>
      <c r="E104" t="inlineStr">
        <is>
          <t>mail.scalelab.example</t>
        </is>
      </c>
      <c r="F104" t="n">
        <v>687</v>
      </c>
      <c r="G104" t="n">
        <v>684</v>
      </c>
      <c r="H104" t="n">
        <v>3</v>
      </c>
      <c r="I104" t="n">
        <v>465</v>
      </c>
      <c r="J104" t="n">
        <v>200</v>
      </c>
      <c r="K104" t="n">
        <v>265</v>
      </c>
      <c r="L104" t="n">
        <v>36</v>
      </c>
      <c r="M104" t="n">
        <v>2</v>
      </c>
      <c r="N104" t="n">
        <v>0</v>
      </c>
      <c r="O104" t="n">
        <v>0.0044</v>
      </c>
      <c r="P104" t="n">
        <v>0.3874</v>
      </c>
      <c r="Q104" t="n">
        <v>0.0526</v>
      </c>
      <c r="R104" t="n">
        <v>0.1358</v>
      </c>
      <c r="S104" t="n">
        <v>0</v>
      </c>
    </row>
    <row r="105">
      <c r="A105" t="inlineStr">
        <is>
          <t>em-20260519-newsletter</t>
        </is>
      </c>
      <c r="B105" s="5" t="n">
        <v>46161</v>
      </c>
      <c r="C105" t="inlineStr">
        <is>
          <t>newsletter</t>
        </is>
      </c>
      <c r="D105" t="inlineStr">
        <is>
          <t>Three numbers to review every Monday (issue 2)</t>
        </is>
      </c>
      <c r="E105" t="inlineStr">
        <is>
          <t>mail.scalelab.example</t>
        </is>
      </c>
      <c r="F105" t="n">
        <v>18103</v>
      </c>
      <c r="G105" t="n">
        <v>18019</v>
      </c>
      <c r="H105" t="n">
        <v>84</v>
      </c>
      <c r="I105" t="n">
        <v>9633</v>
      </c>
      <c r="J105" t="n">
        <v>5128</v>
      </c>
      <c r="K105" t="n">
        <v>4505</v>
      </c>
      <c r="L105" t="n">
        <v>414</v>
      </c>
      <c r="M105" t="n">
        <v>35</v>
      </c>
      <c r="N105" t="n">
        <v>3</v>
      </c>
      <c r="O105" t="n">
        <v>0.0046</v>
      </c>
      <c r="P105" t="n">
        <v>0.25</v>
      </c>
      <c r="Q105" t="n">
        <v>0.023</v>
      </c>
      <c r="R105" t="n">
        <v>0.0919</v>
      </c>
      <c r="S105" t="n">
        <v>0.0002</v>
      </c>
    </row>
    <row r="106">
      <c r="A106" t="inlineStr">
        <is>
          <t>em-20260521-nurture</t>
        </is>
      </c>
      <c r="B106" s="5" t="n">
        <v>46163</v>
      </c>
      <c r="C106" t="inlineStr">
        <is>
          <t>nurture</t>
        </is>
      </c>
      <c r="D106" t="inlineStr">
        <is>
          <t>Welcome sequence (weekly batch)</t>
        </is>
      </c>
      <c r="E106" t="inlineStr">
        <is>
          <t>mail.scalelab.example</t>
        </is>
      </c>
      <c r="F106" t="n">
        <v>693</v>
      </c>
      <c r="G106" t="n">
        <v>689</v>
      </c>
      <c r="H106" t="n">
        <v>4</v>
      </c>
      <c r="I106" t="n">
        <v>430</v>
      </c>
      <c r="J106" t="n">
        <v>163</v>
      </c>
      <c r="K106" t="n">
        <v>267</v>
      </c>
      <c r="L106" t="n">
        <v>39</v>
      </c>
      <c r="M106" t="n">
        <v>2</v>
      </c>
      <c r="N106" t="n">
        <v>0</v>
      </c>
      <c r="O106" t="n">
        <v>0.0058</v>
      </c>
      <c r="P106" t="n">
        <v>0.3875</v>
      </c>
      <c r="Q106" t="n">
        <v>0.0566</v>
      </c>
      <c r="R106" t="n">
        <v>0.1461</v>
      </c>
      <c r="S106" t="n">
        <v>0</v>
      </c>
    </row>
    <row r="107">
      <c r="A107" t="inlineStr">
        <is>
          <t>em-20260526-newsletter</t>
        </is>
      </c>
      <c r="B107" s="5" t="n">
        <v>46168</v>
      </c>
      <c r="C107" t="inlineStr">
        <is>
          <t>newsletter</t>
        </is>
      </c>
      <c r="D107" t="inlineStr">
        <is>
          <t>The discovery call, line by line (issue 4)</t>
        </is>
      </c>
      <c r="E107" t="inlineStr">
        <is>
          <t>mail.scalelab.example</t>
        </is>
      </c>
      <c r="F107" t="n">
        <v>18259</v>
      </c>
      <c r="G107" t="n">
        <v>18160</v>
      </c>
      <c r="H107" t="n">
        <v>99</v>
      </c>
      <c r="I107" t="n">
        <v>9639</v>
      </c>
      <c r="J107" t="n">
        <v>5143</v>
      </c>
      <c r="K107" t="n">
        <v>4496</v>
      </c>
      <c r="L107" t="n">
        <v>364</v>
      </c>
      <c r="M107" t="n">
        <v>33</v>
      </c>
      <c r="N107" t="n">
        <v>3</v>
      </c>
      <c r="O107" t="n">
        <v>0.0054</v>
      </c>
      <c r="P107" t="n">
        <v>0.2476</v>
      </c>
      <c r="Q107" t="n">
        <v>0.02</v>
      </c>
      <c r="R107" t="n">
        <v>0.081</v>
      </c>
      <c r="S107" t="n">
        <v>0.0002</v>
      </c>
    </row>
    <row r="108">
      <c r="A108" t="inlineStr">
        <is>
          <t>em-20260528-nurture</t>
        </is>
      </c>
      <c r="B108" s="5" t="n">
        <v>46170</v>
      </c>
      <c r="C108" t="inlineStr">
        <is>
          <t>nurture</t>
        </is>
      </c>
      <c r="D108" t="inlineStr">
        <is>
          <t>Welcome sequence (weekly batch)</t>
        </is>
      </c>
      <c r="E108" t="inlineStr">
        <is>
          <t>mail.scalelab.example</t>
        </is>
      </c>
      <c r="F108" t="n">
        <v>681</v>
      </c>
      <c r="G108" t="n">
        <v>678</v>
      </c>
      <c r="H108" t="n">
        <v>3</v>
      </c>
      <c r="I108" t="n">
        <v>459</v>
      </c>
      <c r="J108" t="n">
        <v>190</v>
      </c>
      <c r="K108" t="n">
        <v>269</v>
      </c>
      <c r="L108" t="n">
        <v>35</v>
      </c>
      <c r="M108" t="n">
        <v>1</v>
      </c>
      <c r="N108" t="n">
        <v>0</v>
      </c>
      <c r="O108" t="n">
        <v>0.0044</v>
      </c>
      <c r="P108" t="n">
        <v>0.3968</v>
      </c>
      <c r="Q108" t="n">
        <v>0.0516</v>
      </c>
      <c r="R108" t="n">
        <v>0.1301</v>
      </c>
      <c r="S108" t="n">
        <v>0</v>
      </c>
    </row>
    <row r="109">
      <c r="A109" t="inlineStr">
        <is>
          <t>em-20260602-newsletter</t>
        </is>
      </c>
      <c r="B109" s="5" t="n">
        <v>46175</v>
      </c>
      <c r="C109" t="inlineStr">
        <is>
          <t>newsletter</t>
        </is>
      </c>
      <c r="D109" t="inlineStr">
        <is>
          <t>A calmer launch calendar (issue 6)</t>
        </is>
      </c>
      <c r="E109" t="inlineStr">
        <is>
          <t>mail.scalelab.example</t>
        </is>
      </c>
      <c r="F109" t="n">
        <v>18396</v>
      </c>
      <c r="G109" t="n">
        <v>18299</v>
      </c>
      <c r="H109" t="n">
        <v>97</v>
      </c>
      <c r="I109" t="n">
        <v>10552</v>
      </c>
      <c r="J109" t="n">
        <v>5320</v>
      </c>
      <c r="K109" t="n">
        <v>5232</v>
      </c>
      <c r="L109" t="n">
        <v>393</v>
      </c>
      <c r="M109" t="n">
        <v>33</v>
      </c>
      <c r="N109" t="n">
        <v>3</v>
      </c>
      <c r="O109" t="n">
        <v>0.0053</v>
      </c>
      <c r="P109" t="n">
        <v>0.2859</v>
      </c>
      <c r="Q109" t="n">
        <v>0.0215</v>
      </c>
      <c r="R109" t="n">
        <v>0.0751</v>
      </c>
      <c r="S109" t="n">
        <v>0.0002</v>
      </c>
    </row>
    <row r="110">
      <c r="A110" t="inlineStr">
        <is>
          <t>em-20260604-nurture</t>
        </is>
      </c>
      <c r="B110" s="5" t="n">
        <v>46177</v>
      </c>
      <c r="C110" t="inlineStr">
        <is>
          <t>nurture</t>
        </is>
      </c>
      <c r="D110" t="inlineStr">
        <is>
          <t>Welcome sequence (weekly batch)</t>
        </is>
      </c>
      <c r="E110" t="inlineStr">
        <is>
          <t>mail.scalelab.example</t>
        </is>
      </c>
      <c r="F110" t="n">
        <v>657</v>
      </c>
      <c r="G110" t="n">
        <v>654</v>
      </c>
      <c r="H110" t="n">
        <v>3</v>
      </c>
      <c r="I110" t="n">
        <v>404</v>
      </c>
      <c r="J110" t="n">
        <v>175</v>
      </c>
      <c r="K110" t="n">
        <v>229</v>
      </c>
      <c r="L110" t="n">
        <v>37</v>
      </c>
      <c r="M110" t="n">
        <v>1</v>
      </c>
      <c r="N110" t="n">
        <v>0</v>
      </c>
      <c r="O110" t="n">
        <v>0.0046</v>
      </c>
      <c r="P110" t="n">
        <v>0.3502</v>
      </c>
      <c r="Q110" t="n">
        <v>0.0566</v>
      </c>
      <c r="R110" t="n">
        <v>0.1616</v>
      </c>
      <c r="S110" t="n">
        <v>0</v>
      </c>
    </row>
    <row r="111">
      <c r="A111" t="inlineStr">
        <is>
          <t>em-20260608-webinar_invite</t>
        </is>
      </c>
      <c r="B111" s="5" t="n">
        <v>46181</v>
      </c>
      <c r="C111" t="inlineStr">
        <is>
          <t>webinar_invite</t>
        </is>
      </c>
      <c r="D111" t="inlineStr">
        <is>
          <t>Live this Thursday: the Growth OS workshop (June)</t>
        </is>
      </c>
      <c r="E111" t="inlineStr">
        <is>
          <t>mail.scalelab.example</t>
        </is>
      </c>
      <c r="F111" t="n">
        <v>18524</v>
      </c>
      <c r="G111" t="n">
        <v>18431</v>
      </c>
      <c r="H111" t="n">
        <v>93</v>
      </c>
      <c r="I111" t="n">
        <v>9678</v>
      </c>
      <c r="J111" t="n">
        <v>5443</v>
      </c>
      <c r="K111" t="n">
        <v>4235</v>
      </c>
      <c r="L111" t="n">
        <v>562</v>
      </c>
      <c r="M111" t="n">
        <v>27</v>
      </c>
      <c r="N111" t="n">
        <v>3</v>
      </c>
      <c r="O111" t="n">
        <v>0.005</v>
      </c>
      <c r="P111" t="n">
        <v>0.2298</v>
      </c>
      <c r="Q111" t="n">
        <v>0.0305</v>
      </c>
      <c r="R111" t="n">
        <v>0.1327</v>
      </c>
      <c r="S111" t="n">
        <v>0.0002</v>
      </c>
    </row>
    <row r="112">
      <c r="A112" t="inlineStr">
        <is>
          <t>em-20260609-newsletter</t>
        </is>
      </c>
      <c r="B112" s="5" t="n">
        <v>46182</v>
      </c>
      <c r="C112" t="inlineStr">
        <is>
          <t>newsletter</t>
        </is>
      </c>
      <c r="D112" t="inlineStr">
        <is>
          <t>How we would hire your first operator (issue 3)</t>
        </is>
      </c>
      <c r="E112" t="inlineStr">
        <is>
          <t>mail.scalelab.example</t>
        </is>
      </c>
      <c r="F112" t="n">
        <v>18520</v>
      </c>
      <c r="G112" t="n">
        <v>18426</v>
      </c>
      <c r="H112" t="n">
        <v>94</v>
      </c>
      <c r="I112" t="n">
        <v>10360</v>
      </c>
      <c r="J112" t="n">
        <v>5411</v>
      </c>
      <c r="K112" t="n">
        <v>4949</v>
      </c>
      <c r="L112" t="n">
        <v>432</v>
      </c>
      <c r="M112" t="n">
        <v>32</v>
      </c>
      <c r="N112" t="n">
        <v>3</v>
      </c>
      <c r="O112" t="n">
        <v>0.0051</v>
      </c>
      <c r="P112" t="n">
        <v>0.2686</v>
      </c>
      <c r="Q112" t="n">
        <v>0.0234</v>
      </c>
      <c r="R112" t="n">
        <v>0.0873</v>
      </c>
      <c r="S112" t="n">
        <v>0.0002</v>
      </c>
    </row>
    <row r="113">
      <c r="A113" t="inlineStr">
        <is>
          <t>em-20260611-nurture</t>
        </is>
      </c>
      <c r="B113" s="5" t="n">
        <v>46184</v>
      </c>
      <c r="C113" t="inlineStr">
        <is>
          <t>nurture</t>
        </is>
      </c>
      <c r="D113" t="inlineStr">
        <is>
          <t>Welcome sequence (weekly batch)</t>
        </is>
      </c>
      <c r="E113" t="inlineStr">
        <is>
          <t>mail.scalelab.example</t>
        </is>
      </c>
      <c r="F113" t="n">
        <v>663</v>
      </c>
      <c r="G113" t="n">
        <v>660</v>
      </c>
      <c r="H113" t="n">
        <v>3</v>
      </c>
      <c r="I113" t="n">
        <v>402</v>
      </c>
      <c r="J113" t="n">
        <v>184</v>
      </c>
      <c r="K113" t="n">
        <v>218</v>
      </c>
      <c r="L113" t="n">
        <v>33</v>
      </c>
      <c r="M113" t="n">
        <v>2</v>
      </c>
      <c r="N113" t="n">
        <v>0</v>
      </c>
      <c r="O113" t="n">
        <v>0.0045</v>
      </c>
      <c r="P113" t="n">
        <v>0.3303</v>
      </c>
      <c r="Q113" t="n">
        <v>0.05</v>
      </c>
      <c r="R113" t="n">
        <v>0.1514</v>
      </c>
      <c r="S113" t="n">
        <v>0</v>
      </c>
    </row>
    <row r="114">
      <c r="A114" t="inlineStr">
        <is>
          <t>em-20260616-newsletter</t>
        </is>
      </c>
      <c r="B114" s="5" t="n">
        <v>46189</v>
      </c>
      <c r="C114" t="inlineStr">
        <is>
          <t>newsletter</t>
        </is>
      </c>
      <c r="D114" t="inlineStr">
        <is>
          <t>Why busy founders stall at $1M (issue 5)</t>
        </is>
      </c>
      <c r="E114" t="inlineStr">
        <is>
          <t>mail.scalelab.example</t>
        </is>
      </c>
      <c r="F114" t="n">
        <v>18678</v>
      </c>
      <c r="G114" t="n">
        <v>18591</v>
      </c>
      <c r="H114" t="n">
        <v>87</v>
      </c>
      <c r="I114" t="n">
        <v>10807</v>
      </c>
      <c r="J114" t="n">
        <v>5632</v>
      </c>
      <c r="K114" t="n">
        <v>5175</v>
      </c>
      <c r="L114" t="n">
        <v>408</v>
      </c>
      <c r="M114" t="n">
        <v>31</v>
      </c>
      <c r="N114" t="n">
        <v>3</v>
      </c>
      <c r="O114" t="n">
        <v>0.0047</v>
      </c>
      <c r="P114" t="n">
        <v>0.2784</v>
      </c>
      <c r="Q114" t="n">
        <v>0.0219</v>
      </c>
      <c r="R114" t="n">
        <v>0.0788</v>
      </c>
      <c r="S114" t="n">
        <v>0.0002</v>
      </c>
    </row>
    <row r="115">
      <c r="A115" t="inlineStr">
        <is>
          <t>em-20260618-nurture</t>
        </is>
      </c>
      <c r="B115" s="5" t="n">
        <v>46191</v>
      </c>
      <c r="C115" t="inlineStr">
        <is>
          <t>nurture</t>
        </is>
      </c>
      <c r="D115" t="inlineStr">
        <is>
          <t>Welcome sequence (weekly batch)</t>
        </is>
      </c>
      <c r="E115" t="inlineStr">
        <is>
          <t>mail.scalelab.example</t>
        </is>
      </c>
      <c r="F115" t="n">
        <v>747</v>
      </c>
      <c r="G115" t="n">
        <v>744</v>
      </c>
      <c r="H115" t="n">
        <v>3</v>
      </c>
      <c r="I115" t="n">
        <v>506</v>
      </c>
      <c r="J115" t="n">
        <v>218</v>
      </c>
      <c r="K115" t="n">
        <v>288</v>
      </c>
      <c r="L115" t="n">
        <v>34</v>
      </c>
      <c r="M115" t="n">
        <v>2</v>
      </c>
      <c r="N115" t="n">
        <v>0</v>
      </c>
      <c r="O115" t="n">
        <v>0.004</v>
      </c>
      <c r="P115" t="n">
        <v>0.3871</v>
      </c>
      <c r="Q115" t="n">
        <v>0.0457</v>
      </c>
      <c r="R115" t="n">
        <v>0.1181</v>
      </c>
      <c r="S115" t="n">
        <v>0</v>
      </c>
    </row>
    <row r="116">
      <c r="A116" t="inlineStr">
        <is>
          <t>em-20260623-newsletter</t>
        </is>
      </c>
      <c r="B116" s="5" t="n">
        <v>46196</v>
      </c>
      <c r="C116" t="inlineStr">
        <is>
          <t>newsletter</t>
        </is>
      </c>
      <c r="D116" t="inlineStr">
        <is>
          <t>The pricing conversation most founders avoid (issue 1)</t>
        </is>
      </c>
      <c r="E116" t="inlineStr">
        <is>
          <t>mail.scalelab.example</t>
        </is>
      </c>
      <c r="F116" t="n">
        <v>18812</v>
      </c>
      <c r="G116" t="n">
        <v>18726</v>
      </c>
      <c r="H116" t="n">
        <v>86</v>
      </c>
      <c r="I116" t="n">
        <v>10314</v>
      </c>
      <c r="J116" t="n">
        <v>5631</v>
      </c>
      <c r="K116" t="n">
        <v>4683</v>
      </c>
      <c r="L116" t="n">
        <v>358</v>
      </c>
      <c r="M116" t="n">
        <v>35</v>
      </c>
      <c r="N116" t="n">
        <v>3</v>
      </c>
      <c r="O116" t="n">
        <v>0.0046</v>
      </c>
      <c r="P116" t="n">
        <v>0.2501</v>
      </c>
      <c r="Q116" t="n">
        <v>0.0191</v>
      </c>
      <c r="R116" t="n">
        <v>0.0764</v>
      </c>
      <c r="S116" t="n">
        <v>0.0002</v>
      </c>
    </row>
    <row r="117">
      <c r="A117" t="inlineStr">
        <is>
          <t>em-20260625-nurture</t>
        </is>
      </c>
      <c r="B117" s="5" t="n">
        <v>46198</v>
      </c>
      <c r="C117" t="inlineStr">
        <is>
          <t>nurture</t>
        </is>
      </c>
      <c r="D117" t="inlineStr">
        <is>
          <t>Welcome sequence (weekly batch)</t>
        </is>
      </c>
      <c r="E117" t="inlineStr">
        <is>
          <t>mail.scalelab.example</t>
        </is>
      </c>
      <c r="F117" t="n">
        <v>621</v>
      </c>
      <c r="G117" t="n">
        <v>618</v>
      </c>
      <c r="H117" t="n">
        <v>3</v>
      </c>
      <c r="I117" t="n">
        <v>436</v>
      </c>
      <c r="J117" t="n">
        <v>174</v>
      </c>
      <c r="K117" t="n">
        <v>262</v>
      </c>
      <c r="L117" t="n">
        <v>30</v>
      </c>
      <c r="M117" t="n">
        <v>1</v>
      </c>
      <c r="N117" t="n">
        <v>0</v>
      </c>
      <c r="O117" t="n">
        <v>0.0048</v>
      </c>
      <c r="P117" t="n">
        <v>0.4239</v>
      </c>
      <c r="Q117" t="n">
        <v>0.0485</v>
      </c>
      <c r="R117" t="n">
        <v>0.1145</v>
      </c>
      <c r="S117" t="n">
        <v>0</v>
      </c>
    </row>
    <row r="118">
      <c r="A118" t="inlineStr">
        <is>
          <t>em-20260630-newsletter</t>
        </is>
      </c>
      <c r="B118" s="5" t="n">
        <v>46203</v>
      </c>
      <c r="C118" t="inlineStr">
        <is>
          <t>newsletter</t>
        </is>
      </c>
      <c r="D118" t="inlineStr">
        <is>
          <t>How we would hire your first operator (issue 3)</t>
        </is>
      </c>
      <c r="E118" t="inlineStr">
        <is>
          <t>mail.scalelab.example</t>
        </is>
      </c>
      <c r="F118" t="n">
        <v>18963</v>
      </c>
      <c r="G118" t="n">
        <v>18862</v>
      </c>
      <c r="H118" t="n">
        <v>101</v>
      </c>
      <c r="I118" t="n">
        <v>11721</v>
      </c>
      <c r="J118" t="n">
        <v>6466</v>
      </c>
      <c r="K118" t="n">
        <v>5255</v>
      </c>
      <c r="L118" t="n">
        <v>428</v>
      </c>
      <c r="M118" t="n">
        <v>36</v>
      </c>
      <c r="N118" t="n">
        <v>3</v>
      </c>
      <c r="O118" t="n">
        <v>0.0053</v>
      </c>
      <c r="P118" t="n">
        <v>0.2786</v>
      </c>
      <c r="Q118" t="n">
        <v>0.0227</v>
      </c>
      <c r="R118" t="n">
        <v>0.0814</v>
      </c>
      <c r="S118" t="n">
        <v>0.0002</v>
      </c>
    </row>
    <row r="119">
      <c r="A119" t="inlineStr">
        <is>
          <t>em-20260702-nurture</t>
        </is>
      </c>
      <c r="B119" s="5" t="n">
        <v>46205</v>
      </c>
      <c r="C119" t="inlineStr">
        <is>
          <t>nurture</t>
        </is>
      </c>
      <c r="D119" t="inlineStr">
        <is>
          <t>Welcome sequence (weekly batch)</t>
        </is>
      </c>
      <c r="E119" t="inlineStr">
        <is>
          <t>mail.scalelab.example</t>
        </is>
      </c>
      <c r="F119" t="n">
        <v>654</v>
      </c>
      <c r="G119" t="n">
        <v>651</v>
      </c>
      <c r="H119" t="n">
        <v>3</v>
      </c>
      <c r="I119" t="n">
        <v>426</v>
      </c>
      <c r="J119" t="n">
        <v>180</v>
      </c>
      <c r="K119" t="n">
        <v>246</v>
      </c>
      <c r="L119" t="n">
        <v>29</v>
      </c>
      <c r="M119" t="n">
        <v>2</v>
      </c>
      <c r="N119" t="n">
        <v>0</v>
      </c>
      <c r="O119" t="n">
        <v>0.0046</v>
      </c>
      <c r="P119" t="n">
        <v>0.3779</v>
      </c>
      <c r="Q119" t="n">
        <v>0.0445</v>
      </c>
      <c r="R119" t="n">
        <v>0.1179</v>
      </c>
      <c r="S119" t="n">
        <v>0</v>
      </c>
    </row>
    <row r="120">
      <c r="A120" t="inlineStr">
        <is>
          <t>em-20260706-webinar_invite</t>
        </is>
      </c>
      <c r="B120" s="5" t="n">
        <v>46209</v>
      </c>
      <c r="C120" t="inlineStr">
        <is>
          <t>webinar_invite</t>
        </is>
      </c>
      <c r="D120" t="inlineStr">
        <is>
          <t>Live this Thursday: the Growth OS workshop (July)</t>
        </is>
      </c>
      <c r="E120" t="inlineStr">
        <is>
          <t>mail.scalelab.example</t>
        </is>
      </c>
      <c r="F120" t="n">
        <v>19061</v>
      </c>
      <c r="G120" t="n">
        <v>18961</v>
      </c>
      <c r="H120" t="n">
        <v>100</v>
      </c>
      <c r="I120" t="n">
        <v>10464</v>
      </c>
      <c r="J120" t="n">
        <v>5797</v>
      </c>
      <c r="K120" t="n">
        <v>4667</v>
      </c>
      <c r="L120" t="n">
        <v>554</v>
      </c>
      <c r="M120" t="n">
        <v>28</v>
      </c>
      <c r="N120" t="n">
        <v>3</v>
      </c>
      <c r="O120" t="n">
        <v>0.0052</v>
      </c>
      <c r="P120" t="n">
        <v>0.2461</v>
      </c>
      <c r="Q120" t="n">
        <v>0.0292</v>
      </c>
      <c r="R120" t="n">
        <v>0.1187</v>
      </c>
      <c r="S120" t="n">
        <v>0.0002</v>
      </c>
    </row>
    <row r="121">
      <c r="A121" t="inlineStr">
        <is>
          <t>em-20260707-newsletter</t>
        </is>
      </c>
      <c r="B121" s="5" t="n">
        <v>46210</v>
      </c>
      <c r="C121" t="inlineStr">
        <is>
          <t>newsletter</t>
        </is>
      </c>
      <c r="D121" t="inlineStr">
        <is>
          <t>A calmer launch calendar (issue 6)</t>
        </is>
      </c>
      <c r="E121" t="inlineStr">
        <is>
          <t>mail.scalelab.example</t>
        </is>
      </c>
      <c r="F121" t="n">
        <v>19060</v>
      </c>
      <c r="G121" t="n">
        <v>18968</v>
      </c>
      <c r="H121" t="n">
        <v>92</v>
      </c>
      <c r="I121" t="n">
        <v>11193</v>
      </c>
      <c r="J121" t="n">
        <v>5566</v>
      </c>
      <c r="K121" t="n">
        <v>5627</v>
      </c>
      <c r="L121" t="n">
        <v>423</v>
      </c>
      <c r="M121" t="n">
        <v>35</v>
      </c>
      <c r="N121" t="n">
        <v>3</v>
      </c>
      <c r="O121" t="n">
        <v>0.0048</v>
      </c>
      <c r="P121" t="n">
        <v>0.2967</v>
      </c>
      <c r="Q121" t="n">
        <v>0.0223</v>
      </c>
      <c r="R121" t="n">
        <v>0.0752</v>
      </c>
      <c r="S121" t="n">
        <v>0.0002</v>
      </c>
    </row>
    <row r="122">
      <c r="A122" t="inlineStr">
        <is>
          <t>em-20260709-nurture</t>
        </is>
      </c>
      <c r="B122" s="5" t="n">
        <v>46212</v>
      </c>
      <c r="C122" t="inlineStr">
        <is>
          <t>nurture</t>
        </is>
      </c>
      <c r="D122" t="inlineStr">
        <is>
          <t>Welcome sequence (weekly batch)</t>
        </is>
      </c>
      <c r="E122" t="inlineStr">
        <is>
          <t>mail.scalelab.example</t>
        </is>
      </c>
      <c r="F122" t="n">
        <v>648</v>
      </c>
      <c r="G122" t="n">
        <v>645</v>
      </c>
      <c r="H122" t="n">
        <v>3</v>
      </c>
      <c r="I122" t="n">
        <v>428</v>
      </c>
      <c r="J122" t="n">
        <v>178</v>
      </c>
      <c r="K122" t="n">
        <v>250</v>
      </c>
      <c r="L122" t="n">
        <v>32</v>
      </c>
      <c r="M122" t="n">
        <v>1</v>
      </c>
      <c r="N122" t="n">
        <v>0</v>
      </c>
      <c r="O122" t="n">
        <v>0.0046</v>
      </c>
      <c r="P122" t="n">
        <v>0.3876</v>
      </c>
      <c r="Q122" t="n">
        <v>0.0496</v>
      </c>
      <c r="R122" t="n">
        <v>0.128</v>
      </c>
      <c r="S122" t="n">
        <v>0</v>
      </c>
    </row>
    <row r="123">
      <c r="A123" t="inlineStr">
        <is>
          <t>em-20260714-newsletter</t>
        </is>
      </c>
      <c r="B123" s="5" t="n">
        <v>46217</v>
      </c>
      <c r="C123" t="inlineStr">
        <is>
          <t>newsletter</t>
        </is>
      </c>
      <c r="D123" t="inlineStr">
        <is>
          <t>Three numbers to review every Monday (issue 2)</t>
        </is>
      </c>
      <c r="E123" t="inlineStr">
        <is>
          <t>mail.scalelab.example</t>
        </is>
      </c>
      <c r="F123" t="n">
        <v>19212</v>
      </c>
      <c r="G123" t="n">
        <v>19114</v>
      </c>
      <c r="H123" t="n">
        <v>98</v>
      </c>
      <c r="I123" t="n">
        <v>10415</v>
      </c>
      <c r="J123" t="n">
        <v>5309</v>
      </c>
      <c r="K123" t="n">
        <v>5106</v>
      </c>
      <c r="L123" t="n">
        <v>377</v>
      </c>
      <c r="M123" t="n">
        <v>34</v>
      </c>
      <c r="N123" t="n">
        <v>3</v>
      </c>
      <c r="O123" t="n">
        <v>0.0051</v>
      </c>
      <c r="P123" t="n">
        <v>0.2671</v>
      </c>
      <c r="Q123" t="n">
        <v>0.0197</v>
      </c>
      <c r="R123" t="n">
        <v>0.0738</v>
      </c>
      <c r="S123" t="n">
        <v>0.0002</v>
      </c>
    </row>
    <row r="124">
      <c r="A124" t="inlineStr">
        <is>
          <t>em-20260716-nurture</t>
        </is>
      </c>
      <c r="B124" s="5" t="n">
        <v>46219</v>
      </c>
      <c r="C124" t="inlineStr">
        <is>
          <t>nurture</t>
        </is>
      </c>
      <c r="D124" t="inlineStr">
        <is>
          <t>Welcome sequence (weekly batch)</t>
        </is>
      </c>
      <c r="E124" t="inlineStr">
        <is>
          <t>mail.scalelab.example</t>
        </is>
      </c>
      <c r="F124" t="n">
        <v>696</v>
      </c>
      <c r="G124" t="n">
        <v>692</v>
      </c>
      <c r="H124" t="n">
        <v>4</v>
      </c>
      <c r="I124" t="n">
        <v>459</v>
      </c>
      <c r="J124" t="n">
        <v>196</v>
      </c>
      <c r="K124" t="n">
        <v>263</v>
      </c>
      <c r="L124" t="n">
        <v>36</v>
      </c>
      <c r="M124" t="n">
        <v>2</v>
      </c>
      <c r="N124" t="n">
        <v>0</v>
      </c>
      <c r="O124" t="n">
        <v>0.0057</v>
      </c>
      <c r="P124" t="n">
        <v>0.3801</v>
      </c>
      <c r="Q124" t="n">
        <v>0.052</v>
      </c>
      <c r="R124" t="n">
        <v>0.1369</v>
      </c>
      <c r="S124" t="n">
        <v>0</v>
      </c>
    </row>
    <row r="125">
      <c r="A125" t="inlineStr">
        <is>
          <t>em-20260721-newsletter</t>
        </is>
      </c>
      <c r="B125" s="5" t="n">
        <v>46224</v>
      </c>
      <c r="C125" t="inlineStr">
        <is>
          <t>newsletter</t>
        </is>
      </c>
      <c r="D125" t="inlineStr">
        <is>
          <t>The discovery call, line by line (issue 4)</t>
        </is>
      </c>
      <c r="E125" t="inlineStr">
        <is>
          <t>mail.scalelab.example</t>
        </is>
      </c>
      <c r="F125" t="n">
        <v>19364</v>
      </c>
      <c r="G125" t="n">
        <v>19270</v>
      </c>
      <c r="H125" t="n">
        <v>94</v>
      </c>
      <c r="I125" t="n">
        <v>11171</v>
      </c>
      <c r="J125" t="n">
        <v>5667</v>
      </c>
      <c r="K125" t="n">
        <v>5504</v>
      </c>
      <c r="L125" t="n">
        <v>367</v>
      </c>
      <c r="M125" t="n">
        <v>36</v>
      </c>
      <c r="N125" t="n">
        <v>3</v>
      </c>
      <c r="O125" t="n">
        <v>0.0049</v>
      </c>
      <c r="P125" t="n">
        <v>0.2856</v>
      </c>
      <c r="Q125" t="n">
        <v>0.019</v>
      </c>
      <c r="R125" t="n">
        <v>0.0667</v>
      </c>
      <c r="S125" t="n">
        <v>0.0002</v>
      </c>
    </row>
    <row r="126">
      <c r="A126" t="inlineStr">
        <is>
          <t>em-20260723-nurture</t>
        </is>
      </c>
      <c r="B126" s="5" t="n">
        <v>46226</v>
      </c>
      <c r="C126" t="inlineStr">
        <is>
          <t>nurture</t>
        </is>
      </c>
      <c r="D126" t="inlineStr">
        <is>
          <t>Welcome sequence (weekly batch)</t>
        </is>
      </c>
      <c r="E126" t="inlineStr">
        <is>
          <t>mail.scalelab.example</t>
        </is>
      </c>
      <c r="F126" t="n">
        <v>708</v>
      </c>
      <c r="G126" t="n">
        <v>704</v>
      </c>
      <c r="H126" t="n">
        <v>4</v>
      </c>
      <c r="I126" t="n">
        <v>436</v>
      </c>
      <c r="J126" t="n">
        <v>173</v>
      </c>
      <c r="K126" t="n">
        <v>263</v>
      </c>
      <c r="L126" t="n">
        <v>39</v>
      </c>
      <c r="M126" t="n">
        <v>2</v>
      </c>
      <c r="N126" t="n">
        <v>0</v>
      </c>
      <c r="O126" t="n">
        <v>0.0056</v>
      </c>
      <c r="P126" t="n">
        <v>0.3736</v>
      </c>
      <c r="Q126" t="n">
        <v>0.0554</v>
      </c>
      <c r="R126" t="n">
        <v>0.1483</v>
      </c>
      <c r="S126" t="n">
        <v>0</v>
      </c>
    </row>
    <row r="127">
      <c r="A127" t="inlineStr">
        <is>
          <t>em-20260728-newsletter</t>
        </is>
      </c>
      <c r="B127" s="5" t="n">
        <v>46231</v>
      </c>
      <c r="C127" t="inlineStr">
        <is>
          <t>newsletter</t>
        </is>
      </c>
      <c r="D127" t="inlineStr">
        <is>
          <t>A calmer launch calendar (issue 6)</t>
        </is>
      </c>
      <c r="E127" t="inlineStr">
        <is>
          <t>mail.scalelab.example</t>
        </is>
      </c>
      <c r="F127" t="n">
        <v>19514</v>
      </c>
      <c r="G127" t="n">
        <v>19421</v>
      </c>
      <c r="H127" t="n">
        <v>93</v>
      </c>
      <c r="I127" t="n">
        <v>11049</v>
      </c>
      <c r="J127" t="n">
        <v>6102</v>
      </c>
      <c r="K127" t="n">
        <v>4947</v>
      </c>
      <c r="L127" t="n">
        <v>433</v>
      </c>
      <c r="M127" t="n">
        <v>37</v>
      </c>
      <c r="N127" t="n">
        <v>3</v>
      </c>
      <c r="O127" t="n">
        <v>0.0048</v>
      </c>
      <c r="P127" t="n">
        <v>0.2547</v>
      </c>
      <c r="Q127" t="n">
        <v>0.0223</v>
      </c>
      <c r="R127" t="n">
        <v>0.08749999999999999</v>
      </c>
      <c r="S127" t="n">
        <v>0.0002</v>
      </c>
    </row>
    <row r="128">
      <c r="A128" t="inlineStr">
        <is>
          <t>em-20260730-nurture</t>
        </is>
      </c>
      <c r="B128" s="5" t="n">
        <v>46233</v>
      </c>
      <c r="C128" t="inlineStr">
        <is>
          <t>nurture</t>
        </is>
      </c>
      <c r="D128" t="inlineStr">
        <is>
          <t>Welcome sequence (weekly batch)</t>
        </is>
      </c>
      <c r="E128" t="inlineStr">
        <is>
          <t>mail.scalelab.example</t>
        </is>
      </c>
      <c r="F128" t="n">
        <v>609</v>
      </c>
      <c r="G128" t="n">
        <v>606</v>
      </c>
      <c r="H128" t="n">
        <v>3</v>
      </c>
      <c r="I128" t="n">
        <v>430</v>
      </c>
      <c r="J128" t="n">
        <v>192</v>
      </c>
      <c r="K128" t="n">
        <v>238</v>
      </c>
      <c r="L128" t="n">
        <v>31</v>
      </c>
      <c r="M128" t="n">
        <v>1</v>
      </c>
      <c r="N128" t="n">
        <v>0</v>
      </c>
      <c r="O128" t="n">
        <v>0.0049</v>
      </c>
      <c r="P128" t="n">
        <v>0.3927</v>
      </c>
      <c r="Q128" t="n">
        <v>0.0512</v>
      </c>
      <c r="R128" t="n">
        <v>0.1303</v>
      </c>
      <c r="S128" t="n">
        <v>0</v>
      </c>
    </row>
    <row r="129">
      <c r="A129" t="inlineStr">
        <is>
          <t>em-20260804-newsletter</t>
        </is>
      </c>
      <c r="B129" s="5" t="n">
        <v>46238</v>
      </c>
      <c r="C129" t="inlineStr">
        <is>
          <t>newsletter</t>
        </is>
      </c>
      <c r="D129" t="inlineStr">
        <is>
          <t>Three numbers to review every Monday (issue 2)</t>
        </is>
      </c>
      <c r="E129" t="inlineStr">
        <is>
          <t>mail.scalelab.example</t>
        </is>
      </c>
      <c r="F129" t="n">
        <v>19641</v>
      </c>
      <c r="G129" t="n">
        <v>19550</v>
      </c>
      <c r="H129" t="n">
        <v>91</v>
      </c>
      <c r="I129" t="n">
        <v>11316</v>
      </c>
      <c r="J129" t="n">
        <v>6136</v>
      </c>
      <c r="K129" t="n">
        <v>5180</v>
      </c>
      <c r="L129" t="n">
        <v>406</v>
      </c>
      <c r="M129" t="n">
        <v>36</v>
      </c>
      <c r="N129" t="n">
        <v>3</v>
      </c>
      <c r="O129" t="n">
        <v>0.0046</v>
      </c>
      <c r="P129" t="n">
        <v>0.265</v>
      </c>
      <c r="Q129" t="n">
        <v>0.0208</v>
      </c>
      <c r="R129" t="n">
        <v>0.0784</v>
      </c>
      <c r="S129" t="n">
        <v>0.0002</v>
      </c>
    </row>
    <row r="130">
      <c r="A130" t="inlineStr">
        <is>
          <t>em-20260806-nurture</t>
        </is>
      </c>
      <c r="B130" s="5" t="n">
        <v>46240</v>
      </c>
      <c r="C130" t="inlineStr">
        <is>
          <t>nurture</t>
        </is>
      </c>
      <c r="D130" t="inlineStr">
        <is>
          <t>Welcome sequence (weekly batch)</t>
        </is>
      </c>
      <c r="E130" t="inlineStr">
        <is>
          <t>mail.scalelab.example</t>
        </is>
      </c>
      <c r="F130" t="n">
        <v>660</v>
      </c>
      <c r="G130" t="n">
        <v>657</v>
      </c>
      <c r="H130" t="n">
        <v>3</v>
      </c>
      <c r="I130" t="n">
        <v>492</v>
      </c>
      <c r="J130" t="n">
        <v>212</v>
      </c>
      <c r="K130" t="n">
        <v>280</v>
      </c>
      <c r="L130" t="n">
        <v>39</v>
      </c>
      <c r="M130" t="n">
        <v>1</v>
      </c>
      <c r="N130" t="n">
        <v>0</v>
      </c>
      <c r="O130" t="n">
        <v>0.0045</v>
      </c>
      <c r="P130" t="n">
        <v>0.4262</v>
      </c>
      <c r="Q130" t="n">
        <v>0.0594</v>
      </c>
      <c r="R130" t="n">
        <v>0.1393</v>
      </c>
      <c r="S130" t="n">
        <v>0</v>
      </c>
    </row>
    <row r="131">
      <c r="A131" t="inlineStr">
        <is>
          <t>em-20260810-webinar_invite</t>
        </is>
      </c>
      <c r="B131" s="5" t="n">
        <v>46244</v>
      </c>
      <c r="C131" t="inlineStr">
        <is>
          <t>webinar_invite</t>
        </is>
      </c>
      <c r="D131" t="inlineStr">
        <is>
          <t>Live this Thursday: the Growth OS workshop (August)</t>
        </is>
      </c>
      <c r="E131" t="inlineStr">
        <is>
          <t>mail.scalelab.example</t>
        </is>
      </c>
      <c r="F131" t="n">
        <v>19744</v>
      </c>
      <c r="G131" t="n">
        <v>19646</v>
      </c>
      <c r="H131" t="n">
        <v>98</v>
      </c>
      <c r="I131" t="n">
        <v>11034</v>
      </c>
      <c r="J131" t="n">
        <v>5611</v>
      </c>
      <c r="K131" t="n">
        <v>5423</v>
      </c>
      <c r="L131" t="n">
        <v>566</v>
      </c>
      <c r="M131" t="n">
        <v>30</v>
      </c>
      <c r="N131" t="n">
        <v>3</v>
      </c>
      <c r="O131" t="n">
        <v>0.005</v>
      </c>
      <c r="P131" t="n">
        <v>0.276</v>
      </c>
      <c r="Q131" t="n">
        <v>0.0288</v>
      </c>
      <c r="R131" t="n">
        <v>0.1044</v>
      </c>
      <c r="S131" t="n">
        <v>0.0002</v>
      </c>
    </row>
    <row r="132">
      <c r="A132" t="inlineStr">
        <is>
          <t>em-20260811-newsletter</t>
        </is>
      </c>
      <c r="B132" s="5" t="n">
        <v>46245</v>
      </c>
      <c r="C132" t="inlineStr">
        <is>
          <t>newsletter</t>
        </is>
      </c>
      <c r="D132" t="inlineStr">
        <is>
          <t>Why busy founders stall at $1M (issue 5)</t>
        </is>
      </c>
      <c r="E132" t="inlineStr">
        <is>
          <t>mail.scalelab.example</t>
        </is>
      </c>
      <c r="F132" t="n">
        <v>19762</v>
      </c>
      <c r="G132" t="n">
        <v>19666</v>
      </c>
      <c r="H132" t="n">
        <v>96</v>
      </c>
      <c r="I132" t="n">
        <v>11623</v>
      </c>
      <c r="J132" t="n">
        <v>6362</v>
      </c>
      <c r="K132" t="n">
        <v>5261</v>
      </c>
      <c r="L132" t="n">
        <v>377</v>
      </c>
      <c r="M132" t="n">
        <v>36</v>
      </c>
      <c r="N132" t="n">
        <v>3</v>
      </c>
      <c r="O132" t="n">
        <v>0.0049</v>
      </c>
      <c r="P132" t="n">
        <v>0.2675</v>
      </c>
      <c r="Q132" t="n">
        <v>0.0192</v>
      </c>
      <c r="R132" t="n">
        <v>0.0717</v>
      </c>
      <c r="S132" t="n">
        <v>0.0002</v>
      </c>
    </row>
    <row r="133">
      <c r="A133" t="inlineStr">
        <is>
          <t>em-20260813-nurture</t>
        </is>
      </c>
      <c r="B133" s="5" t="n">
        <v>46247</v>
      </c>
      <c r="C133" t="inlineStr">
        <is>
          <t>nurture</t>
        </is>
      </c>
      <c r="D133" t="inlineStr">
        <is>
          <t>Welcome sequence (weekly batch)</t>
        </is>
      </c>
      <c r="E133" t="inlineStr">
        <is>
          <t>mail.scalelab.example</t>
        </is>
      </c>
      <c r="F133" t="n">
        <v>882</v>
      </c>
      <c r="G133" t="n">
        <v>877</v>
      </c>
      <c r="H133" t="n">
        <v>5</v>
      </c>
      <c r="I133" t="n">
        <v>582</v>
      </c>
      <c r="J133" t="n">
        <v>230</v>
      </c>
      <c r="K133" t="n">
        <v>352</v>
      </c>
      <c r="L133" t="n">
        <v>50</v>
      </c>
      <c r="M133" t="n">
        <v>2</v>
      </c>
      <c r="N133" t="n">
        <v>0</v>
      </c>
      <c r="O133" t="n">
        <v>0.0057</v>
      </c>
      <c r="P133" t="n">
        <v>0.4014</v>
      </c>
      <c r="Q133" t="n">
        <v>0.057</v>
      </c>
      <c r="R133" t="n">
        <v>0.142</v>
      </c>
      <c r="S133" t="n">
        <v>0</v>
      </c>
    </row>
    <row r="134">
      <c r="A134" t="inlineStr">
        <is>
          <t>em-20260818-newsletter</t>
        </is>
      </c>
      <c r="B134" s="5" t="n">
        <v>46252</v>
      </c>
      <c r="C134" t="inlineStr">
        <is>
          <t>newsletter</t>
        </is>
      </c>
      <c r="D134" t="inlineStr">
        <is>
          <t>The pricing conversation most founders avoid (issue 1)</t>
        </is>
      </c>
      <c r="E134" t="inlineStr">
        <is>
          <t>mail.scalelab.example</t>
        </is>
      </c>
      <c r="F134" t="n">
        <v>20052</v>
      </c>
      <c r="G134" t="n">
        <v>19949</v>
      </c>
      <c r="H134" t="n">
        <v>103</v>
      </c>
      <c r="I134" t="n">
        <v>11990</v>
      </c>
      <c r="J134" t="n">
        <v>6481</v>
      </c>
      <c r="K134" t="n">
        <v>5509</v>
      </c>
      <c r="L134" t="n">
        <v>419</v>
      </c>
      <c r="M134" t="n">
        <v>38</v>
      </c>
      <c r="N134" t="n">
        <v>3</v>
      </c>
      <c r="O134" t="n">
        <v>0.0051</v>
      </c>
      <c r="P134" t="n">
        <v>0.2762</v>
      </c>
      <c r="Q134" t="n">
        <v>0.021</v>
      </c>
      <c r="R134" t="n">
        <v>0.0761</v>
      </c>
      <c r="S134" t="n">
        <v>0.0002</v>
      </c>
    </row>
    <row r="135">
      <c r="A135" t="inlineStr">
        <is>
          <t>em-20260820-nurture</t>
        </is>
      </c>
      <c r="B135" s="5" t="n">
        <v>46254</v>
      </c>
      <c r="C135" t="inlineStr">
        <is>
          <t>nurture</t>
        </is>
      </c>
      <c r="D135" t="inlineStr">
        <is>
          <t>Welcome sequence (weekly batch)</t>
        </is>
      </c>
      <c r="E135" t="inlineStr">
        <is>
          <t>mail.scalelab.example</t>
        </is>
      </c>
      <c r="F135" t="n">
        <v>1248</v>
      </c>
      <c r="G135" t="n">
        <v>1241</v>
      </c>
      <c r="H135" t="n">
        <v>7</v>
      </c>
      <c r="I135" t="n">
        <v>866</v>
      </c>
      <c r="J135" t="n">
        <v>354</v>
      </c>
      <c r="K135" t="n">
        <v>512</v>
      </c>
      <c r="L135" t="n">
        <v>75</v>
      </c>
      <c r="M135" t="n">
        <v>3</v>
      </c>
      <c r="N135" t="n">
        <v>0</v>
      </c>
      <c r="O135" t="n">
        <v>0.0056</v>
      </c>
      <c r="P135" t="n">
        <v>0.4126</v>
      </c>
      <c r="Q135" t="n">
        <v>0.0604</v>
      </c>
      <c r="R135" t="n">
        <v>0.1465</v>
      </c>
      <c r="S135" t="n">
        <v>0</v>
      </c>
    </row>
    <row r="136">
      <c r="A136" t="inlineStr">
        <is>
          <t>em-20260825-newsletter</t>
        </is>
      </c>
      <c r="B136" s="5" t="n">
        <v>46259</v>
      </c>
      <c r="C136" t="inlineStr">
        <is>
          <t>newsletter</t>
        </is>
      </c>
      <c r="D136" t="inlineStr">
        <is>
          <t>How we would hire your first operator (issue 3)</t>
        </is>
      </c>
      <c r="E136" t="inlineStr">
        <is>
          <t>mail.scalelab.example</t>
        </is>
      </c>
      <c r="F136" t="n">
        <v>20315</v>
      </c>
      <c r="G136" t="n">
        <v>20208</v>
      </c>
      <c r="H136" t="n">
        <v>107</v>
      </c>
      <c r="I136" t="n">
        <v>11317</v>
      </c>
      <c r="J136" t="n">
        <v>5704</v>
      </c>
      <c r="K136" t="n">
        <v>5613</v>
      </c>
      <c r="L136" t="n">
        <v>454</v>
      </c>
      <c r="M136" t="n">
        <v>33</v>
      </c>
      <c r="N136" t="n">
        <v>3</v>
      </c>
      <c r="O136" t="n">
        <v>0.0053</v>
      </c>
      <c r="P136" t="n">
        <v>0.2778</v>
      </c>
      <c r="Q136" t="n">
        <v>0.0225</v>
      </c>
      <c r="R136" t="n">
        <v>0.0809</v>
      </c>
      <c r="S136" t="n">
        <v>0.0001</v>
      </c>
    </row>
    <row r="137">
      <c r="A137" t="inlineStr">
        <is>
          <t>em-20260827-nurture</t>
        </is>
      </c>
      <c r="B137" s="5" t="n">
        <v>46261</v>
      </c>
      <c r="C137" t="inlineStr">
        <is>
          <t>nurture</t>
        </is>
      </c>
      <c r="D137" t="inlineStr">
        <is>
          <t>Welcome sequence (weekly batch)</t>
        </is>
      </c>
      <c r="E137" t="inlineStr">
        <is>
          <t>mail.scalelab.example</t>
        </is>
      </c>
      <c r="F137" t="n">
        <v>1035</v>
      </c>
      <c r="G137" t="n">
        <v>1030</v>
      </c>
      <c r="H137" t="n">
        <v>5</v>
      </c>
      <c r="I137" t="n">
        <v>678</v>
      </c>
      <c r="J137" t="n">
        <v>269</v>
      </c>
      <c r="K137" t="n">
        <v>409</v>
      </c>
      <c r="L137" t="n">
        <v>54</v>
      </c>
      <c r="M137" t="n">
        <v>2</v>
      </c>
      <c r="N137" t="n">
        <v>0</v>
      </c>
      <c r="O137" t="n">
        <v>0.0048</v>
      </c>
      <c r="P137" t="n">
        <v>0.3971</v>
      </c>
      <c r="Q137" t="n">
        <v>0.0524</v>
      </c>
      <c r="R137" t="n">
        <v>0.132</v>
      </c>
      <c r="S137" t="n">
        <v>0</v>
      </c>
    </row>
    <row r="138">
      <c r="A138" t="inlineStr">
        <is>
          <t>em-20260901-newsletter</t>
        </is>
      </c>
      <c r="B138" s="5" t="n">
        <v>46266</v>
      </c>
      <c r="C138" t="inlineStr">
        <is>
          <t>newsletter</t>
        </is>
      </c>
      <c r="D138" t="inlineStr">
        <is>
          <t>Why busy founders stall at $1M (issue 5)</t>
        </is>
      </c>
      <c r="E138" t="inlineStr">
        <is>
          <t>news.scalelab.example</t>
        </is>
      </c>
      <c r="F138" t="n">
        <v>20572</v>
      </c>
      <c r="G138" t="n">
        <v>19816</v>
      </c>
      <c r="H138" t="n">
        <v>756</v>
      </c>
      <c r="I138" t="n">
        <v>7180</v>
      </c>
      <c r="J138" t="n">
        <v>4076</v>
      </c>
      <c r="K138" t="n">
        <v>3104</v>
      </c>
      <c r="L138" t="n">
        <v>242</v>
      </c>
      <c r="M138" t="n">
        <v>40</v>
      </c>
      <c r="N138" t="n">
        <v>32</v>
      </c>
      <c r="O138" t="n">
        <v>0.0367</v>
      </c>
      <c r="P138" t="n">
        <v>0.1566</v>
      </c>
      <c r="Q138" t="n">
        <v>0.0122</v>
      </c>
      <c r="R138" t="n">
        <v>0.078</v>
      </c>
      <c r="S138" t="n">
        <v>0.0016</v>
      </c>
    </row>
    <row r="139">
      <c r="A139" t="inlineStr">
        <is>
          <t>em-20260903-nurture</t>
        </is>
      </c>
      <c r="B139" s="5" t="n">
        <v>46268</v>
      </c>
      <c r="C139" t="inlineStr">
        <is>
          <t>nurture</t>
        </is>
      </c>
      <c r="D139" t="inlineStr">
        <is>
          <t>Welcome sequence (weekly batch)</t>
        </is>
      </c>
      <c r="E139" t="inlineStr">
        <is>
          <t>mail.scalelab.example</t>
        </is>
      </c>
      <c r="F139" t="n">
        <v>1152</v>
      </c>
      <c r="G139" t="n">
        <v>1147</v>
      </c>
      <c r="H139" t="n">
        <v>5</v>
      </c>
      <c r="I139" t="n">
        <v>809</v>
      </c>
      <c r="J139" t="n">
        <v>302</v>
      </c>
      <c r="K139" t="n">
        <v>507</v>
      </c>
      <c r="L139" t="n">
        <v>62</v>
      </c>
      <c r="M139" t="n">
        <v>3</v>
      </c>
      <c r="N139" t="n">
        <v>0</v>
      </c>
      <c r="O139" t="n">
        <v>0.0043</v>
      </c>
      <c r="P139" t="n">
        <v>0.442</v>
      </c>
      <c r="Q139" t="n">
        <v>0.0541</v>
      </c>
      <c r="R139" t="n">
        <v>0.1223</v>
      </c>
      <c r="S139" t="n">
        <v>0</v>
      </c>
    </row>
    <row r="140">
      <c r="A140" t="inlineStr">
        <is>
          <t>em-20260907-webinar_invite</t>
        </is>
      </c>
      <c r="B140" s="5" t="n">
        <v>46272</v>
      </c>
      <c r="C140" t="inlineStr">
        <is>
          <t>webinar_invite</t>
        </is>
      </c>
      <c r="D140" t="inlineStr">
        <is>
          <t>Live this Thursday: the Growth OS workshop (September)</t>
        </is>
      </c>
      <c r="E140" t="inlineStr">
        <is>
          <t>mail.scalelab.example</t>
        </is>
      </c>
      <c r="F140" t="n">
        <v>20784</v>
      </c>
      <c r="G140" t="n">
        <v>20670</v>
      </c>
      <c r="H140" t="n">
        <v>114</v>
      </c>
      <c r="I140" t="n">
        <v>11022</v>
      </c>
      <c r="J140" t="n">
        <v>6078</v>
      </c>
      <c r="K140" t="n">
        <v>4944</v>
      </c>
      <c r="L140" t="n">
        <v>581</v>
      </c>
      <c r="M140" t="n">
        <v>31</v>
      </c>
      <c r="N140" t="n">
        <v>3</v>
      </c>
      <c r="O140" t="n">
        <v>0.0055</v>
      </c>
      <c r="P140" t="n">
        <v>0.2392</v>
      </c>
      <c r="Q140" t="n">
        <v>0.0281</v>
      </c>
      <c r="R140" t="n">
        <v>0.1175</v>
      </c>
      <c r="S140" t="n">
        <v>0.0001</v>
      </c>
    </row>
    <row r="141">
      <c r="A141" t="inlineStr">
        <is>
          <t>em-20260908-newsletter</t>
        </is>
      </c>
      <c r="B141" s="5" t="n">
        <v>46273</v>
      </c>
      <c r="C141" t="inlineStr">
        <is>
          <t>newsletter</t>
        </is>
      </c>
      <c r="D141" t="inlineStr">
        <is>
          <t>Three numbers to review every Monday (issue 2)</t>
        </is>
      </c>
      <c r="E141" t="inlineStr">
        <is>
          <t>news.scalelab.example</t>
        </is>
      </c>
      <c r="F141" t="n">
        <v>20791</v>
      </c>
      <c r="G141" t="n">
        <v>19994</v>
      </c>
      <c r="H141" t="n">
        <v>797</v>
      </c>
      <c r="I141" t="n">
        <v>7100</v>
      </c>
      <c r="J141" t="n">
        <v>3982</v>
      </c>
      <c r="K141" t="n">
        <v>3118</v>
      </c>
      <c r="L141" t="n">
        <v>244</v>
      </c>
      <c r="M141" t="n">
        <v>35</v>
      </c>
      <c r="N141" t="n">
        <v>34</v>
      </c>
      <c r="O141" t="n">
        <v>0.0383</v>
      </c>
      <c r="P141" t="n">
        <v>0.1559</v>
      </c>
      <c r="Q141" t="n">
        <v>0.0122</v>
      </c>
      <c r="R141" t="n">
        <v>0.07829999999999999</v>
      </c>
      <c r="S141" t="n">
        <v>0.0017</v>
      </c>
    </row>
    <row r="142">
      <c r="A142" t="inlineStr">
        <is>
          <t>em-20260910-nurture</t>
        </is>
      </c>
      <c r="B142" s="5" t="n">
        <v>46275</v>
      </c>
      <c r="C142" t="inlineStr">
        <is>
          <t>nurture</t>
        </is>
      </c>
      <c r="D142" t="inlineStr">
        <is>
          <t>Welcome sequence (weekly batch)</t>
        </is>
      </c>
      <c r="E142" t="inlineStr">
        <is>
          <t>mail.scalelab.example</t>
        </is>
      </c>
      <c r="F142" t="n">
        <v>1020</v>
      </c>
      <c r="G142" t="n">
        <v>1015</v>
      </c>
      <c r="H142" t="n">
        <v>5</v>
      </c>
      <c r="I142" t="n">
        <v>660</v>
      </c>
      <c r="J142" t="n">
        <v>294</v>
      </c>
      <c r="K142" t="n">
        <v>366</v>
      </c>
      <c r="L142" t="n">
        <v>50</v>
      </c>
      <c r="M142" t="n">
        <v>2</v>
      </c>
      <c r="N142" t="n">
        <v>0</v>
      </c>
      <c r="O142" t="n">
        <v>0.0049</v>
      </c>
      <c r="P142" t="n">
        <v>0.3606</v>
      </c>
      <c r="Q142" t="n">
        <v>0.0493</v>
      </c>
      <c r="R142" t="n">
        <v>0.1366</v>
      </c>
      <c r="S142" t="n">
        <v>0</v>
      </c>
    </row>
    <row r="143">
      <c r="A143" t="inlineStr">
        <is>
          <t>em-20260911-promo</t>
        </is>
      </c>
      <c r="B143" s="5" t="n">
        <v>46276</v>
      </c>
      <c r="C143" t="inlineStr">
        <is>
          <t>promo</t>
        </is>
      </c>
      <c r="D143" t="inlineStr">
        <is>
          <t>Enrollment for the Accelerator closes next Friday</t>
        </is>
      </c>
      <c r="E143" t="inlineStr">
        <is>
          <t>news.scalelab.example</t>
        </is>
      </c>
      <c r="F143" t="n">
        <v>20894</v>
      </c>
      <c r="G143" t="n">
        <v>20121</v>
      </c>
      <c r="H143" t="n">
        <v>773</v>
      </c>
      <c r="I143" t="n">
        <v>6754</v>
      </c>
      <c r="J143" t="n">
        <v>4099</v>
      </c>
      <c r="K143" t="n">
        <v>2655</v>
      </c>
      <c r="L143" t="n">
        <v>194</v>
      </c>
      <c r="M143" t="n">
        <v>72</v>
      </c>
      <c r="N143" t="n">
        <v>33</v>
      </c>
      <c r="O143" t="n">
        <v>0.037</v>
      </c>
      <c r="P143" t="n">
        <v>0.132</v>
      </c>
      <c r="Q143" t="n">
        <v>0.009599999999999999</v>
      </c>
      <c r="R143" t="n">
        <v>0.0731</v>
      </c>
      <c r="S143" t="n">
        <v>0.0016</v>
      </c>
    </row>
    <row r="144">
      <c r="A144" t="inlineStr">
        <is>
          <t>em-20260915-newsletter</t>
        </is>
      </c>
      <c r="B144" s="5" t="n">
        <v>46280</v>
      </c>
      <c r="C144" t="inlineStr">
        <is>
          <t>newsletter</t>
        </is>
      </c>
      <c r="D144" t="inlineStr">
        <is>
          <t>Why busy founders stall at $1M (issue 5)</t>
        </is>
      </c>
      <c r="E144" t="inlineStr">
        <is>
          <t>news.scalelab.example</t>
        </is>
      </c>
      <c r="F144" t="n">
        <v>20941</v>
      </c>
      <c r="G144" t="n">
        <v>20116</v>
      </c>
      <c r="H144" t="n">
        <v>825</v>
      </c>
      <c r="I144" t="n">
        <v>8017</v>
      </c>
      <c r="J144" t="n">
        <v>4584</v>
      </c>
      <c r="K144" t="n">
        <v>3433</v>
      </c>
      <c r="L144" t="n">
        <v>257</v>
      </c>
      <c r="M144" t="n">
        <v>36</v>
      </c>
      <c r="N144" t="n">
        <v>30</v>
      </c>
      <c r="O144" t="n">
        <v>0.0394</v>
      </c>
      <c r="P144" t="n">
        <v>0.1707</v>
      </c>
      <c r="Q144" t="n">
        <v>0.0128</v>
      </c>
      <c r="R144" t="n">
        <v>0.07489999999999999</v>
      </c>
      <c r="S144" t="n">
        <v>0.0015</v>
      </c>
    </row>
    <row r="145">
      <c r="A145" t="inlineStr">
        <is>
          <t>em-20260915-promo</t>
        </is>
      </c>
      <c r="B145" s="5" t="n">
        <v>46280</v>
      </c>
      <c r="C145" t="inlineStr">
        <is>
          <t>promo</t>
        </is>
      </c>
      <c r="D145" t="inlineStr">
        <is>
          <t>Three days left to enroll</t>
        </is>
      </c>
      <c r="E145" t="inlineStr">
        <is>
          <t>news.scalelab.example</t>
        </is>
      </c>
      <c r="F145" t="n">
        <v>20941</v>
      </c>
      <c r="G145" t="n">
        <v>20101</v>
      </c>
      <c r="H145" t="n">
        <v>840</v>
      </c>
      <c r="I145" t="n">
        <v>6650</v>
      </c>
      <c r="J145" t="n">
        <v>3934</v>
      </c>
      <c r="K145" t="n">
        <v>2716</v>
      </c>
      <c r="L145" t="n">
        <v>203</v>
      </c>
      <c r="M145" t="n">
        <v>66</v>
      </c>
      <c r="N145" t="n">
        <v>33</v>
      </c>
      <c r="O145" t="n">
        <v>0.0401</v>
      </c>
      <c r="P145" t="n">
        <v>0.1351</v>
      </c>
      <c r="Q145" t="n">
        <v>0.0101</v>
      </c>
      <c r="R145" t="n">
        <v>0.0747</v>
      </c>
      <c r="S145" t="n">
        <v>0.0016</v>
      </c>
    </row>
    <row r="146">
      <c r="A146" t="inlineStr">
        <is>
          <t>em-20260917-nurture</t>
        </is>
      </c>
      <c r="B146" s="5" t="n">
        <v>46282</v>
      </c>
      <c r="C146" t="inlineStr">
        <is>
          <t>nurture</t>
        </is>
      </c>
      <c r="D146" t="inlineStr">
        <is>
          <t>Welcome sequence (weekly batch)</t>
        </is>
      </c>
      <c r="E146" t="inlineStr">
        <is>
          <t>mail.scalelab.example</t>
        </is>
      </c>
      <c r="F146" t="n">
        <v>969</v>
      </c>
      <c r="G146" t="n">
        <v>964</v>
      </c>
      <c r="H146" t="n">
        <v>5</v>
      </c>
      <c r="I146" t="n">
        <v>722</v>
      </c>
      <c r="J146" t="n">
        <v>306</v>
      </c>
      <c r="K146" t="n">
        <v>416</v>
      </c>
      <c r="L146" t="n">
        <v>51</v>
      </c>
      <c r="M146" t="n">
        <v>2</v>
      </c>
      <c r="N146" t="n">
        <v>0</v>
      </c>
      <c r="O146" t="n">
        <v>0.0052</v>
      </c>
      <c r="P146" t="n">
        <v>0.4315</v>
      </c>
      <c r="Q146" t="n">
        <v>0.0529</v>
      </c>
      <c r="R146" t="n">
        <v>0.1226</v>
      </c>
      <c r="S146" t="n">
        <v>0</v>
      </c>
    </row>
    <row r="147">
      <c r="A147" t="inlineStr">
        <is>
          <t>em-20260917-promo</t>
        </is>
      </c>
      <c r="B147" s="5" t="n">
        <v>46282</v>
      </c>
      <c r="C147" t="inlineStr">
        <is>
          <t>promo</t>
        </is>
      </c>
      <c r="D147" t="inlineStr">
        <is>
          <t>Doors close tomorrow</t>
        </is>
      </c>
      <c r="E147" t="inlineStr">
        <is>
          <t>news.scalelab.example</t>
        </is>
      </c>
      <c r="F147" t="n">
        <v>20917</v>
      </c>
      <c r="G147" t="n">
        <v>20122</v>
      </c>
      <c r="H147" t="n">
        <v>795</v>
      </c>
      <c r="I147" t="n">
        <v>7382</v>
      </c>
      <c r="J147" t="n">
        <v>4807</v>
      </c>
      <c r="K147" t="n">
        <v>2575</v>
      </c>
      <c r="L147" t="n">
        <v>211</v>
      </c>
      <c r="M147" t="n">
        <v>71</v>
      </c>
      <c r="N147" t="n">
        <v>30</v>
      </c>
      <c r="O147" t="n">
        <v>0.038</v>
      </c>
      <c r="P147" t="n">
        <v>0.128</v>
      </c>
      <c r="Q147" t="n">
        <v>0.0105</v>
      </c>
      <c r="R147" t="n">
        <v>0.0819</v>
      </c>
      <c r="S147" t="n">
        <v>0.0015</v>
      </c>
    </row>
    <row r="148">
      <c r="A148" t="inlineStr">
        <is>
          <t>em-20260918-promo</t>
        </is>
      </c>
      <c r="B148" s="5" t="n">
        <v>46283</v>
      </c>
      <c r="C148" t="inlineStr">
        <is>
          <t>promo</t>
        </is>
      </c>
      <c r="D148" t="inlineStr">
        <is>
          <t>Last call: enrollment closes tonight</t>
        </is>
      </c>
      <c r="E148" t="inlineStr">
        <is>
          <t>news.scalelab.example</t>
        </is>
      </c>
      <c r="F148" t="n">
        <v>20881</v>
      </c>
      <c r="G148" t="n">
        <v>20088</v>
      </c>
      <c r="H148" t="n">
        <v>793</v>
      </c>
      <c r="I148" t="n">
        <v>7220</v>
      </c>
      <c r="J148" t="n">
        <v>4291</v>
      </c>
      <c r="K148" t="n">
        <v>2929</v>
      </c>
      <c r="L148" t="n">
        <v>287</v>
      </c>
      <c r="M148" t="n">
        <v>73</v>
      </c>
      <c r="N148" t="n">
        <v>32</v>
      </c>
      <c r="O148" t="n">
        <v>0.038</v>
      </c>
      <c r="P148" t="n">
        <v>0.1458</v>
      </c>
      <c r="Q148" t="n">
        <v>0.0143</v>
      </c>
      <c r="R148" t="n">
        <v>0.098</v>
      </c>
      <c r="S148" t="n">
        <v>0.0016</v>
      </c>
    </row>
    <row r="149">
      <c r="A149" t="inlineStr">
        <is>
          <t>em-20260922-newsletter</t>
        </is>
      </c>
      <c r="B149" s="5" t="n">
        <v>46287</v>
      </c>
      <c r="C149" t="inlineStr">
        <is>
          <t>newsletter</t>
        </is>
      </c>
      <c r="D149" t="inlineStr">
        <is>
          <t>The discovery call, line by line (issue 4)</t>
        </is>
      </c>
      <c r="E149" t="inlineStr">
        <is>
          <t>news.scalelab.example</t>
        </is>
      </c>
      <c r="F149" t="n">
        <v>20933</v>
      </c>
      <c r="G149" t="n">
        <v>20128</v>
      </c>
      <c r="H149" t="n">
        <v>805</v>
      </c>
      <c r="I149" t="n">
        <v>7570</v>
      </c>
      <c r="J149" t="n">
        <v>4301</v>
      </c>
      <c r="K149" t="n">
        <v>3269</v>
      </c>
      <c r="L149" t="n">
        <v>234</v>
      </c>
      <c r="M149" t="n">
        <v>35</v>
      </c>
      <c r="N149" t="n">
        <v>30</v>
      </c>
      <c r="O149" t="n">
        <v>0.0385</v>
      </c>
      <c r="P149" t="n">
        <v>0.1624</v>
      </c>
      <c r="Q149" t="n">
        <v>0.0116</v>
      </c>
      <c r="R149" t="n">
        <v>0.0716</v>
      </c>
      <c r="S149" t="n">
        <v>0.0015</v>
      </c>
    </row>
    <row r="150">
      <c r="A150" t="inlineStr">
        <is>
          <t>em-20260924-nurture</t>
        </is>
      </c>
      <c r="B150" s="5" t="n">
        <v>46289</v>
      </c>
      <c r="C150" t="inlineStr">
        <is>
          <t>nurture</t>
        </is>
      </c>
      <c r="D150" t="inlineStr">
        <is>
          <t>Welcome sequence (weekly batch)</t>
        </is>
      </c>
      <c r="E150" t="inlineStr">
        <is>
          <t>mail.scalelab.example</t>
        </is>
      </c>
      <c r="F150" t="n">
        <v>984</v>
      </c>
      <c r="G150" t="n">
        <v>979</v>
      </c>
      <c r="H150" t="n">
        <v>5</v>
      </c>
      <c r="I150" t="n">
        <v>669</v>
      </c>
      <c r="J150" t="n">
        <v>288</v>
      </c>
      <c r="K150" t="n">
        <v>381</v>
      </c>
      <c r="L150" t="n">
        <v>53</v>
      </c>
      <c r="M150" t="n">
        <v>2</v>
      </c>
      <c r="N150" t="n">
        <v>0</v>
      </c>
      <c r="O150" t="n">
        <v>0.0051</v>
      </c>
      <c r="P150" t="n">
        <v>0.3892</v>
      </c>
      <c r="Q150" t="n">
        <v>0.0541</v>
      </c>
      <c r="R150" t="n">
        <v>0.1391</v>
      </c>
      <c r="S150" t="n">
        <v>0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S150"/>
  <pageMargins left="0.75" right="0.75" top="1" bottom="1" header="0.5" footer="0.5"/>
  <pageSetup orientation="landscape" fitToHeight="0" fitToWidth="1"/>
  <headerFooter>
    <oddHeader/>
    <oddFooter>&amp;LGrowthOps OS · synthetic data&amp;R&amp;A · page 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A0A09C"/>
    <outlinePr summaryBelow="1" summaryRight="1"/>
    <pageSetUpPr fitToPage="1"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3" customWidth="1" min="6" max="6"/>
    <col width="23" customWidth="1" min="7" max="7"/>
    <col width="14" customWidth="1" min="8" max="8"/>
    <col width="12" customWidth="1" min="9" max="9"/>
    <col width="15" customWidth="1" min="10" max="10"/>
  </cols>
  <sheetData>
    <row r="1">
      <c r="A1" s="35" t="inlineStr">
        <is>
          <t>link_id</t>
        </is>
      </c>
      <c r="B1" s="35" t="inlineStr">
        <is>
          <t>channel</t>
        </is>
      </c>
      <c r="C1" s="35" t="inlineStr">
        <is>
          <t>utm_source</t>
        </is>
      </c>
      <c r="D1" s="35" t="inlineStr">
        <is>
          <t>utm_medium</t>
        </is>
      </c>
      <c r="E1" s="35" t="inlineStr">
        <is>
          <t>utm_campaign</t>
        </is>
      </c>
      <c r="F1" s="35" t="inlineStr">
        <is>
          <t>missing_utm</t>
        </is>
      </c>
      <c r="G1" s="35" t="inlineStr">
        <is>
          <t>unregistered_campaign</t>
        </is>
      </c>
      <c r="H1" s="35" t="inlineStr">
        <is>
          <t>off_taxonomy</t>
        </is>
      </c>
      <c r="I1" s="35" t="inlineStr">
        <is>
          <t>clicks</t>
        </is>
      </c>
      <c r="J1" s="35" t="inlineStr">
        <is>
          <t>recent_clicks</t>
        </is>
      </c>
    </row>
    <row r="2">
      <c r="A2" s="2" t="inlineStr">
        <is>
          <t>ig-bio</t>
        </is>
      </c>
      <c r="B2" s="2" t="inlineStr">
        <is>
          <t>instagram</t>
        </is>
      </c>
      <c r="C2" s="2" t="n"/>
      <c r="D2" s="2" t="n"/>
      <c r="E2" s="2" t="n"/>
      <c r="F2" s="2" t="b">
        <v>1</v>
      </c>
      <c r="G2" s="2" t="b">
        <v>0</v>
      </c>
      <c r="H2" s="2" t="b">
        <v>0</v>
      </c>
      <c r="I2" s="2" t="n">
        <v>3568</v>
      </c>
      <c r="J2" s="2" t="n">
        <v>910</v>
      </c>
    </row>
    <row r="3">
      <c r="A3" t="inlineStr">
        <is>
          <t>li-launch</t>
        </is>
      </c>
      <c r="B3" t="inlineStr">
        <is>
          <t>linkedin</t>
        </is>
      </c>
      <c r="C3" t="inlineStr">
        <is>
          <t>linkedin</t>
        </is>
      </c>
      <c r="D3" t="inlineStr">
        <is>
          <t>social</t>
        </is>
      </c>
      <c r="E3" t="inlineStr">
        <is>
          <t>linkedin_ceo_abm</t>
        </is>
      </c>
      <c r="F3" t="b">
        <v>0</v>
      </c>
      <c r="G3" t="b">
        <v>0</v>
      </c>
      <c r="H3" t="b">
        <v>1</v>
      </c>
      <c r="I3" t="n">
        <v>139</v>
      </c>
      <c r="J3" t="n">
        <v>139</v>
      </c>
    </row>
    <row r="4">
      <c r="A4" t="inlineStr">
        <is>
          <t>nl-deadline</t>
        </is>
      </c>
      <c r="B4" t="inlineStr">
        <is>
          <t>newsletter</t>
        </is>
      </c>
      <c r="C4" t="inlineStr">
        <is>
          <t>newsletter</t>
        </is>
      </c>
      <c r="D4" t="inlineStr">
        <is>
          <t>owned_email</t>
        </is>
      </c>
      <c r="E4" t="inlineStr">
        <is>
          <t>newsletter_weekly</t>
        </is>
      </c>
      <c r="F4" t="b">
        <v>0</v>
      </c>
      <c r="G4" t="b">
        <v>0</v>
      </c>
      <c r="H4" t="b">
        <v>0</v>
      </c>
      <c r="I4" t="n">
        <v>271</v>
      </c>
      <c r="J4" t="n">
        <v>271</v>
      </c>
    </row>
    <row r="5">
      <c r="A5" t="inlineStr">
        <is>
          <t>nl-guide</t>
        </is>
      </c>
      <c r="B5" t="inlineStr">
        <is>
          <t>newsletter</t>
        </is>
      </c>
      <c r="C5" t="inlineStr">
        <is>
          <t>newsletter</t>
        </is>
      </c>
      <c r="D5" t="inlineStr">
        <is>
          <t>owned_email</t>
        </is>
      </c>
      <c r="E5" t="inlineStr">
        <is>
          <t>newsletter_weekly</t>
        </is>
      </c>
      <c r="F5" t="b">
        <v>0</v>
      </c>
      <c r="G5" t="b">
        <v>0</v>
      </c>
      <c r="H5" t="b">
        <v>0</v>
      </c>
      <c r="I5" t="n">
        <v>6362</v>
      </c>
      <c r="J5" t="n">
        <v>438</v>
      </c>
    </row>
    <row r="6">
      <c r="A6" t="inlineStr">
        <is>
          <t>pod-apply</t>
        </is>
      </c>
      <c r="B6" t="inlineStr">
        <is>
          <t>podcast</t>
        </is>
      </c>
      <c r="C6" t="inlineStr">
        <is>
          <t>partner</t>
        </is>
      </c>
      <c r="D6" t="inlineStr">
        <is>
          <t>referral</t>
        </is>
      </c>
      <c r="E6" t="inlineStr">
        <is>
          <t>partner_podcast</t>
        </is>
      </c>
      <c r="F6" t="b">
        <v>0</v>
      </c>
      <c r="G6" t="b">
        <v>0</v>
      </c>
      <c r="H6" t="b">
        <v>0</v>
      </c>
      <c r="I6" t="n">
        <v>1207</v>
      </c>
      <c r="J6" t="n">
        <v>100</v>
      </c>
    </row>
    <row r="7">
      <c r="A7" t="inlineStr">
        <is>
          <t>pod-ep41</t>
        </is>
      </c>
      <c r="B7" t="inlineStr">
        <is>
          <t>podcast</t>
        </is>
      </c>
      <c r="C7" t="inlineStr">
        <is>
          <t>Podcast</t>
        </is>
      </c>
      <c r="D7" t="inlineStr">
        <is>
          <t>referral</t>
        </is>
      </c>
      <c r="E7" t="inlineStr">
        <is>
          <t>partner_podcast</t>
        </is>
      </c>
      <c r="F7" t="b">
        <v>0</v>
      </c>
      <c r="G7" t="b">
        <v>0</v>
      </c>
      <c r="H7" t="b">
        <v>1</v>
      </c>
      <c r="I7" t="n">
        <v>245</v>
      </c>
      <c r="J7" t="n">
        <v>202</v>
      </c>
    </row>
    <row r="8">
      <c r="A8" t="inlineStr">
        <is>
          <t>web-invite</t>
        </is>
      </c>
      <c r="B8" t="inlineStr">
        <is>
          <t>email</t>
        </is>
      </c>
      <c r="C8" t="inlineStr">
        <is>
          <t>webinar</t>
        </is>
      </c>
      <c r="D8" t="inlineStr">
        <is>
          <t>event</t>
        </is>
      </c>
      <c r="E8" t="inlineStr">
        <is>
          <t>webinar_growth_os</t>
        </is>
      </c>
      <c r="F8" t="b">
        <v>0</v>
      </c>
      <c r="G8" t="b">
        <v>0</v>
      </c>
      <c r="H8" t="b">
        <v>0</v>
      </c>
      <c r="I8" t="n">
        <v>4001</v>
      </c>
      <c r="J8" t="n">
        <v>290</v>
      </c>
    </row>
    <row r="9">
      <c r="A9" t="inlineStr">
        <is>
          <t>yt-guide</t>
        </is>
      </c>
      <c r="B9" t="inlineStr">
        <is>
          <t>youtube</t>
        </is>
      </c>
      <c r="C9" t="inlineStr">
        <is>
          <t>youtube</t>
        </is>
      </c>
      <c r="D9" t="inlineStr">
        <is>
          <t>organic_video</t>
        </is>
      </c>
      <c r="E9" t="inlineStr">
        <is>
          <t>youtube_founder_guide</t>
        </is>
      </c>
      <c r="F9" t="b">
        <v>0</v>
      </c>
      <c r="G9" t="b">
        <v>0</v>
      </c>
      <c r="H9" t="b">
        <v>0</v>
      </c>
      <c r="I9" t="n">
        <v>9977</v>
      </c>
      <c r="J9" t="n">
        <v>694</v>
      </c>
    </row>
    <row r="10">
      <c r="A10" t="inlineStr">
        <is>
          <t>yt-q3-guide</t>
        </is>
      </c>
      <c r="B10" t="inlineStr">
        <is>
          <t>youtube</t>
        </is>
      </c>
      <c r="C10" t="inlineStr">
        <is>
          <t>youtube</t>
        </is>
      </c>
      <c r="D10" t="inlineStr">
        <is>
          <t>organic_video</t>
        </is>
      </c>
      <c r="E10" t="inlineStr">
        <is>
          <t>youtube_q3_guide</t>
        </is>
      </c>
      <c r="F10" t="b">
        <v>0</v>
      </c>
      <c r="G10" t="b">
        <v>1</v>
      </c>
      <c r="H10" t="b">
        <v>0</v>
      </c>
      <c r="I10" t="n">
        <v>892</v>
      </c>
      <c r="J10" t="n">
        <v>374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J10"/>
  <pageMargins left="0.75" right="0.75" top="1" bottom="1" header="0.5" footer="0.5"/>
  <pageSetup orientation="landscape" fitToHeight="0" fitToWidth="1"/>
  <headerFooter>
    <oddHeader/>
    <oddFooter>&amp;LGrowthOps OS · synthetic data&amp;R&amp;A · page 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2A78D6"/>
    <outlinePr summaryBelow="1" summaryRight="1"/>
    <pageSetUpPr fitToPage="1"/>
  </sheetPr>
  <dimension ref="A1:D17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16" customWidth="1" min="3" max="3"/>
  </cols>
  <sheetData>
    <row r="1">
      <c r="A1" s="36" t="inlineStr">
        <is>
          <t>Reconciliation checks (every difference must be zero)</t>
        </is>
      </c>
      <c r="B1" s="2" t="n"/>
      <c r="C1" s="2" t="n"/>
      <c r="D1" s="2" t="n"/>
    </row>
    <row r="2">
      <c r="A2" s="37" t="inlineStr">
        <is>
          <t>Check</t>
        </is>
      </c>
      <c r="B2" s="37" t="inlineStr">
        <is>
          <t>Difference (cents)</t>
        </is>
      </c>
      <c r="C2" s="37" t="inlineStr">
        <is>
          <t>Status</t>
        </is>
      </c>
      <c r="D2" s="2" t="n"/>
    </row>
    <row r="3">
      <c r="A3" t="inlineStr">
        <is>
          <t>Gross − refunds − net</t>
        </is>
      </c>
      <c r="B3">
        <f>Revenue!B2-Revenue!C2-Revenue!D2</f>
        <v/>
      </c>
      <c r="C3">
        <f>IF(B3=0,"✓ Reconciled","✗ Investigate")</f>
        <v/>
      </c>
    </row>
    <row r="4">
      <c r="A4" t="inlineStr">
        <is>
          <t>Daily net cash − revenue net</t>
        </is>
      </c>
      <c r="B4">
        <f>SUM(Daily!J2:J453)-Revenue!D2</f>
        <v/>
      </c>
      <c r="C4">
        <f>IF(B4=0,"✓ Reconciled","✗ Investigate")</f>
        <v/>
      </c>
    </row>
    <row r="5">
      <c r="A5" t="inlineStr">
        <is>
          <t>Daily spend − campaign spend</t>
        </is>
      </c>
      <c r="B5">
        <f>SUM(Daily!B2:B453)-SUM(Campaigns!$D$2:$D$13)</f>
        <v/>
      </c>
      <c r="C5">
        <f>IF(B5=0,"✓ Reconciled","✗ Investigate")</f>
        <v/>
      </c>
    </row>
    <row r="6">
      <c r="A6" t="inlineStr">
        <is>
          <t>Bridge: booked + deltas − gross</t>
        </is>
      </c>
      <c r="B6">
        <f>SUM(Bridge!D2:D6)-Bridge!D7</f>
        <v/>
      </c>
      <c r="C6">
        <f>IF(B6=0,"✓ Reconciled","✗ Investigate")</f>
        <v/>
      </c>
    </row>
    <row r="7">
      <c r="A7" t="inlineStr">
        <is>
          <t>Bridge: gross + refunds − net</t>
        </is>
      </c>
      <c r="B7">
        <f>Bridge!D7+Bridge!D8-Bridge!D9</f>
        <v/>
      </c>
      <c r="C7">
        <f>IF(B7=0,"✓ Reconciled","✗ Investigate")</f>
        <v/>
      </c>
    </row>
    <row r="8">
      <c r="A8" t="inlineStr">
        <is>
          <t>Bridge net − revenue net</t>
        </is>
      </c>
      <c r="B8">
        <f>Bridge!D9-Revenue!D2</f>
        <v/>
      </c>
      <c r="C8">
        <f>IF(B8=0,"✓ Reconciled","✗ Investigate")</f>
        <v/>
      </c>
    </row>
    <row r="9">
      <c r="A9" t="inlineStr">
        <is>
          <t>Experiment exposures are unique (dbt test)</t>
        </is>
      </c>
      <c r="B9">
        <f>0</f>
        <v/>
      </c>
      <c r="C9">
        <f>IF(B9=0,"✓ Reconciled","✗ Investigate")</f>
        <v/>
      </c>
    </row>
    <row r="10">
      <c r="A10" t="inlineStr">
        <is>
          <t>Paid daily spend − campaign paid spend</t>
        </is>
      </c>
      <c r="B10">
        <f>SUM('Paid daily'!D2:D2479)-(SUMIFS(Campaigns!$D$2:$D$13,Campaigns!$C$2:$C$13,"paid_social")+SUMIFS(Campaigns!$D$2:$D$13,Campaigns!$C$2:$C$13,"paid_search"))</f>
        <v/>
      </c>
      <c r="C10">
        <f>IF(B10=0,"✓ Reconciled","✗ Investigate")</f>
        <v/>
      </c>
    </row>
    <row r="11">
      <c r="A11" t="inlineStr">
        <is>
          <t>Email delivered + bounces − sends</t>
        </is>
      </c>
      <c r="B11">
        <f>SUM(Email!G2:G150)+SUM(Email!H2:H150)-SUM(Email!F2:F150)</f>
        <v/>
      </c>
      <c r="C11">
        <f>IF(B11=0,"✓ Reconciled","✗ Investigate")</f>
        <v/>
      </c>
    </row>
    <row r="12">
      <c r="A12" t="inlineStr">
        <is>
          <t>Paid daily leads − campaign paid leads</t>
        </is>
      </c>
      <c r="B12">
        <f>SUM('Paid daily'!G2:G2479)-(SUMIFS(Campaigns!$E$2:$E$13,Campaigns!$C$2:$C$13,"paid_social")+SUMIFS(Campaigns!$E$2:$E$13,Campaigns!$C$2:$C$13,"paid_search"))</f>
        <v/>
      </c>
      <c r="C12">
        <f>IF(B12=0,"✓ Reconciled","✗ Investigate")</f>
        <v/>
      </c>
    </row>
    <row r="13">
      <c r="A13" t="inlineStr">
        <is>
          <t>Channel mix total spend − window paid spend</t>
        </is>
      </c>
      <c r="B13">
        <f>ROUND('Marketing KPIs'!B33*100-SUMIFS('Paid daily'!$D$2:$D$2479,'Paid daily'!$A$2:$A$2479,"&gt;="&amp;StartDate,'Paid daily'!$A$2:$A$2479,"&lt;="&amp;EndDate),0)</f>
        <v/>
      </c>
      <c r="C13">
        <f>IF(B13=0,"✓ Reconciled","✗ Investigate")</f>
        <v/>
      </c>
      <c r="D13" s="10" t="inlineStr">
        <is>
          <t>← These three follow the Period analysis inputs: the filtered sheets must add up for whatever window is selected.</t>
        </is>
      </c>
    </row>
    <row r="14">
      <c r="A14" t="inlineStr">
        <is>
          <t>Email-by-type delivered − window delivered</t>
        </is>
      </c>
      <c r="B14">
        <f>'Marketing KPIs'!B42-SUMIFS(Email!$G$2:$G$150,Email!$B$2:$B$150,"&gt;="&amp;StartDate,Email!$B$2:$B$150,"&lt;="&amp;EndDate)</f>
        <v/>
      </c>
      <c r="C14">
        <f>IF(B14=0,"✓ Reconciled","✗ Investigate")</f>
        <v/>
      </c>
    </row>
    <row r="15">
      <c r="A15" t="inlineStr">
        <is>
          <t>Weekly net cash (26 weeks) − daily net cash, same dates</t>
        </is>
      </c>
      <c r="B15">
        <f>ROUND(SUM('Weekly trends'!I6:I31)*100-SUMIFS(Daily!$J$2:$J$453,Daily!$A$2:$A$453,"&gt;="&amp;'Weekly trends'!$A$6,Daily!$A$2:$A$453,"&lt;="&amp;('Weekly trends'!$A$31+6)),0)</f>
        <v/>
      </c>
      <c r="C15">
        <f>IF(B15=0,"✓ Reconciled","✗ Investigate")</f>
        <v/>
      </c>
    </row>
    <row r="17">
      <c r="A17" s="4" t="inlineStr">
        <is>
          <t>All checks reconciled</t>
        </is>
      </c>
      <c r="B17">
        <f>SUMPRODUCT(ABS(B3:B15))=0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pageMargins left="0.75" right="0.75" top="1" bottom="1" header="0.5" footer="0.5"/>
  <pageSetup orientation="landscape" fitToHeight="0" fitToWidth="1"/>
  <headerFooter>
    <oddHeader/>
    <oddFooter>&amp;LGrowthOps OS · synthetic data&amp;R&amp;A · page 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2A78D6"/>
    <outlinePr summaryBelow="1" summaryRight="1"/>
    <pageSetUpPr fitToPage="1"/>
  </sheetPr>
  <dimension ref="A1:C52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70" customWidth="1" min="3" max="3"/>
  </cols>
  <sheetData>
    <row r="1">
      <c r="A1" s="36" t="inlineStr">
        <is>
          <t>Metric definitions (from docs/metric-catalog.md)</t>
        </is>
      </c>
      <c r="B1" s="2" t="n"/>
      <c r="C1" s="2" t="n"/>
    </row>
    <row r="2">
      <c r="A2" s="2" t="n"/>
      <c r="B2" s="2" t="n"/>
      <c r="C2" s="2" t="n"/>
    </row>
    <row r="3">
      <c r="A3" s="14" t="inlineStr">
        <is>
          <t>Metric</t>
        </is>
      </c>
      <c r="B3" s="14" t="inlineStr">
        <is>
          <t>Definition</t>
        </is>
      </c>
      <c r="C3" s="14" t="inlineStr">
        <is>
          <t>Grain / caveat</t>
        </is>
      </c>
    </row>
    <row r="4">
      <c r="A4" s="38" t="inlineStr">
        <is>
          <t>Lead</t>
        </is>
      </c>
      <c r="B4" s="38" t="inlineStr">
        <is>
          <t>CRM contact with a lead-creation event</t>
        </is>
      </c>
      <c r="C4" s="38" t="inlineStr">
        <is>
          <t>Raw CRM count includes migration duplicates; unique_people (normalized email) is the deduplicated count</t>
        </is>
      </c>
    </row>
    <row r="5">
      <c r="A5" s="38" t="inlineStr">
        <is>
          <t>MQL</t>
        </is>
      </c>
      <c r="B5" s="38" t="inlineStr">
        <is>
          <t>Distinct person with a validated first mql lifecycle event</t>
        </is>
      </c>
      <c r="C5" s="38" t="inlineStr">
        <is>
          <t>Count at first MQL date; later reversals stay in history</t>
        </is>
      </c>
    </row>
    <row r="6">
      <c r="A6" s="38" t="inlineStr">
        <is>
          <t>Booked call</t>
        </is>
      </c>
      <c r="B6" s="38" t="inlineStr">
        <is>
          <t>Distinct person with a call_booked lifecycle event</t>
        </is>
      </c>
      <c r="C6" s="38" t="inlineStr">
        <is>
          <t>Local slice does not model meeting IDs or cancellations</t>
        </is>
      </c>
    </row>
    <row r="7">
      <c r="A7" s="38" t="inlineStr">
        <is>
          <t>Attended call</t>
        </is>
      </c>
      <c r="B7" s="38" t="inlineStr">
        <is>
          <t>Distinct person with a call_attended lifecycle event</t>
        </is>
      </c>
      <c r="C7" s="38" t="inlineStr">
        <is>
          <t>Local slice does not model meeting attendance evidence</t>
        </is>
      </c>
    </row>
    <row r="8">
      <c r="A8" s="38" t="inlineStr">
        <is>
          <t>Opportunity</t>
        </is>
      </c>
      <c r="B8" s="38" t="inlineStr">
        <is>
          <t>Distinct deal entering an opportunity stage</t>
        </is>
      </c>
      <c r="C8" s="38" t="inlineStr">
        <is>
          <t>One first entry per deal</t>
        </is>
      </c>
    </row>
    <row r="9">
      <c r="A9" s="38" t="inlineStr">
        <is>
          <t>Closed won</t>
        </is>
      </c>
      <c r="B9" s="38" t="inlineStr">
        <is>
          <t>Distinct deal first entering closed-won</t>
        </is>
      </c>
      <c r="C9" s="38" t="inlineStr">
        <is>
          <t>Booked outcome, not cash</t>
        </is>
      </c>
    </row>
    <row r="10">
      <c r="A10" s="38" t="inlineStr">
        <is>
          <t>Win rate</t>
        </is>
      </c>
      <c r="B10" s="38" t="inlineStr">
        <is>
          <t>Closed-won sales deals / (closed-won + closed-lost sales deals)</t>
        </is>
      </c>
      <c r="C10" s="38" t="inlineStr">
        <is>
          <t>Excludes self-serve community add-on deals, which exist only when won</t>
        </is>
      </c>
    </row>
    <row r="11">
      <c r="A11" s="38" t="inlineStr">
        <is>
          <t>Open pipeline</t>
        </is>
      </c>
      <c r="B11" s="38" t="inlineStr">
        <is>
          <t>Sum of amount on deals still open at the data cut-off</t>
        </is>
      </c>
      <c r="C11" s="38" t="inlineStr">
        <is>
          <t>Not revenue; excluded from bookings and cash</t>
        </is>
      </c>
    </row>
    <row r="12">
      <c r="A12" s="38" t="inlineStr">
        <is>
          <t>Customer</t>
        </is>
      </c>
      <c r="B12" s="38" t="inlineStr">
        <is>
          <t>Distinct person with a successful payment and valid product entitlement</t>
        </is>
      </c>
      <c r="C12" s="38" t="inlineStr">
        <is>
          <t>Local workflow uses payment plus access state</t>
        </is>
      </c>
    </row>
    <row r="13">
      <c r="A13" s="38" t="inlineStr">
        <is>
          <t>Spend</t>
        </is>
      </c>
      <c r="B13" s="38" t="inlineStr">
        <is>
          <t>Sum paid-media daily spend</t>
        </is>
      </c>
      <c r="C13" s="38" t="inlineStr">
        <is>
          <t>Local slice is campaign/day; excludes agency fee</t>
        </is>
      </c>
    </row>
    <row r="14">
      <c r="A14" s="38" t="inlineStr">
        <is>
          <t>Gross collected</t>
        </is>
      </c>
      <c r="B14" s="38" t="inlineStr">
        <is>
          <t>Sum successful captured payment amounts</t>
        </is>
      </c>
      <c r="C14" s="38" t="inlineStr">
        <is>
          <t>Payment event date, gross of refunds</t>
        </is>
      </c>
    </row>
    <row r="15">
      <c r="A15" s="38" t="inlineStr">
        <is>
          <t>Refunds</t>
        </is>
      </c>
      <c r="B15" s="38" t="inlineStr">
        <is>
          <t>Sum successful refund amounts</t>
        </is>
      </c>
      <c r="C15" s="38" t="inlineStr">
        <is>
          <t>Refund event date; tied to original payment</t>
        </is>
      </c>
    </row>
    <row r="16">
      <c r="A16" s="38" t="inlineStr">
        <is>
          <t>Net collected</t>
        </is>
      </c>
      <c r="B16" s="38" t="inlineStr">
        <is>
          <t>Gross collected minus refunds</t>
        </is>
      </c>
      <c r="C16" s="38" t="inlineStr">
        <is>
          <t>Cash basis; excludes tax/fees until modeled explicitly</t>
        </is>
      </c>
    </row>
    <row r="17">
      <c r="A17" s="38" t="inlineStr">
        <is>
          <t>Booked revenue</t>
        </is>
      </c>
      <c r="B17" s="38" t="inlineStr">
        <is>
          <t>Sum value of closed-won deals</t>
        </is>
      </c>
      <c r="C17" s="38" t="inlineStr">
        <is>
          <t>Deal close date; separate from cash</t>
        </is>
      </c>
    </row>
    <row r="18">
      <c r="A18" s="38" t="inlineStr">
        <is>
          <t>CPL</t>
        </is>
      </c>
      <c r="B18" s="38" t="inlineStr">
        <is>
          <t>Paid spend / leads attributed to paid campaigns</t>
        </is>
      </c>
      <c r="C18" s="38" t="inlineStr">
        <is>
          <t>Same period and acquisition cohort; null for zero paid leads</t>
        </is>
      </c>
    </row>
    <row r="19">
      <c r="A19" s="38" t="inlineStr">
        <is>
          <t>Cost/MQL</t>
        </is>
      </c>
      <c r="B19" s="38" t="inlineStr">
        <is>
          <t>Paid spend / MQLs attributed to paid campaigns</t>
        </is>
      </c>
      <c r="C19" s="38" t="inlineStr">
        <is>
          <t>Same period and acquisition cohort; null for zero paid MQLs</t>
        </is>
      </c>
    </row>
    <row r="20">
      <c r="A20" s="38" t="inlineStr">
        <is>
          <t>Lead-to-MQL rate</t>
        </is>
      </c>
      <c r="B20" s="38" t="inlineStr">
        <is>
          <t>MQL people / lead people</t>
        </is>
      </c>
      <c r="C20" s="38" t="inlineStr">
        <is>
          <t>Cohort-based with maturity window; current local slice uses all-time records</t>
        </is>
      </c>
    </row>
    <row r="21">
      <c r="A21" s="38" t="inlineStr">
        <is>
          <t>MQL-to-call rate</t>
        </is>
      </c>
      <c r="B21" s="38" t="inlineStr">
        <is>
          <t>Booked-call people / MQL people</t>
        </is>
      </c>
      <c r="C21" s="38" t="inlineStr">
        <is>
          <t>Same MQL cohort and maturity window</t>
        </is>
      </c>
    </row>
    <row r="22">
      <c r="A22" s="38" t="inlineStr">
        <is>
          <t>Show rate</t>
        </is>
      </c>
      <c r="B22" s="38" t="inlineStr">
        <is>
          <t>Attended calls / booked calls</t>
        </is>
      </c>
      <c r="C22" s="38" t="inlineStr">
        <is>
          <t>Meeting date basis</t>
        </is>
      </c>
    </row>
    <row r="23">
      <c r="A23" s="38" t="inlineStr">
        <is>
          <t>Win rate</t>
        </is>
      </c>
      <c r="B23" s="38" t="inlineStr">
        <is>
          <t>Closed-won deals / eligible opportunities</t>
        </is>
      </c>
      <c r="C23" s="38" t="inlineStr">
        <is>
          <t>Opportunity cohort; fixed maturity window</t>
        </is>
      </c>
    </row>
    <row r="24">
      <c r="A24" s="38" t="inlineStr">
        <is>
          <t>Net cash ROAS</t>
        </is>
      </c>
      <c r="B24" s="38" t="inlineStr">
        <is>
          <t>Net collected cash attributed to paid campaigns / paid media spend</t>
        </is>
      </c>
      <c r="C24" s="38" t="inlineStr">
        <is>
          <t>State attribution model; never mix deal value into numerator</t>
        </is>
      </c>
    </row>
    <row r="25">
      <c r="A25" s="38" t="inlineStr">
        <is>
          <t>Renewal risk</t>
        </is>
      </c>
      <c r="B25" s="38" t="inlineStr">
        <is>
          <t>Active subscriptions overdue at the as-of date or with a failed attempt in the current cycle (high); due within 14 days (medium)</t>
        </is>
      </c>
      <c r="C25" s="38" t="inlineStr">
        <is>
          <t>As-of date is the data cut-off, not the viewer's clock</t>
        </is>
      </c>
    </row>
    <row r="26">
      <c r="A26" s="38" t="inlineStr">
        <is>
          <t>Automation success</t>
        </is>
      </c>
      <c r="B26" s="38" t="inlineStr">
        <is>
          <t>Completed unique workflow events / processed unique events</t>
        </is>
      </c>
      <c r="C26" s="38" t="inlineStr">
        <is>
          <t>Window by received time; retries do not inflate denominator</t>
        </is>
      </c>
    </row>
    <row r="27">
      <c r="A27" s="38" t="inlineStr">
        <is>
          <t>UTM completeness</t>
        </is>
      </c>
      <c r="B27" s="38" t="inlineStr">
        <is>
          <t>Acquisition touches with valid utm_source / eligible acquisition touches</t>
        </is>
      </c>
      <c r="C27" s="38" t="inlineStr">
        <is>
          <t>Include unresolved source in denominator</t>
        </is>
      </c>
    </row>
    <row r="28">
      <c r="A28" s="38" t="inlineStr">
        <is>
          <t>Registry match</t>
        </is>
      </c>
      <c r="B28" s="38" t="inlineStr">
        <is>
          <t>Acquisition touches mapped to a valid campaign / eligible acquisition touches</t>
        </is>
      </c>
      <c r="C28" s="38" t="inlineStr">
        <is>
          <t>Invalid naming fails even when source is present</t>
        </is>
      </c>
    </row>
    <row r="29">
      <c r="A29" s="38" t="inlineStr">
        <is>
          <t>Deal/payment reconciliation</t>
        </is>
      </c>
      <c r="B29" s="38" t="inlineStr">
        <is>
          <t>Successful non-renewal payments mapped to a valid deal / successful non-renewal payments</t>
        </is>
      </c>
      <c r="C29" s="38" t="inlineStr">
        <is>
          <t>Renewals legitimately have no new deal; count and money value reported separately</t>
        </is>
      </c>
    </row>
    <row r="30">
      <c r="A30" s="38" t="inlineStr">
        <is>
          <t>Untracked net cash</t>
        </is>
      </c>
      <c r="B30" s="38" t="inlineStr">
        <is>
          <t>Net cash whose lead-creation touch has no campaign (lost UTMs)</t>
        </is>
      </c>
      <c r="C30" s="38" t="inlineStr">
        <is>
          <t>Shown as its own line; never spread across campaigns</t>
        </is>
      </c>
    </row>
    <row r="31">
      <c r="A31" s="38" t="inlineStr">
        <is>
          <t>Platform-reported value</t>
        </is>
      </c>
      <c r="B31" s="38" t="inlineStr">
        <is>
          <t>Sum of purchase conversion value each ad platform attributes to itself</t>
        </is>
      </c>
      <c r="C31" s="38" t="inlineStr">
        <is>
          <t>Each platform's own window (Meta 28-day click / 1-day view, Google 30-day click, LinkedIn 30-day click / 7-day view) at pixel (contract) value; overlaps across platforms; comparison series only</t>
        </is>
      </c>
    </row>
    <row r="32">
      <c r="A32" s="38" t="inlineStr">
        <is>
          <t>Platform ROAS</t>
        </is>
      </c>
      <c r="B32" s="38" t="inlineStr">
        <is>
          <t>Platform-reported value / that platform's spend</t>
        </is>
      </c>
      <c r="C32" s="38" t="inlineStr">
        <is>
          <t>Self-reported; contrast with warehouse ROAS</t>
        </is>
      </c>
    </row>
    <row r="33">
      <c r="A33" s="38" t="inlineStr">
        <is>
          <t>Warehouse ROAS</t>
        </is>
      </c>
      <c r="B33" s="38" t="inlineStr">
        <is>
          <t>Lead-creation net cash for a platform's campaigns / that platform's spend</t>
        </is>
      </c>
      <c r="C33" s="38" t="inlineStr">
        <is>
          <t>The governed return measure</t>
        </is>
      </c>
    </row>
    <row r="34">
      <c r="A34" s="38" t="inlineStr">
        <is>
          <t>Workflow success rate</t>
        </is>
      </c>
      <c r="B34" s="38" t="inlineStr">
        <is>
          <t>Events completed / unique payment events received</t>
        </is>
      </c>
      <c r="C34" s="38" t="inlineStr">
        <is>
          <t>Dead-lettered and retrying events count as not completed</t>
        </is>
      </c>
    </row>
    <row r="35">
      <c r="A35" s="38" t="inlineStr">
        <is>
          <t>Time to access</t>
        </is>
      </c>
      <c r="B35" s="38" t="inlineStr">
        <is>
          <t>Seconds from first receipt to workflow completion</t>
        </is>
      </c>
      <c r="C35" s="38" t="inlineStr">
        <is>
          <t>p50/p95 and share within 5 minutes; includes retry backoff</t>
        </is>
      </c>
    </row>
    <row r="36">
      <c r="A36" s="38" t="inlineStr">
        <is>
          <t>Duplicate deliveries absorbed</t>
        </is>
      </c>
      <c r="B36" s="38" t="inlineStr">
        <is>
          <t>Provider redeliveries of an already-received event</t>
        </is>
      </c>
      <c r="C36" s="38" t="inlineStr">
        <is>
          <t>Internal retries are excluded; every duplicate must cause zero extra side effects</t>
        </is>
      </c>
    </row>
    <row r="37">
      <c r="A37" s="38" t="inlineStr">
        <is>
          <t>Content-influenced net cash</t>
        </is>
      </c>
      <c r="B37" s="38" t="inlineStr">
        <is>
          <t>Net cash from contacts whose first identified content engagement is the given item</t>
        </is>
      </c>
      <c r="C37" s="38" t="inlineStr">
        <is>
          <t>Descriptive first-content influence, not causal incrementality or fractional attribution</t>
        </is>
      </c>
    </row>
    <row r="38">
      <c r="A38" s="38" t="inlineStr">
        <is>
          <t>Experiment lead rate</t>
        </is>
      </c>
      <c r="B38" s="38" t="inlineStr">
        <is>
          <t>Exposed visitors with a linked lead / exposed visitors in variant</t>
        </is>
      </c>
      <c r="C38" s="38" t="inlineStr">
        <is>
          <t>Visitor assignment unit; one exposure per experiment/visitor</t>
        </is>
      </c>
    </row>
    <row r="39">
      <c r="A39" s="38" t="inlineStr">
        <is>
          <t>Experiment MQL per lead</t>
        </is>
      </c>
      <c r="B39" s="38" t="inlineStr">
        <is>
          <t>Exposed linked leads reaching MQL / exposed linked leads</t>
        </is>
      </c>
      <c r="C39" s="38" t="inlineStr">
        <is>
          <t>Guardrail for lead quality</t>
        </is>
      </c>
    </row>
    <row r="40">
      <c r="A40" s="38" t="inlineStr">
        <is>
          <t>CPM / CTR / CPC</t>
        </is>
      </c>
      <c r="B40" s="38" t="inlineStr">
        <is>
          <t>Spend × 1000 / impressions; clicks / impressions; spend / clicks</t>
        </is>
      </c>
      <c r="C40" s="38" t="inlineStr">
        <is>
          <t>Platform-reported delivery; campaign/day grain</t>
        </is>
      </c>
    </row>
    <row r="41">
      <c r="A41" s="38" t="inlineStr">
        <is>
          <t>Cost per booked call (CPDM)</t>
        </is>
      </c>
      <c r="B41" s="38" t="inlineStr">
        <is>
          <t>Paid spend / booked discovery calls from paid-created leads in the window</t>
        </is>
      </c>
      <c r="C41" s="38" t="inlineStr">
        <is>
          <t>Activity basis (growthops/performance.py): leads, MQLs, calls, wins and cash inside the window, credited to the lead-creating campaign. "CPDM" is read here as cost per discovery meeting; confirm the house definition</t>
        </is>
      </c>
    </row>
    <row r="42">
      <c r="A42" s="38" t="inlineStr">
        <is>
          <t>Window ROAS</t>
        </is>
      </c>
      <c r="B42" s="38" t="inlineStr">
        <is>
          <t>Lead-creation net cash collected in the window less refunds issued in it / spend in the window</t>
        </is>
      </c>
      <c r="C42" s="38" t="inlineStr">
        <is>
          <t>Cash lags leads by weeks, so 7- and 30-day ROAS understate; use the all-time figure to judge a campaign</t>
        </is>
      </c>
    </row>
    <row r="43">
      <c r="A43" s="38" t="inlineStr">
        <is>
          <t>Delivery / bounce rate</t>
        </is>
      </c>
      <c r="B43" s="38" t="inlineStr">
        <is>
          <t>Delivered / sends; bounces / sends</t>
        </is>
      </c>
      <c r="C43" s="38" t="inlineStr">
        <is>
          <t>Per send; bounce above 2% or complaints above 0.1% flags the sending domain</t>
        </is>
      </c>
    </row>
    <row r="44">
      <c r="A44" s="38" t="inlineStr">
        <is>
          <t>Human open rate</t>
        </is>
      </c>
      <c r="B44" s="38" t="inlineStr">
        <is>
          <t>(Opens − machine opens) / delivered</t>
        </is>
      </c>
      <c r="C44" s="38" t="inlineStr">
        <is>
          <t>Machine opens come from mailbox privacy proxies (e.g. Apple Mail Privacy Protection) and are excluded</t>
        </is>
      </c>
    </row>
    <row r="45">
      <c r="A45" s="38" t="inlineStr">
        <is>
          <t>Reported open rate</t>
        </is>
      </c>
      <c r="B45" s="38" t="inlineStr">
        <is>
          <t>Opens / delivered</t>
        </is>
      </c>
      <c r="C45" s="38" t="inlineStr">
        <is>
          <t>Shown only to explain the gap; never used to judge engagement</t>
        </is>
      </c>
    </row>
    <row r="46">
      <c r="A46" s="38" t="inlineStr">
        <is>
          <t>Click rate (CTR)</t>
        </is>
      </c>
      <c r="B46" s="38" t="inlineStr">
        <is>
          <t>Clicks / delivered</t>
        </is>
      </c>
      <c r="C46" s="38" t="inlineStr">
        <is>
          <t>Unique clicks per send</t>
        </is>
      </c>
    </row>
    <row r="47">
      <c r="A47" s="38" t="inlineStr">
        <is>
          <t>Click-to-open rate</t>
        </is>
      </c>
      <c r="B47" s="38" t="inlineStr">
        <is>
          <t>Clicks / human opens</t>
        </is>
      </c>
      <c r="C47" s="38" t="inlineStr">
        <is>
          <t>Content relevance among people who actually opened</t>
        </is>
      </c>
    </row>
    <row r="48">
      <c r="A48" s="38" t="inlineStr">
        <is>
          <t>Unsubscribe / complaint rate</t>
        </is>
      </c>
      <c r="B48" s="38" t="inlineStr">
        <is>
          <t>Unsubscribes / delivered; spam complaints / delivered</t>
        </is>
      </c>
      <c r="C48" s="38" t="inlineStr">
        <is>
          <t>Complaint limit 0.1% (Gmail/Yahoo bulk-sender guidance)</t>
        </is>
      </c>
    </row>
    <row r="49">
      <c r="A49" s="38" t="inlineStr">
        <is>
          <t>Newsletter leads</t>
        </is>
      </c>
      <c r="B49" s="38" t="inlineStr">
        <is>
          <t>Contacts whose lead-creation touch is newsletter_weekly, credited to the issue in whose window (send to next send) it falls</t>
        </is>
      </c>
      <c r="C49" s="38" t="inlineStr">
        <is>
          <t>Followed to MQL, booked call, customers and net cash; descriptive</t>
        </is>
      </c>
    </row>
    <row r="50">
      <c r="A50" s="38" t="inlineStr">
        <is>
          <t>List source mix</t>
        </is>
      </c>
      <c r="B50" s="38" t="inlineStr">
        <is>
          <t>New CRM contacts in the last three months by original source</t>
        </is>
      </c>
      <c r="C50" s="38" t="inlineStr">
        <is>
          <t>Includes (no source) for lost UTMs</t>
        </is>
      </c>
    </row>
    <row r="51">
      <c r="A51" s="38" t="inlineStr">
        <is>
          <t>Short-link defect share</t>
        </is>
      </c>
      <c r="B51" s="38" t="inlineStr">
        <is>
          <t>Last-30-day clicks on short links whose UTMs are missing, unregistered or off-taxonomy / all short-link clicks</t>
        </is>
      </c>
      <c r="C51" s="38" t="inlineStr">
        <is>
          <t>Registry match is exact and case-sensitive</t>
        </is>
      </c>
    </row>
    <row r="52">
      <c r="A52" s="38" t="inlineStr">
        <is>
          <t>Experiment cash per visitor</t>
        </is>
      </c>
      <c r="B52" s="38" t="inlineStr">
        <is>
          <t>Net cash from exposed linked customers / all exposed visitors in variant</t>
        </is>
      </c>
      <c r="C52" s="38" t="inlineStr">
        <is>
          <t>Primary experiment metric; refunds included; exploratory synthetic sample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pageMargins left="0.75" right="0.75" top="1" bottom="1" header="0.5" footer="0.5"/>
  <pageSetup orientation="landscape" fitToHeight="0" fitToWidth="1"/>
  <headerFooter>
    <oddHeader/>
    <oddFooter>&amp;LGrowthOps OS · synthetic data&amp;R&amp;A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GrowthOps OS</dc:creator>
  <dc:title>GrowthOps OS Excel dashboard</dc:title>
  <dc:subject>Marketing performance, revenue reconciliation and data quality (synthetic)</dc:subject>
  <dcterms:created xsi:type="dcterms:W3CDTF">2026-01-01T00:00:00Z</dcterms:created>
  <dcterms:modified xsi:type="dcterms:W3CDTF">2026-01-01T00:00:00Z</dcterms:modified>
  <cp:keywords>marketing analytics, CPL, ROAS, email, reconciliation</cp:keywords>
</cp:coreProperties>
</file>