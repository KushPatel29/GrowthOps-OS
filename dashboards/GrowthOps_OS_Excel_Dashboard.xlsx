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eriod analysis" sheetId="2" state="visible" r:id="rId2"/>
    <sheet name="Daily" sheetId="3" state="visible" r:id="rId3"/>
    <sheet name="Campaigns" sheetId="4" state="visible" r:id="rId4"/>
    <sheet name="Funnel" sheetId="5" state="visible" r:id="rId5"/>
    <sheet name="Revenue" sheetId="6" state="visible" r:id="rId6"/>
    <sheet name="Bridge" sheetId="7" state="visible" r:id="rId7"/>
    <sheet name="Platforms" sheetId="8" state="visible" r:id="rId8"/>
    <sheet name="Content" sheetId="9" state="visible" r:id="rId9"/>
    <sheet name="Quality" sheetId="10" state="visible" r:id="rId10"/>
    <sheet name="Migration" sheetId="11" state="visible" r:id="rId11"/>
    <sheet name="Experiment" sheetId="12" state="visible" r:id="rId12"/>
    <sheet name="Renewals" sheetId="13" state="visible" r:id="rId13"/>
    <sheet name="Audit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&quot;$&quot;#,##0"/>
    <numFmt numFmtId="166" formatCode="&quot;$&quot;#,##0.00"/>
    <numFmt numFmtId="167" formatCode="0.00&quot;×&quot;"/>
    <numFmt numFmtId="168" formatCode="+0%;-0%;0%"/>
  </numFmts>
  <fonts count="8">
    <font>
      <name val="Calibri"/>
      <family val="2"/>
      <color theme="1"/>
      <sz val="11"/>
      <scheme val="minor"/>
    </font>
    <font>
      <b val="1"/>
      <color rgb="000B0B0B"/>
    </font>
    <font>
      <b val="1"/>
      <color rgb="000B0B0B"/>
      <sz val="18"/>
    </font>
    <font>
      <i val="1"/>
      <color rgb="0052514E"/>
    </font>
    <font>
      <b val="1"/>
    </font>
    <font>
      <b val="1"/>
      <color rgb="00E34948"/>
    </font>
    <font>
      <b val="1"/>
      <sz val="16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EAF2FC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2" borderId="0" pivotButton="0" quotePrefix="0" xfId="0"/>
    <xf numFmtId="165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167" fontId="5" fillId="0" borderId="0" pivotButton="0" quotePrefix="0" xfId="0"/>
    <xf numFmtId="0" fontId="6" fillId="0" borderId="0" applyAlignment="1" pivotButton="0" quotePrefix="0" xfId="0">
      <alignment vertical="center"/>
    </xf>
    <xf numFmtId="164" fontId="0" fillId="3" borderId="0" pivotButton="0" quotePrefix="0" xfId="0"/>
    <xf numFmtId="168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0" fillId="0" borderId="0" pivotButton="0" quotePrefix="0" xfId="0"/>
    <xf numFmtId="0" fontId="7" fillId="0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color rgb="00E34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Self-reported vs warehouse ROAS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'Dashboard'!H3</f>
            </strRef>
          </tx>
          <spPr>
            <a:solidFill>
              <a:srgbClr val="EB6834"/>
            </a:solidFill>
            <a:ln>
              <a:prstDash val="solid"/>
            </a:ln>
          </spPr>
          <cat>
            <numRef>
              <f>'Dashboard'!$G$4:$G$6</f>
            </numRef>
          </cat>
          <val>
            <numRef>
              <f>'Dashboard'!$H$4:$H$6</f>
            </numRef>
          </val>
        </ser>
        <ser>
          <idx val="1"/>
          <order val="1"/>
          <tx>
            <strRef>
              <f>'Dashboard'!I3</f>
            </strRef>
          </tx>
          <spPr>
            <a:solidFill>
              <a:srgbClr val="2A78D6"/>
            </a:solidFill>
            <a:ln>
              <a:prstDash val="solid"/>
            </a:ln>
          </spPr>
          <cat>
            <numRef>
              <f>'Dashboard'!$G$4:$G$6</f>
            </numRef>
          </cat>
          <val>
            <numRef>
              <f>'Dashboard'!$I$4:$I$6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net cash (cents, event date)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'Daily'!J1</f>
            </strRef>
          </tx>
          <spPr>
            <a:ln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'Daily'!$A$2:$A$453</f>
            </numRef>
          </cat>
          <val>
            <numRef>
              <f>'Daily'!$J$2:$J$453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16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32" customWidth="1" min="4" max="4"/>
    <col width="16" customWidth="1" min="5" max="5"/>
    <col width="18" customWidth="1" min="7" max="7"/>
    <col width="18" customWidth="1" min="8" max="8"/>
    <col width="18" customWidth="1" min="9" max="9"/>
  </cols>
  <sheetData>
    <row r="1">
      <c r="A1" s="1" t="inlineStr">
        <is>
          <t>ScaleLab GrowthOps: executive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Synthetic portfolio case · USD · all records from the verified dbt marts · formulas only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Metric</t>
        </is>
      </c>
      <c r="B3" s="4" t="inlineStr">
        <is>
          <t>Value</t>
        </is>
      </c>
      <c r="D3" s="4" t="inlineStr">
        <is>
          <t>CRM → cash bridge</t>
        </is>
      </c>
      <c r="E3" s="4" t="inlineStr">
        <is>
          <t>USD</t>
        </is>
      </c>
      <c r="G3" s="4" t="inlineStr">
        <is>
          <t>Platform</t>
        </is>
      </c>
      <c r="H3" s="4" t="inlineStr">
        <is>
          <t>Self-reported ROAS</t>
        </is>
      </c>
      <c r="I3" s="4" t="inlineStr">
        <is>
          <t>Warehouse ROAS</t>
        </is>
      </c>
    </row>
    <row r="4">
      <c r="A4" t="inlineStr">
        <is>
          <t>Net collected cash</t>
        </is>
      </c>
      <c r="B4" s="5">
        <f>Revenue!D2/100</f>
        <v/>
      </c>
      <c r="D4" t="inlineStr">
        <is>
          <t>CRM closed-won deal value</t>
        </is>
      </c>
      <c r="E4" s="5">
        <f>Bridge!D2/100</f>
        <v/>
      </c>
      <c r="G4">
        <f>Platforms!A2</f>
        <v/>
      </c>
      <c r="H4" s="6">
        <f>IF(Platforms!B2=0,0,Platforms!D2/Platforms!B2)</f>
        <v/>
      </c>
      <c r="I4" s="6">
        <f>IF(Platforms!B2=0,0,Platforms!E2/Platforms!B2)</f>
        <v/>
      </c>
    </row>
    <row r="5">
      <c r="A5" t="inlineStr">
        <is>
          <t>Gross collected</t>
        </is>
      </c>
      <c r="B5" s="5">
        <f>Revenue!B2/100</f>
        <v/>
      </c>
      <c r="D5" t="inlineStr">
        <is>
          <t>Duplicate deals from migration</t>
        </is>
      </c>
      <c r="E5" s="5">
        <f>Bridge!D3/100</f>
        <v/>
      </c>
      <c r="G5">
        <f>Platforms!A3</f>
        <v/>
      </c>
      <c r="H5" s="6">
        <f>IF(Platforms!B3=0,0,Platforms!D3/Platforms!B3)</f>
        <v/>
      </c>
      <c r="I5" s="6">
        <f>IF(Platforms!B3=0,0,Platforms!E3/Platforms!B3)</f>
        <v/>
      </c>
    </row>
    <row r="6">
      <c r="A6" t="inlineStr">
        <is>
          <t>Refunds</t>
        </is>
      </c>
      <c r="B6" s="5">
        <f>Revenue!C2/100</f>
        <v/>
      </c>
      <c r="D6" t="inlineStr">
        <is>
          <t>Booked but not yet collected</t>
        </is>
      </c>
      <c r="E6" s="5">
        <f>Bridge!D4/100</f>
        <v/>
      </c>
      <c r="G6">
        <f>Platforms!A4</f>
        <v/>
      </c>
      <c r="H6" s="6">
        <f>IF(Platforms!B4=0,0,Platforms!D4/Platforms!B4)</f>
        <v/>
      </c>
      <c r="I6" s="6">
        <f>IF(Platforms!B4=0,0,Platforms!E4/Platforms!B4)</f>
        <v/>
      </c>
    </row>
    <row r="7">
      <c r="A7" t="inlineStr">
        <is>
          <t>CRM closed-won (booked)</t>
        </is>
      </c>
      <c r="B7" s="5">
        <f>Revenue!A2/100</f>
        <v/>
      </c>
      <c r="D7" t="inlineStr">
        <is>
          <t>Payments with lost deal link</t>
        </is>
      </c>
      <c r="E7" s="5">
        <f>Bridge!D5/100</f>
        <v/>
      </c>
    </row>
    <row r="8">
      <c r="A8" t="inlineStr">
        <is>
          <t>Paid spend</t>
        </is>
      </c>
      <c r="B8" s="5">
        <f>SUM(Campaigns!$D$2:$D$13)/100</f>
        <v/>
      </c>
      <c r="D8" t="inlineStr">
        <is>
          <t>Subscription renewals</t>
        </is>
      </c>
      <c r="E8" s="5">
        <f>Bridge!D6/100</f>
        <v/>
      </c>
    </row>
    <row r="9">
      <c r="A9" t="inlineStr">
        <is>
          <t>Paid leads</t>
        </is>
      </c>
      <c r="B9" s="7">
        <f>SUMIFS(Campaigns!$E$2:$E$13,Campaigns!$C$2:$C$13,"paid_social")+SUMIFS(Campaigns!$E$2:$E$13,Campaigns!$C$2:$C$13,"paid_search")</f>
        <v/>
      </c>
      <c r="D9" t="inlineStr">
        <is>
          <t>Gross collected</t>
        </is>
      </c>
      <c r="E9" s="5">
        <f>Bridge!D7/100</f>
        <v/>
      </c>
    </row>
    <row r="10">
      <c r="A10" t="inlineStr">
        <is>
          <t>Cost per paid lead</t>
        </is>
      </c>
      <c r="B10" s="8">
        <f>IF(B9=0,"n.a.",B8/B9)</f>
        <v/>
      </c>
      <c r="D10" t="inlineStr">
        <is>
          <t>Refunds</t>
        </is>
      </c>
      <c r="E10" s="5">
        <f>Bridge!D8/100</f>
        <v/>
      </c>
    </row>
    <row r="11">
      <c r="A11" t="inlineStr">
        <is>
          <t>Paid net cash (lead creation)</t>
        </is>
      </c>
      <c r="B11" s="5">
        <f>(SUMIFS(Campaigns!$H$2:$H$13,Campaigns!$C$2:$C$13,"paid_social")+SUMIFS(Campaigns!$H$2:$H$13,Campaigns!$C$2:$C$13,"paid_search"))/100</f>
        <v/>
      </c>
      <c r="D11" t="inlineStr">
        <is>
          <t>Net collected cash</t>
        </is>
      </c>
      <c r="E11" s="5">
        <f>Bridge!D9/100</f>
        <v/>
      </c>
    </row>
    <row r="12">
      <c r="A12" t="inlineStr">
        <is>
          <t>Net cash ROAS</t>
        </is>
      </c>
      <c r="B12" s="9">
        <f>IF(B8=0,"n.a.",B11/B8)</f>
        <v/>
      </c>
    </row>
    <row r="13">
      <c r="A13" t="inlineStr">
        <is>
          <t>Ad platforms claim</t>
        </is>
      </c>
      <c r="B13" s="5">
        <f>SUM(Platforms!$D$2:$D$4)/100</f>
        <v/>
      </c>
    </row>
    <row r="14">
      <c r="A14" s="10" t="inlineStr">
        <is>
          <t>Platform claims ÷ net collected cash</t>
        </is>
      </c>
      <c r="B14" s="11">
        <f>IF(B4=0,"n.a.",B13/B4)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</cols>
  <sheetData>
    <row r="1">
      <c r="A1" s="12" t="inlineStr">
        <is>
          <t>Period analysis</t>
        </is>
      </c>
      <c r="B1" s="2" t="n"/>
      <c r="C1" s="2" t="n"/>
      <c r="D1" s="2" t="n"/>
    </row>
    <row r="2">
      <c r="A2" s="3" t="inlineStr">
        <is>
          <t>Edit the yellow dates; every value compares the window with the equally long window before it.</t>
        </is>
      </c>
      <c r="B2" s="2" t="n"/>
      <c r="C2" s="2" t="n"/>
      <c r="D2" s="2" t="n"/>
    </row>
    <row r="4">
      <c r="A4" t="inlineStr">
        <is>
          <t>Start date</t>
        </is>
      </c>
      <c r="B4" s="13" t="n">
        <v>46284</v>
      </c>
    </row>
    <row r="5">
      <c r="A5" t="inlineStr">
        <is>
          <t>End date</t>
        </is>
      </c>
      <c r="B5" s="13" t="n">
        <v>46290</v>
      </c>
    </row>
    <row r="6">
      <c r="A6" t="inlineStr">
        <is>
          <t>Days in window</t>
        </is>
      </c>
      <c r="B6">
        <f>B5-B4+1</f>
        <v/>
      </c>
    </row>
    <row r="8">
      <c r="A8" s="4" t="inlineStr">
        <is>
          <t>Metric</t>
        </is>
      </c>
      <c r="B8" s="4" t="inlineStr">
        <is>
          <t>Selected window</t>
        </is>
      </c>
      <c r="C8" s="4" t="inlineStr">
        <is>
          <t>Prior window</t>
        </is>
      </c>
      <c r="D8" s="4" t="inlineStr">
        <is>
          <t>Change</t>
        </is>
      </c>
    </row>
    <row r="9">
      <c r="A9" t="inlineStr">
        <is>
          <t>Spend (USD)</t>
        </is>
      </c>
      <c r="B9" s="5">
        <f>SUMIFS(Daily!$B$2:$B$453,Daily!$A$2:$A$453,"&gt;="&amp;$B$4,Daily!$A$2:$A$453,"&lt;="&amp;$B$5)/100</f>
        <v/>
      </c>
      <c r="C9" s="5">
        <f>SUMIFS(Daily!$B$2:$B$453,Daily!$A$2:$A$453,"&gt;="&amp;($B$4-$B$6),Daily!$A$2:$A$453,"&lt;="&amp;($B$4-1))/100</f>
        <v/>
      </c>
      <c r="D9" s="14">
        <f>IF(C9=0,"n.a.",B9/C9-1)</f>
        <v/>
      </c>
    </row>
    <row r="10">
      <c r="A10" t="inlineStr">
        <is>
          <t>Leads</t>
        </is>
      </c>
      <c r="B10" s="7">
        <f>SUMIFS(Daily!$C$2:$C$453,Daily!$A$2:$A$453,"&gt;="&amp;$B$4,Daily!$A$2:$A$453,"&lt;="&amp;$B$5)/1</f>
        <v/>
      </c>
      <c r="C10" s="7">
        <f>SUMIFS(Daily!$C$2:$C$453,Daily!$A$2:$A$453,"&gt;="&amp;($B$4-$B$6),Daily!$A$2:$A$453,"&lt;="&amp;($B$4-1))/1</f>
        <v/>
      </c>
      <c r="D10" s="14">
        <f>IF(C10=0,"n.a.",B10/C10-1)</f>
        <v/>
      </c>
    </row>
    <row r="11">
      <c r="A11" t="inlineStr">
        <is>
          <t>MQLs</t>
        </is>
      </c>
      <c r="B11" s="7">
        <f>SUMIFS(Daily!$D$2:$D$453,Daily!$A$2:$A$453,"&gt;="&amp;$B$4,Daily!$A$2:$A$453,"&lt;="&amp;$B$5)/1</f>
        <v/>
      </c>
      <c r="C11" s="7">
        <f>SUMIFS(Daily!$D$2:$D$453,Daily!$A$2:$A$453,"&gt;="&amp;($B$4-$B$6),Daily!$A$2:$A$453,"&lt;="&amp;($B$4-1))/1</f>
        <v/>
      </c>
      <c r="D11" s="14">
        <f>IF(C11=0,"n.a.",B11/C11-1)</f>
        <v/>
      </c>
    </row>
    <row r="12">
      <c r="A12" t="inlineStr">
        <is>
          <t>Calls booked</t>
        </is>
      </c>
      <c r="B12" s="7">
        <f>SUMIFS(Daily!$E$2:$E$453,Daily!$A$2:$A$453,"&gt;="&amp;$B$4,Daily!$A$2:$A$453,"&lt;="&amp;$B$5)/1</f>
        <v/>
      </c>
      <c r="C12" s="7">
        <f>SUMIFS(Daily!$E$2:$E$453,Daily!$A$2:$A$453,"&gt;="&amp;($B$4-$B$6),Daily!$A$2:$A$453,"&lt;="&amp;($B$4-1))/1</f>
        <v/>
      </c>
      <c r="D12" s="14">
        <f>IF(C12=0,"n.a.",B12/C12-1)</f>
        <v/>
      </c>
    </row>
    <row r="13">
      <c r="A13" t="inlineStr">
        <is>
          <t>Deals won</t>
        </is>
      </c>
      <c r="B13" s="7">
        <f>SUMIFS(Daily!$F$2:$F$453,Daily!$A$2:$A$453,"&gt;="&amp;$B$4,Daily!$A$2:$A$453,"&lt;="&amp;$B$5)/1</f>
        <v/>
      </c>
      <c r="C13" s="7">
        <f>SUMIFS(Daily!$F$2:$F$453,Daily!$A$2:$A$453,"&gt;="&amp;($B$4-$B$6),Daily!$A$2:$A$453,"&lt;="&amp;($B$4-1))/1</f>
        <v/>
      </c>
      <c r="D13" s="14">
        <f>IF(C13=0,"n.a.",B13/C13-1)</f>
        <v/>
      </c>
    </row>
    <row r="14">
      <c r="A14" t="inlineStr">
        <is>
          <t>Net cash (USD)</t>
        </is>
      </c>
      <c r="B14" s="5">
        <f>SUMIFS(Daily!$J$2:$J$453,Daily!$A$2:$A$453,"&gt;="&amp;$B$4,Daily!$A$2:$A$453,"&lt;="&amp;$B$5)/100</f>
        <v/>
      </c>
      <c r="C14" s="5">
        <f>SUMIFS(Daily!$J$2:$J$453,Daily!$A$2:$A$453,"&gt;="&amp;($B$4-$B$6),Daily!$A$2:$A$453,"&lt;="&amp;($B$4-1))/100</f>
        <v/>
      </c>
      <c r="D14" s="14">
        <f>IF(C14=0,"n.a.",B14/C14-1)</f>
        <v/>
      </c>
    </row>
  </sheetData>
  <conditionalFormatting sqref="D9:D14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4" customWidth="1" min="5" max="5"/>
    <col width="18" customWidth="1" min="6" max="6"/>
    <col width="14" customWidth="1" min="7" max="7"/>
    <col width="23" customWidth="1" min="8" max="8"/>
    <col width="15" customWidth="1" min="9" max="9"/>
    <col width="16" customWidth="1" min="10" max="10"/>
  </cols>
  <sheetData>
    <row r="1">
      <c r="A1" s="15" t="inlineStr">
        <is>
          <t>day</t>
        </is>
      </c>
      <c r="B1" s="15" t="inlineStr">
        <is>
          <t>spend_cents</t>
        </is>
      </c>
      <c r="C1" s="15" t="inlineStr">
        <is>
          <t>leads</t>
        </is>
      </c>
      <c r="D1" s="15" t="inlineStr">
        <is>
          <t>mqls</t>
        </is>
      </c>
      <c r="E1" s="15" t="inlineStr">
        <is>
          <t>calls_booked</t>
        </is>
      </c>
      <c r="F1" s="15" t="inlineStr">
        <is>
          <t>closed_won_deals</t>
        </is>
      </c>
      <c r="G1" s="15" t="inlineStr">
        <is>
          <t>booked_cents</t>
        </is>
      </c>
      <c r="H1" s="15" t="inlineStr">
        <is>
          <t>gross_collected_cents</t>
        </is>
      </c>
      <c r="I1" s="15" t="inlineStr">
        <is>
          <t>refunds_cents</t>
        </is>
      </c>
      <c r="J1" s="15" t="inlineStr">
        <is>
          <t>net_cash_cents</t>
        </is>
      </c>
    </row>
    <row r="2">
      <c r="A2" s="16" t="n">
        <v>45839</v>
      </c>
      <c r="B2" s="2" t="n">
        <v>89942</v>
      </c>
      <c r="C2" s="2" t="n">
        <v>37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</row>
    <row r="3">
      <c r="A3" s="17" t="n">
        <v>45840</v>
      </c>
      <c r="B3" t="n">
        <v>84528</v>
      </c>
      <c r="C3" t="n">
        <v>32</v>
      </c>
      <c r="D3" t="n">
        <v>6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</row>
    <row r="4">
      <c r="A4" s="17" t="n">
        <v>45841</v>
      </c>
      <c r="B4" t="n">
        <v>87088</v>
      </c>
      <c r="C4" t="n">
        <v>37</v>
      </c>
      <c r="D4" t="n">
        <v>9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</row>
    <row r="5">
      <c r="A5" s="17" t="n">
        <v>45842</v>
      </c>
      <c r="B5" t="n">
        <v>92251</v>
      </c>
      <c r="C5" t="n">
        <v>31</v>
      </c>
      <c r="D5" t="n">
        <v>6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</row>
    <row r="6">
      <c r="A6" s="17" t="n">
        <v>45843</v>
      </c>
      <c r="B6" t="n">
        <v>87645</v>
      </c>
      <c r="C6" t="n">
        <v>21</v>
      </c>
      <c r="D6" t="n">
        <v>8</v>
      </c>
      <c r="E6" t="n">
        <v>1</v>
      </c>
      <c r="F6" t="n">
        <v>0</v>
      </c>
      <c r="G6" t="n">
        <v>0</v>
      </c>
      <c r="H6" t="n">
        <v>0</v>
      </c>
      <c r="I6" t="n">
        <v>0</v>
      </c>
      <c r="J6" t="n">
        <v>0</v>
      </c>
    </row>
    <row r="7">
      <c r="A7" s="17" t="n">
        <v>45844</v>
      </c>
      <c r="B7" t="n">
        <v>88276</v>
      </c>
      <c r="C7" t="n">
        <v>29</v>
      </c>
      <c r="D7" t="n">
        <v>5</v>
      </c>
      <c r="E7" t="n">
        <v>4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s="17" t="n">
        <v>45845</v>
      </c>
      <c r="B8" t="n">
        <v>84176</v>
      </c>
      <c r="C8" t="n">
        <v>21</v>
      </c>
      <c r="D8" t="n">
        <v>9</v>
      </c>
      <c r="E8" t="n">
        <v>1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s="17" t="n">
        <v>45846</v>
      </c>
      <c r="B9" t="n">
        <v>88690</v>
      </c>
      <c r="C9" t="n">
        <v>40</v>
      </c>
      <c r="D9" t="n">
        <v>5</v>
      </c>
      <c r="E9" t="n">
        <v>3</v>
      </c>
      <c r="F9" t="n">
        <v>0</v>
      </c>
      <c r="G9" t="n">
        <v>0</v>
      </c>
      <c r="H9" t="n">
        <v>0</v>
      </c>
      <c r="I9" t="n">
        <v>0</v>
      </c>
      <c r="J9" t="n">
        <v>0</v>
      </c>
    </row>
    <row r="10">
      <c r="A10" s="17" t="n">
        <v>45847</v>
      </c>
      <c r="B10" t="n">
        <v>93993</v>
      </c>
      <c r="C10" t="n">
        <v>36</v>
      </c>
      <c r="D10" t="n">
        <v>9</v>
      </c>
      <c r="E10" t="n">
        <v>4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s="17" t="n">
        <v>45848</v>
      </c>
      <c r="B11" t="n">
        <v>84993</v>
      </c>
      <c r="C11" t="n">
        <v>60</v>
      </c>
      <c r="D11" t="n">
        <v>10</v>
      </c>
      <c r="E11" t="n">
        <v>2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</row>
    <row r="12">
      <c r="A12" s="17" t="n">
        <v>45849</v>
      </c>
      <c r="B12" t="n">
        <v>85953</v>
      </c>
      <c r="C12" t="n">
        <v>36</v>
      </c>
      <c r="D12" t="n">
        <v>14</v>
      </c>
      <c r="E12" t="n">
        <v>7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</row>
    <row r="13">
      <c r="A13" s="17" t="n">
        <v>45850</v>
      </c>
      <c r="B13" t="n">
        <v>89415</v>
      </c>
      <c r="C13" t="n">
        <v>17</v>
      </c>
      <c r="D13" t="n">
        <v>13</v>
      </c>
      <c r="E13" t="n">
        <v>4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</row>
    <row r="14">
      <c r="A14" s="17" t="n">
        <v>45851</v>
      </c>
      <c r="B14" t="n">
        <v>86321</v>
      </c>
      <c r="C14" t="n">
        <v>18</v>
      </c>
      <c r="D14" t="n">
        <v>11</v>
      </c>
      <c r="E14" t="n">
        <v>7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</row>
    <row r="15">
      <c r="A15" s="17" t="n">
        <v>45852</v>
      </c>
      <c r="B15" t="n">
        <v>86502</v>
      </c>
      <c r="C15" t="n">
        <v>36</v>
      </c>
      <c r="D15" t="n">
        <v>6</v>
      </c>
      <c r="E15" t="n">
        <v>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</row>
    <row r="16">
      <c r="A16" s="17" t="n">
        <v>45853</v>
      </c>
      <c r="B16" t="n">
        <v>90355</v>
      </c>
      <c r="C16" t="n">
        <v>54</v>
      </c>
      <c r="D16" t="n">
        <v>6</v>
      </c>
      <c r="E16" t="n">
        <v>4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</row>
    <row r="17">
      <c r="A17" s="17" t="n">
        <v>45854</v>
      </c>
      <c r="B17" t="n">
        <v>89870</v>
      </c>
      <c r="C17" t="n">
        <v>34</v>
      </c>
      <c r="D17" t="n">
        <v>11</v>
      </c>
      <c r="E17" t="n">
        <v>4</v>
      </c>
      <c r="F17" t="n">
        <v>1</v>
      </c>
      <c r="G17" t="n">
        <v>1500000</v>
      </c>
      <c r="H17" t="n">
        <v>1500000</v>
      </c>
      <c r="I17" t="n">
        <v>0</v>
      </c>
      <c r="J17" t="n">
        <v>1500000</v>
      </c>
    </row>
    <row r="18">
      <c r="A18" s="17" t="n">
        <v>45855</v>
      </c>
      <c r="B18" t="n">
        <v>85983</v>
      </c>
      <c r="C18" t="n">
        <v>42</v>
      </c>
      <c r="D18" t="n">
        <v>10</v>
      </c>
      <c r="E18" t="n">
        <v>4</v>
      </c>
      <c r="F18" t="n">
        <v>2</v>
      </c>
      <c r="G18" t="n">
        <v>990000</v>
      </c>
      <c r="H18" t="n">
        <v>0</v>
      </c>
      <c r="I18" t="n">
        <v>0</v>
      </c>
      <c r="J18" t="n">
        <v>0</v>
      </c>
    </row>
    <row r="19">
      <c r="A19" s="17" t="n">
        <v>45856</v>
      </c>
      <c r="B19" t="n">
        <v>88605</v>
      </c>
      <c r="C19" t="n">
        <v>29</v>
      </c>
      <c r="D19" t="n">
        <v>10</v>
      </c>
      <c r="E19" t="n">
        <v>7</v>
      </c>
      <c r="F19" t="n">
        <v>0</v>
      </c>
      <c r="G19" t="n">
        <v>0</v>
      </c>
      <c r="H19" t="n">
        <v>480000</v>
      </c>
      <c r="I19" t="n">
        <v>0</v>
      </c>
      <c r="J19" t="n">
        <v>480000</v>
      </c>
    </row>
    <row r="20">
      <c r="A20" s="17" t="n">
        <v>45857</v>
      </c>
      <c r="B20" t="n">
        <v>84947</v>
      </c>
      <c r="C20" t="n">
        <v>12</v>
      </c>
      <c r="D20" t="n">
        <v>12</v>
      </c>
      <c r="E20" t="n">
        <v>1</v>
      </c>
      <c r="F20" t="n">
        <v>0</v>
      </c>
      <c r="G20" t="n">
        <v>0</v>
      </c>
      <c r="H20" t="n">
        <v>170000</v>
      </c>
      <c r="I20" t="n">
        <v>0</v>
      </c>
      <c r="J20" t="n">
        <v>170000</v>
      </c>
    </row>
    <row r="21">
      <c r="A21" s="17" t="n">
        <v>45858</v>
      </c>
      <c r="B21" t="n">
        <v>88410</v>
      </c>
      <c r="C21" t="n">
        <v>27</v>
      </c>
      <c r="D21" t="n">
        <v>5</v>
      </c>
      <c r="E21" t="n">
        <v>4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s="17" t="n">
        <v>45859</v>
      </c>
      <c r="B22" t="n">
        <v>84908</v>
      </c>
      <c r="C22" t="n">
        <v>36</v>
      </c>
      <c r="D22" t="n">
        <v>7</v>
      </c>
      <c r="E22" t="n">
        <v>5</v>
      </c>
      <c r="F22" t="n">
        <v>1</v>
      </c>
      <c r="G22" t="n">
        <v>150000</v>
      </c>
      <c r="H22" t="n">
        <v>150000</v>
      </c>
      <c r="I22" t="n">
        <v>0</v>
      </c>
      <c r="J22" t="n">
        <v>150000</v>
      </c>
    </row>
    <row r="23">
      <c r="A23" s="17" t="n">
        <v>45860</v>
      </c>
      <c r="B23" t="n">
        <v>88463</v>
      </c>
      <c r="C23" t="n">
        <v>47</v>
      </c>
      <c r="D23" t="n">
        <v>11</v>
      </c>
      <c r="E23" t="n">
        <v>4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</row>
    <row r="24">
      <c r="A24" s="17" t="n">
        <v>45861</v>
      </c>
      <c r="B24" t="n">
        <v>89490</v>
      </c>
      <c r="C24" t="n">
        <v>36</v>
      </c>
      <c r="D24" t="n">
        <v>6</v>
      </c>
      <c r="E24" t="n">
        <v>4</v>
      </c>
      <c r="F24" t="n">
        <v>2</v>
      </c>
      <c r="G24" t="n">
        <v>990000</v>
      </c>
      <c r="H24" t="n">
        <v>0</v>
      </c>
      <c r="I24" t="n">
        <v>0</v>
      </c>
      <c r="J24" t="n">
        <v>0</v>
      </c>
    </row>
    <row r="25">
      <c r="A25" s="17" t="n">
        <v>45862</v>
      </c>
      <c r="B25" t="n">
        <v>88915</v>
      </c>
      <c r="C25" t="n">
        <v>41</v>
      </c>
      <c r="D25" t="n">
        <v>13</v>
      </c>
      <c r="E25" t="n">
        <v>5</v>
      </c>
      <c r="F25" t="n">
        <v>0</v>
      </c>
      <c r="G25" t="n">
        <v>0</v>
      </c>
      <c r="H25" t="n">
        <v>650000</v>
      </c>
      <c r="I25" t="n">
        <v>0</v>
      </c>
      <c r="J25" t="n">
        <v>650000</v>
      </c>
    </row>
    <row r="26">
      <c r="A26" s="17" t="n">
        <v>45863</v>
      </c>
      <c r="B26" t="n">
        <v>84122</v>
      </c>
      <c r="C26" t="n">
        <v>18</v>
      </c>
      <c r="D26" t="n">
        <v>7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</row>
    <row r="27">
      <c r="A27" s="17" t="n">
        <v>45864</v>
      </c>
      <c r="B27" t="n">
        <v>87332</v>
      </c>
      <c r="C27" t="n">
        <v>25</v>
      </c>
      <c r="D27" t="n">
        <v>12</v>
      </c>
      <c r="E27" t="n">
        <v>3</v>
      </c>
      <c r="F27" t="n">
        <v>2</v>
      </c>
      <c r="G27" t="n">
        <v>990000</v>
      </c>
      <c r="H27" t="n">
        <v>0</v>
      </c>
      <c r="I27" t="n">
        <v>0</v>
      </c>
      <c r="J27" t="n">
        <v>0</v>
      </c>
    </row>
    <row r="28">
      <c r="A28" s="17" t="n">
        <v>45865</v>
      </c>
      <c r="B28" t="n">
        <v>91388</v>
      </c>
      <c r="C28" t="n">
        <v>28</v>
      </c>
      <c r="D28" t="n">
        <v>5</v>
      </c>
      <c r="E28" t="n">
        <v>4</v>
      </c>
      <c r="F28" t="n">
        <v>1</v>
      </c>
      <c r="G28" t="n">
        <v>150000</v>
      </c>
      <c r="H28" t="n">
        <v>800000</v>
      </c>
      <c r="I28" t="n">
        <v>0</v>
      </c>
      <c r="J28" t="n">
        <v>800000</v>
      </c>
    </row>
    <row r="29">
      <c r="A29" s="17" t="n">
        <v>45866</v>
      </c>
      <c r="B29" t="n">
        <v>89511</v>
      </c>
      <c r="C29" t="n">
        <v>30</v>
      </c>
      <c r="D29" t="n">
        <v>8</v>
      </c>
      <c r="E29" t="n">
        <v>4</v>
      </c>
      <c r="F29" t="n">
        <v>1</v>
      </c>
      <c r="G29" t="n">
        <v>1500000</v>
      </c>
      <c r="H29" t="n">
        <v>0</v>
      </c>
      <c r="I29" t="n">
        <v>0</v>
      </c>
      <c r="J29" t="n">
        <v>0</v>
      </c>
    </row>
    <row r="30">
      <c r="A30" s="17" t="n">
        <v>45867</v>
      </c>
      <c r="B30" t="n">
        <v>85082</v>
      </c>
      <c r="C30" t="n">
        <v>43</v>
      </c>
      <c r="D30" t="n">
        <v>9</v>
      </c>
      <c r="E30" t="n">
        <v>4</v>
      </c>
      <c r="F30" t="n">
        <v>1</v>
      </c>
      <c r="G30" t="n">
        <v>150000</v>
      </c>
      <c r="H30" t="n">
        <v>1650000</v>
      </c>
      <c r="I30" t="n">
        <v>0</v>
      </c>
      <c r="J30" t="n">
        <v>1650000</v>
      </c>
    </row>
    <row r="31">
      <c r="A31" s="17" t="n">
        <v>45868</v>
      </c>
      <c r="B31" t="n">
        <v>87643</v>
      </c>
      <c r="C31" t="n">
        <v>32</v>
      </c>
      <c r="D31" t="n">
        <v>9</v>
      </c>
      <c r="E31" t="n">
        <v>1</v>
      </c>
      <c r="F31" t="n">
        <v>1</v>
      </c>
      <c r="G31" t="n">
        <v>480000</v>
      </c>
      <c r="H31" t="n">
        <v>0</v>
      </c>
      <c r="I31" t="n">
        <v>0</v>
      </c>
      <c r="J31" t="n">
        <v>0</v>
      </c>
    </row>
    <row r="32">
      <c r="A32" s="17" t="n">
        <v>45869</v>
      </c>
      <c r="B32" t="n">
        <v>87508</v>
      </c>
      <c r="C32" t="n">
        <v>25</v>
      </c>
      <c r="D32" t="n">
        <v>11</v>
      </c>
      <c r="E32" t="n">
        <v>2</v>
      </c>
      <c r="F32" t="n">
        <v>0</v>
      </c>
      <c r="G32" t="n">
        <v>0</v>
      </c>
      <c r="H32" t="n">
        <v>480000</v>
      </c>
      <c r="I32" t="n">
        <v>0</v>
      </c>
      <c r="J32" t="n">
        <v>480000</v>
      </c>
    </row>
    <row r="33">
      <c r="A33" s="17" t="n">
        <v>45870</v>
      </c>
      <c r="B33" t="n">
        <v>85889</v>
      </c>
      <c r="C33" t="n">
        <v>22</v>
      </c>
      <c r="D33" t="n">
        <v>12</v>
      </c>
      <c r="E33" t="n">
        <v>1</v>
      </c>
      <c r="F33" t="n">
        <v>1</v>
      </c>
      <c r="G33" t="n">
        <v>510000</v>
      </c>
      <c r="H33" t="n">
        <v>0</v>
      </c>
      <c r="I33" t="n">
        <v>0</v>
      </c>
      <c r="J33" t="n">
        <v>0</v>
      </c>
    </row>
    <row r="34">
      <c r="A34" s="17" t="n">
        <v>45871</v>
      </c>
      <c r="B34" t="n">
        <v>87744</v>
      </c>
      <c r="C34" t="n">
        <v>22</v>
      </c>
      <c r="D34" t="n">
        <v>8</v>
      </c>
      <c r="E34" t="n">
        <v>2</v>
      </c>
      <c r="F34" t="n">
        <v>3</v>
      </c>
      <c r="G34" t="n">
        <v>1140000</v>
      </c>
      <c r="H34" t="n">
        <v>970000</v>
      </c>
      <c r="I34" t="n">
        <v>0</v>
      </c>
      <c r="J34" t="n">
        <v>970000</v>
      </c>
    </row>
    <row r="35">
      <c r="A35" s="17" t="n">
        <v>45872</v>
      </c>
      <c r="B35" t="n">
        <v>88017</v>
      </c>
      <c r="C35" t="n">
        <v>22</v>
      </c>
      <c r="D35" t="n">
        <v>5</v>
      </c>
      <c r="E35" t="n">
        <v>3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</row>
    <row r="36">
      <c r="A36" s="17" t="n">
        <v>45873</v>
      </c>
      <c r="B36" t="n">
        <v>92351</v>
      </c>
      <c r="C36" t="n">
        <v>32</v>
      </c>
      <c r="D36" t="n">
        <v>12</v>
      </c>
      <c r="E36" t="n">
        <v>6</v>
      </c>
      <c r="F36" t="n">
        <v>2</v>
      </c>
      <c r="G36" t="n">
        <v>960000</v>
      </c>
      <c r="H36" t="n">
        <v>0</v>
      </c>
      <c r="I36" t="n">
        <v>0</v>
      </c>
      <c r="J36" t="n">
        <v>0</v>
      </c>
    </row>
    <row r="37">
      <c r="A37" s="17" t="n">
        <v>45874</v>
      </c>
      <c r="B37" t="n">
        <v>86144</v>
      </c>
      <c r="C37" t="n">
        <v>42</v>
      </c>
      <c r="D37" t="n">
        <v>10</v>
      </c>
      <c r="E37" t="n">
        <v>5</v>
      </c>
      <c r="F37" t="n">
        <v>2</v>
      </c>
      <c r="G37" t="n">
        <v>960000</v>
      </c>
      <c r="H37" t="n">
        <v>480000</v>
      </c>
      <c r="I37" t="n">
        <v>0</v>
      </c>
      <c r="J37" t="n">
        <v>480000</v>
      </c>
    </row>
    <row r="38">
      <c r="A38" s="17" t="n">
        <v>45875</v>
      </c>
      <c r="B38" t="n">
        <v>83734</v>
      </c>
      <c r="C38" t="n">
        <v>40</v>
      </c>
      <c r="D38" t="n">
        <v>15</v>
      </c>
      <c r="E38" t="n">
        <v>5</v>
      </c>
      <c r="F38" t="n">
        <v>1</v>
      </c>
      <c r="G38" t="n">
        <v>1500000</v>
      </c>
      <c r="H38" t="n">
        <v>1440000</v>
      </c>
      <c r="I38" t="n">
        <v>0</v>
      </c>
      <c r="J38" t="n">
        <v>1440000</v>
      </c>
    </row>
    <row r="39">
      <c r="A39" s="17" t="n">
        <v>45876</v>
      </c>
      <c r="B39" t="n">
        <v>90708</v>
      </c>
      <c r="C39" t="n">
        <v>39</v>
      </c>
      <c r="D39" t="n">
        <v>13</v>
      </c>
      <c r="E39" t="n">
        <v>3</v>
      </c>
      <c r="F39" t="n">
        <v>0</v>
      </c>
      <c r="G39" t="n">
        <v>0</v>
      </c>
      <c r="H39" t="n">
        <v>750000</v>
      </c>
      <c r="I39" t="n">
        <v>0</v>
      </c>
      <c r="J39" t="n">
        <v>750000</v>
      </c>
    </row>
    <row r="40">
      <c r="A40" s="17" t="n">
        <v>45877</v>
      </c>
      <c r="B40" t="n">
        <v>88986</v>
      </c>
      <c r="C40" t="n">
        <v>25</v>
      </c>
      <c r="D40" t="n">
        <v>11</v>
      </c>
      <c r="E40" t="n">
        <v>5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</row>
    <row r="41">
      <c r="A41" s="17" t="n">
        <v>45878</v>
      </c>
      <c r="B41" t="n">
        <v>84649</v>
      </c>
      <c r="C41" t="n">
        <v>24</v>
      </c>
      <c r="D41" t="n">
        <v>8</v>
      </c>
      <c r="E41" t="n">
        <v>9</v>
      </c>
      <c r="F41" t="n">
        <v>1</v>
      </c>
      <c r="G41" t="n">
        <v>510000</v>
      </c>
      <c r="H41" t="n">
        <v>0</v>
      </c>
      <c r="I41" t="n">
        <v>0</v>
      </c>
      <c r="J41" t="n">
        <v>0</v>
      </c>
    </row>
    <row r="42">
      <c r="A42" s="17" t="n">
        <v>45879</v>
      </c>
      <c r="B42" t="n">
        <v>83091</v>
      </c>
      <c r="C42" t="n">
        <v>28</v>
      </c>
      <c r="D42" t="n">
        <v>5</v>
      </c>
      <c r="E42" t="n">
        <v>3</v>
      </c>
      <c r="F42" t="n">
        <v>0</v>
      </c>
      <c r="G42" t="n">
        <v>0</v>
      </c>
      <c r="H42" t="n">
        <v>170000</v>
      </c>
      <c r="I42" t="n">
        <v>0</v>
      </c>
      <c r="J42" t="n">
        <v>170000</v>
      </c>
    </row>
    <row r="43">
      <c r="A43" s="17" t="n">
        <v>45880</v>
      </c>
      <c r="B43" t="n">
        <v>86853</v>
      </c>
      <c r="C43" t="n">
        <v>36</v>
      </c>
      <c r="D43" t="n">
        <v>7</v>
      </c>
      <c r="E43" t="n">
        <v>4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</row>
    <row r="44">
      <c r="A44" s="17" t="n">
        <v>45881</v>
      </c>
      <c r="B44" t="n">
        <v>92925</v>
      </c>
      <c r="C44" t="n">
        <v>42</v>
      </c>
      <c r="D44" t="n">
        <v>10</v>
      </c>
      <c r="E44" t="n">
        <v>2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</row>
    <row r="45">
      <c r="A45" s="17" t="n">
        <v>45882</v>
      </c>
      <c r="B45" t="n">
        <v>88870</v>
      </c>
      <c r="C45" t="n">
        <v>28</v>
      </c>
      <c r="D45" t="n">
        <v>14</v>
      </c>
      <c r="E45" t="n">
        <v>6</v>
      </c>
      <c r="F45" t="n">
        <v>1</v>
      </c>
      <c r="G45" t="n">
        <v>480000</v>
      </c>
      <c r="H45" t="n">
        <v>480000</v>
      </c>
      <c r="I45" t="n">
        <v>0</v>
      </c>
      <c r="J45" t="n">
        <v>480000</v>
      </c>
    </row>
    <row r="46">
      <c r="A46" s="17" t="n">
        <v>45883</v>
      </c>
      <c r="B46" t="n">
        <v>86092</v>
      </c>
      <c r="C46" t="n">
        <v>30</v>
      </c>
      <c r="D46" t="n">
        <v>16</v>
      </c>
      <c r="E46" t="n">
        <v>4</v>
      </c>
      <c r="F46" t="n">
        <v>1</v>
      </c>
      <c r="G46" t="n">
        <v>480000</v>
      </c>
      <c r="H46" t="n">
        <v>0</v>
      </c>
      <c r="I46" t="n">
        <v>0</v>
      </c>
      <c r="J46" t="n">
        <v>0</v>
      </c>
    </row>
    <row r="47">
      <c r="A47" s="17" t="n">
        <v>45884</v>
      </c>
      <c r="B47" t="n">
        <v>93881</v>
      </c>
      <c r="C47" t="n">
        <v>20</v>
      </c>
      <c r="D47" t="n">
        <v>13</v>
      </c>
      <c r="E47" t="n">
        <v>6</v>
      </c>
      <c r="F47" t="n">
        <v>0</v>
      </c>
      <c r="G47" t="n">
        <v>0</v>
      </c>
      <c r="H47" t="n">
        <v>480000</v>
      </c>
      <c r="I47" t="n">
        <v>0</v>
      </c>
      <c r="J47" t="n">
        <v>480000</v>
      </c>
    </row>
    <row r="48">
      <c r="A48" s="17" t="n">
        <v>45885</v>
      </c>
      <c r="B48" t="n">
        <v>90135</v>
      </c>
      <c r="C48" t="n">
        <v>16</v>
      </c>
      <c r="D48" t="n">
        <v>6</v>
      </c>
      <c r="E48" t="n">
        <v>7</v>
      </c>
      <c r="F48" t="n">
        <v>1</v>
      </c>
      <c r="G48" t="n">
        <v>510000</v>
      </c>
      <c r="H48" t="n">
        <v>0</v>
      </c>
      <c r="I48" t="n">
        <v>0</v>
      </c>
      <c r="J48" t="n">
        <v>0</v>
      </c>
    </row>
    <row r="49">
      <c r="A49" s="17" t="n">
        <v>45886</v>
      </c>
      <c r="B49" t="n">
        <v>87932</v>
      </c>
      <c r="C49" t="n">
        <v>22</v>
      </c>
      <c r="D49" t="n">
        <v>8</v>
      </c>
      <c r="E49" t="n">
        <v>6</v>
      </c>
      <c r="F49" t="n">
        <v>3</v>
      </c>
      <c r="G49" t="n">
        <v>1440000</v>
      </c>
      <c r="H49" t="n">
        <v>1130000</v>
      </c>
      <c r="I49" t="n">
        <v>0</v>
      </c>
      <c r="J49" t="n">
        <v>1130000</v>
      </c>
    </row>
    <row r="50">
      <c r="A50" s="17" t="n">
        <v>45887</v>
      </c>
      <c r="B50" t="n">
        <v>85479</v>
      </c>
      <c r="C50" t="n">
        <v>35</v>
      </c>
      <c r="D50" t="n">
        <v>3</v>
      </c>
      <c r="E50" t="n">
        <v>6</v>
      </c>
      <c r="F50" t="n">
        <v>2</v>
      </c>
      <c r="G50" t="n">
        <v>660000</v>
      </c>
      <c r="H50" t="n">
        <v>800000</v>
      </c>
      <c r="I50" t="n">
        <v>0</v>
      </c>
      <c r="J50" t="n">
        <v>800000</v>
      </c>
    </row>
    <row r="51">
      <c r="A51" s="17" t="n">
        <v>45888</v>
      </c>
      <c r="B51" t="n">
        <v>85489</v>
      </c>
      <c r="C51" t="n">
        <v>28</v>
      </c>
      <c r="D51" t="n">
        <v>9</v>
      </c>
      <c r="E51" t="n">
        <v>4</v>
      </c>
      <c r="F51" t="n">
        <v>2</v>
      </c>
      <c r="G51" t="n">
        <v>630000</v>
      </c>
      <c r="H51" t="n">
        <v>320000</v>
      </c>
      <c r="I51" t="n">
        <v>0</v>
      </c>
      <c r="J51" t="n">
        <v>320000</v>
      </c>
    </row>
    <row r="52">
      <c r="A52" s="17" t="n">
        <v>45889</v>
      </c>
      <c r="B52" t="n">
        <v>90937</v>
      </c>
      <c r="C52" t="n">
        <v>29</v>
      </c>
      <c r="D52" t="n">
        <v>15</v>
      </c>
      <c r="E52" t="n">
        <v>2</v>
      </c>
      <c r="F52" t="n">
        <v>1</v>
      </c>
      <c r="G52" t="n">
        <v>1500000</v>
      </c>
      <c r="H52" t="n">
        <v>1980000</v>
      </c>
      <c r="I52" t="n">
        <v>0</v>
      </c>
      <c r="J52" t="n">
        <v>1980000</v>
      </c>
    </row>
    <row r="53">
      <c r="A53" s="17" t="n">
        <v>45890</v>
      </c>
      <c r="B53" t="n">
        <v>88490</v>
      </c>
      <c r="C53" t="n">
        <v>31</v>
      </c>
      <c r="D53" t="n">
        <v>2</v>
      </c>
      <c r="E53" t="n">
        <v>4</v>
      </c>
      <c r="F53" t="n">
        <v>2</v>
      </c>
      <c r="G53" t="n">
        <v>1980000</v>
      </c>
      <c r="H53" t="n">
        <v>1500000</v>
      </c>
      <c r="I53" t="n">
        <v>0</v>
      </c>
      <c r="J53" t="n">
        <v>1500000</v>
      </c>
    </row>
    <row r="54">
      <c r="A54" s="17" t="n">
        <v>45891</v>
      </c>
      <c r="B54" t="n">
        <v>85147</v>
      </c>
      <c r="C54" t="n">
        <v>22</v>
      </c>
      <c r="D54" t="n">
        <v>9</v>
      </c>
      <c r="E54" t="n">
        <v>8</v>
      </c>
      <c r="F54" t="n">
        <v>3</v>
      </c>
      <c r="G54" t="n">
        <v>1440000</v>
      </c>
      <c r="H54" t="n">
        <v>960000</v>
      </c>
      <c r="I54" t="n">
        <v>0</v>
      </c>
      <c r="J54" t="n">
        <v>960000</v>
      </c>
    </row>
    <row r="55">
      <c r="A55" s="17" t="n">
        <v>45892</v>
      </c>
      <c r="B55" t="n">
        <v>90445</v>
      </c>
      <c r="C55" t="n">
        <v>15</v>
      </c>
      <c r="D55" t="n">
        <v>3</v>
      </c>
      <c r="E55" t="n">
        <v>3</v>
      </c>
      <c r="F55" t="n">
        <v>2</v>
      </c>
      <c r="G55" t="n">
        <v>990000</v>
      </c>
      <c r="H55" t="n">
        <v>1300000</v>
      </c>
      <c r="I55" t="n">
        <v>0</v>
      </c>
      <c r="J55" t="n">
        <v>1300000</v>
      </c>
    </row>
    <row r="56">
      <c r="A56" s="17" t="n">
        <v>45893</v>
      </c>
      <c r="B56" t="n">
        <v>89460</v>
      </c>
      <c r="C56" t="n">
        <v>28</v>
      </c>
      <c r="D56" t="n">
        <v>5</v>
      </c>
      <c r="E56" t="n">
        <v>2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</row>
    <row r="57">
      <c r="A57" s="17" t="n">
        <v>45894</v>
      </c>
      <c r="B57" t="n">
        <v>87382</v>
      </c>
      <c r="C57" t="n">
        <v>30</v>
      </c>
      <c r="D57" t="n">
        <v>3</v>
      </c>
      <c r="E57" t="n">
        <v>4</v>
      </c>
      <c r="F57" t="n">
        <v>2</v>
      </c>
      <c r="G57" t="n">
        <v>960000</v>
      </c>
      <c r="H57" t="n">
        <v>480000</v>
      </c>
      <c r="I57" t="n">
        <v>0</v>
      </c>
      <c r="J57" t="n">
        <v>480000</v>
      </c>
    </row>
    <row r="58">
      <c r="A58" s="17" t="n">
        <v>45895</v>
      </c>
      <c r="B58" t="n">
        <v>83540</v>
      </c>
      <c r="C58" t="n">
        <v>39</v>
      </c>
      <c r="D58" t="n">
        <v>9</v>
      </c>
      <c r="E58" t="n">
        <v>3</v>
      </c>
      <c r="F58" t="n">
        <v>3</v>
      </c>
      <c r="G58" t="n">
        <v>1110000</v>
      </c>
      <c r="H58" t="n">
        <v>630000</v>
      </c>
      <c r="I58" t="n">
        <v>0</v>
      </c>
      <c r="J58" t="n">
        <v>630000</v>
      </c>
    </row>
    <row r="59">
      <c r="A59" s="17" t="n">
        <v>45896</v>
      </c>
      <c r="B59" t="n">
        <v>89600</v>
      </c>
      <c r="C59" t="n">
        <v>41</v>
      </c>
      <c r="D59" t="n">
        <v>14</v>
      </c>
      <c r="E59" t="n">
        <v>1</v>
      </c>
      <c r="F59" t="n">
        <v>2</v>
      </c>
      <c r="G59" t="n">
        <v>660000</v>
      </c>
      <c r="H59" t="n">
        <v>1110000</v>
      </c>
      <c r="I59" t="n">
        <v>0</v>
      </c>
      <c r="J59" t="n">
        <v>1110000</v>
      </c>
    </row>
    <row r="60">
      <c r="A60" s="17" t="n">
        <v>45897</v>
      </c>
      <c r="B60" t="n">
        <v>88056</v>
      </c>
      <c r="C60" t="n">
        <v>21</v>
      </c>
      <c r="D60" t="n">
        <v>16</v>
      </c>
      <c r="E60" t="n">
        <v>4</v>
      </c>
      <c r="F60" t="n">
        <v>0</v>
      </c>
      <c r="G60" t="n">
        <v>0</v>
      </c>
      <c r="H60" t="n">
        <v>170000</v>
      </c>
      <c r="I60" t="n">
        <v>0</v>
      </c>
      <c r="J60" t="n">
        <v>170000</v>
      </c>
    </row>
    <row r="61">
      <c r="A61" s="17" t="n">
        <v>45898</v>
      </c>
      <c r="B61" t="n">
        <v>80099</v>
      </c>
      <c r="C61" t="n">
        <v>20</v>
      </c>
      <c r="D61" t="n">
        <v>11</v>
      </c>
      <c r="E61" t="n">
        <v>3</v>
      </c>
      <c r="F61" t="n">
        <v>4</v>
      </c>
      <c r="G61" t="n">
        <v>1980000</v>
      </c>
      <c r="H61" t="n">
        <v>170000</v>
      </c>
      <c r="I61" t="n">
        <v>0</v>
      </c>
      <c r="J61" t="n">
        <v>170000</v>
      </c>
    </row>
    <row r="62">
      <c r="A62" s="17" t="n">
        <v>45899</v>
      </c>
      <c r="B62" t="n">
        <v>87928</v>
      </c>
      <c r="C62" t="n">
        <v>22</v>
      </c>
      <c r="D62" t="n">
        <v>3</v>
      </c>
      <c r="E62" t="n">
        <v>10</v>
      </c>
      <c r="F62" t="n">
        <v>1</v>
      </c>
      <c r="G62" t="n">
        <v>1500000</v>
      </c>
      <c r="H62" t="n">
        <v>1300000</v>
      </c>
      <c r="I62" t="n">
        <v>0</v>
      </c>
      <c r="J62" t="n">
        <v>1300000</v>
      </c>
    </row>
    <row r="63">
      <c r="A63" s="17" t="n">
        <v>45900</v>
      </c>
      <c r="B63" t="n">
        <v>88117</v>
      </c>
      <c r="C63" t="n">
        <v>20</v>
      </c>
      <c r="D63" t="n">
        <v>9</v>
      </c>
      <c r="E63" t="n">
        <v>4</v>
      </c>
      <c r="F63" t="n">
        <v>0</v>
      </c>
      <c r="G63" t="n">
        <v>0</v>
      </c>
      <c r="H63" t="n">
        <v>750000</v>
      </c>
      <c r="I63" t="n">
        <v>0</v>
      </c>
      <c r="J63" t="n">
        <v>750000</v>
      </c>
    </row>
    <row r="64">
      <c r="A64" s="17" t="n">
        <v>45901</v>
      </c>
      <c r="B64" t="n">
        <v>88707</v>
      </c>
      <c r="C64" t="n">
        <v>26</v>
      </c>
      <c r="D64" t="n">
        <v>6</v>
      </c>
      <c r="E64" t="n">
        <v>4</v>
      </c>
      <c r="F64" t="n">
        <v>1</v>
      </c>
      <c r="G64" t="n">
        <v>1500000</v>
      </c>
      <c r="H64" t="n">
        <v>340000</v>
      </c>
      <c r="I64" t="n">
        <v>0</v>
      </c>
      <c r="J64" t="n">
        <v>340000</v>
      </c>
    </row>
    <row r="65">
      <c r="A65" s="17" t="n">
        <v>45902</v>
      </c>
      <c r="B65" t="n">
        <v>87217</v>
      </c>
      <c r="C65" t="n">
        <v>43</v>
      </c>
      <c r="D65" t="n">
        <v>9</v>
      </c>
      <c r="E65" t="n">
        <v>4</v>
      </c>
      <c r="F65" t="n">
        <v>1</v>
      </c>
      <c r="G65" t="n">
        <v>150000</v>
      </c>
      <c r="H65" t="n">
        <v>1650000</v>
      </c>
      <c r="I65" t="n">
        <v>0</v>
      </c>
      <c r="J65" t="n">
        <v>1650000</v>
      </c>
    </row>
    <row r="66">
      <c r="A66" s="17" t="n">
        <v>45903</v>
      </c>
      <c r="B66" t="n">
        <v>83623</v>
      </c>
      <c r="C66" t="n">
        <v>30</v>
      </c>
      <c r="D66" t="n">
        <v>11</v>
      </c>
      <c r="E66" t="n">
        <v>5</v>
      </c>
      <c r="F66" t="n">
        <v>2</v>
      </c>
      <c r="G66" t="n">
        <v>1020000</v>
      </c>
      <c r="H66" t="n">
        <v>0</v>
      </c>
      <c r="I66" t="n">
        <v>0</v>
      </c>
      <c r="J66" t="n">
        <v>0</v>
      </c>
    </row>
    <row r="67">
      <c r="A67" s="17" t="n">
        <v>45904</v>
      </c>
      <c r="B67" t="n">
        <v>87028</v>
      </c>
      <c r="C67" t="n">
        <v>29</v>
      </c>
      <c r="D67" t="n">
        <v>10</v>
      </c>
      <c r="E67" t="n">
        <v>4</v>
      </c>
      <c r="F67" t="n">
        <v>0</v>
      </c>
      <c r="G67" t="n">
        <v>0</v>
      </c>
      <c r="H67" t="n">
        <v>170000</v>
      </c>
      <c r="I67" t="n">
        <v>0</v>
      </c>
      <c r="J67" t="n">
        <v>170000</v>
      </c>
    </row>
    <row r="68">
      <c r="A68" s="17" t="n">
        <v>45905</v>
      </c>
      <c r="B68" t="n">
        <v>85549</v>
      </c>
      <c r="C68" t="n">
        <v>23</v>
      </c>
      <c r="D68" t="n">
        <v>11</v>
      </c>
      <c r="E68" t="n">
        <v>2</v>
      </c>
      <c r="F68" t="n">
        <v>3</v>
      </c>
      <c r="G68" t="n">
        <v>810000</v>
      </c>
      <c r="H68" t="n">
        <v>470000</v>
      </c>
      <c r="I68" t="n">
        <v>0</v>
      </c>
      <c r="J68" t="n">
        <v>470000</v>
      </c>
    </row>
    <row r="69">
      <c r="A69" s="17" t="n">
        <v>45906</v>
      </c>
      <c r="B69" t="n">
        <v>85692</v>
      </c>
      <c r="C69" t="n">
        <v>25</v>
      </c>
      <c r="D69" t="n">
        <v>11</v>
      </c>
      <c r="E69" t="n">
        <v>5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</row>
    <row r="70">
      <c r="A70" s="17" t="n">
        <v>45907</v>
      </c>
      <c r="B70" t="n">
        <v>86270</v>
      </c>
      <c r="C70" t="n">
        <v>23</v>
      </c>
      <c r="D70" t="n">
        <v>3</v>
      </c>
      <c r="E70" t="n">
        <v>6</v>
      </c>
      <c r="F70" t="n">
        <v>2</v>
      </c>
      <c r="G70" t="n">
        <v>990000</v>
      </c>
      <c r="H70" t="n">
        <v>170000</v>
      </c>
      <c r="I70" t="n">
        <v>0</v>
      </c>
      <c r="J70" t="n">
        <v>170000</v>
      </c>
    </row>
    <row r="71">
      <c r="A71" s="17" t="n">
        <v>45908</v>
      </c>
      <c r="B71" t="n">
        <v>87762</v>
      </c>
      <c r="C71" t="n">
        <v>34</v>
      </c>
      <c r="D71" t="n">
        <v>4</v>
      </c>
      <c r="E71" t="n">
        <v>1</v>
      </c>
      <c r="F71" t="n">
        <v>4</v>
      </c>
      <c r="G71" t="n">
        <v>2940000</v>
      </c>
      <c r="H71" t="n">
        <v>1130000</v>
      </c>
      <c r="I71" t="n">
        <v>0</v>
      </c>
      <c r="J71" t="n">
        <v>1130000</v>
      </c>
    </row>
    <row r="72">
      <c r="A72" s="17" t="n">
        <v>45909</v>
      </c>
      <c r="B72" t="n">
        <v>89199</v>
      </c>
      <c r="C72" t="n">
        <v>49</v>
      </c>
      <c r="D72" t="n">
        <v>7</v>
      </c>
      <c r="E72" t="n">
        <v>6</v>
      </c>
      <c r="F72" t="n">
        <v>1</v>
      </c>
      <c r="G72" t="n">
        <v>480000</v>
      </c>
      <c r="H72" t="n">
        <v>2360000</v>
      </c>
      <c r="I72" t="n">
        <v>0</v>
      </c>
      <c r="J72" t="n">
        <v>2360000</v>
      </c>
    </row>
    <row r="73">
      <c r="A73" s="17" t="n">
        <v>45910</v>
      </c>
      <c r="B73" t="n">
        <v>90486</v>
      </c>
      <c r="C73" t="n">
        <v>37</v>
      </c>
      <c r="D73" t="n">
        <v>13</v>
      </c>
      <c r="E73" t="n">
        <v>1</v>
      </c>
      <c r="F73" t="n">
        <v>2</v>
      </c>
      <c r="G73" t="n">
        <v>630000</v>
      </c>
      <c r="H73" t="n">
        <v>150000</v>
      </c>
      <c r="I73" t="n">
        <v>0</v>
      </c>
      <c r="J73" t="n">
        <v>150000</v>
      </c>
    </row>
    <row r="74">
      <c r="A74" s="17" t="n">
        <v>45911</v>
      </c>
      <c r="B74" t="n">
        <v>87557</v>
      </c>
      <c r="C74" t="n">
        <v>55</v>
      </c>
      <c r="D74" t="n">
        <v>10</v>
      </c>
      <c r="E74" t="n">
        <v>5</v>
      </c>
      <c r="F74" t="n">
        <v>2</v>
      </c>
      <c r="G74" t="n">
        <v>990000</v>
      </c>
      <c r="H74" t="n">
        <v>960000</v>
      </c>
      <c r="I74" t="n">
        <v>0</v>
      </c>
      <c r="J74" t="n">
        <v>960000</v>
      </c>
    </row>
    <row r="75">
      <c r="A75" s="17" t="n">
        <v>45912</v>
      </c>
      <c r="B75" t="n">
        <v>86002</v>
      </c>
      <c r="C75" t="n">
        <v>29</v>
      </c>
      <c r="D75" t="n">
        <v>9</v>
      </c>
      <c r="E75" t="n">
        <v>0</v>
      </c>
      <c r="F75" t="n">
        <v>1</v>
      </c>
      <c r="G75" t="n">
        <v>480000</v>
      </c>
      <c r="H75" t="n">
        <v>170000</v>
      </c>
      <c r="I75" t="n">
        <v>0</v>
      </c>
      <c r="J75" t="n">
        <v>170000</v>
      </c>
    </row>
    <row r="76">
      <c r="A76" s="17" t="n">
        <v>45913</v>
      </c>
      <c r="B76" t="n">
        <v>88851</v>
      </c>
      <c r="C76" t="n">
        <v>17</v>
      </c>
      <c r="D76" t="n">
        <v>14</v>
      </c>
      <c r="E76" t="n">
        <v>1</v>
      </c>
      <c r="F76" t="n">
        <v>3</v>
      </c>
      <c r="G76" t="n">
        <v>1170000</v>
      </c>
      <c r="H76" t="n">
        <v>150000</v>
      </c>
      <c r="I76" t="n">
        <v>0</v>
      </c>
      <c r="J76" t="n">
        <v>150000</v>
      </c>
    </row>
    <row r="77">
      <c r="A77" s="17" t="n">
        <v>45914</v>
      </c>
      <c r="B77" t="n">
        <v>86555</v>
      </c>
      <c r="C77" t="n">
        <v>20</v>
      </c>
      <c r="D77" t="n">
        <v>10</v>
      </c>
      <c r="E77" t="n">
        <v>7</v>
      </c>
      <c r="F77" t="n">
        <v>2</v>
      </c>
      <c r="G77" t="n">
        <v>1980000</v>
      </c>
      <c r="H77" t="n">
        <v>1400000</v>
      </c>
      <c r="I77" t="n">
        <v>0</v>
      </c>
      <c r="J77" t="n">
        <v>1400000</v>
      </c>
    </row>
    <row r="78">
      <c r="A78" s="17" t="n">
        <v>45915</v>
      </c>
      <c r="B78" t="n">
        <v>90566</v>
      </c>
      <c r="C78" t="n">
        <v>29</v>
      </c>
      <c r="D78" t="n">
        <v>5</v>
      </c>
      <c r="E78" t="n">
        <v>6</v>
      </c>
      <c r="F78" t="n">
        <v>2</v>
      </c>
      <c r="G78" t="n">
        <v>630000</v>
      </c>
      <c r="H78" t="n">
        <v>1280000</v>
      </c>
      <c r="I78" t="n">
        <v>0</v>
      </c>
      <c r="J78" t="n">
        <v>1280000</v>
      </c>
    </row>
    <row r="79">
      <c r="A79" s="17" t="n">
        <v>45916</v>
      </c>
      <c r="B79" t="n">
        <v>83746</v>
      </c>
      <c r="C79" t="n">
        <v>47</v>
      </c>
      <c r="D79" t="n">
        <v>4</v>
      </c>
      <c r="E79" t="n">
        <v>6</v>
      </c>
      <c r="F79" t="n">
        <v>1</v>
      </c>
      <c r="G79" t="n">
        <v>150000</v>
      </c>
      <c r="H79" t="n">
        <v>320000</v>
      </c>
      <c r="I79" t="n">
        <v>0</v>
      </c>
      <c r="J79" t="n">
        <v>320000</v>
      </c>
    </row>
    <row r="80">
      <c r="A80" s="17" t="n">
        <v>45917</v>
      </c>
      <c r="B80" t="n">
        <v>88171</v>
      </c>
      <c r="C80" t="n">
        <v>24</v>
      </c>
      <c r="D80" t="n">
        <v>5</v>
      </c>
      <c r="E80" t="n">
        <v>4</v>
      </c>
      <c r="F80" t="n">
        <v>2</v>
      </c>
      <c r="G80" t="n">
        <v>960000</v>
      </c>
      <c r="H80" t="n">
        <v>170000</v>
      </c>
      <c r="I80" t="n">
        <v>0</v>
      </c>
      <c r="J80" t="n">
        <v>170000</v>
      </c>
    </row>
    <row r="81">
      <c r="A81" s="17" t="n">
        <v>45918</v>
      </c>
      <c r="B81" t="n">
        <v>90359</v>
      </c>
      <c r="C81" t="n">
        <v>30</v>
      </c>
      <c r="D81" t="n">
        <v>5</v>
      </c>
      <c r="E81" t="n">
        <v>4</v>
      </c>
      <c r="F81" t="n">
        <v>0</v>
      </c>
      <c r="G81" t="n">
        <v>0</v>
      </c>
      <c r="H81" t="n">
        <v>650000</v>
      </c>
      <c r="I81" t="n">
        <v>0</v>
      </c>
      <c r="J81" t="n">
        <v>650000</v>
      </c>
    </row>
    <row r="82">
      <c r="A82" s="17" t="n">
        <v>45919</v>
      </c>
      <c r="B82" t="n">
        <v>90594</v>
      </c>
      <c r="C82" t="n">
        <v>38</v>
      </c>
      <c r="D82" t="n">
        <v>8</v>
      </c>
      <c r="E82" t="n">
        <v>0</v>
      </c>
      <c r="F82" t="n">
        <v>2</v>
      </c>
      <c r="G82" t="n">
        <v>630000</v>
      </c>
      <c r="H82" t="n">
        <v>630000</v>
      </c>
      <c r="I82" t="n">
        <v>0</v>
      </c>
      <c r="J82" t="n">
        <v>630000</v>
      </c>
    </row>
    <row r="83">
      <c r="A83" s="17" t="n">
        <v>45920</v>
      </c>
      <c r="B83" t="n">
        <v>88851</v>
      </c>
      <c r="C83" t="n">
        <v>23</v>
      </c>
      <c r="D83" t="n">
        <v>7</v>
      </c>
      <c r="E83" t="n">
        <v>3</v>
      </c>
      <c r="F83" t="n">
        <v>0</v>
      </c>
      <c r="G83" t="n">
        <v>0</v>
      </c>
      <c r="H83" t="n">
        <v>480000</v>
      </c>
      <c r="I83" t="n">
        <v>0</v>
      </c>
      <c r="J83" t="n">
        <v>480000</v>
      </c>
    </row>
    <row r="84">
      <c r="A84" s="17" t="n">
        <v>45921</v>
      </c>
      <c r="B84" t="n">
        <v>88470</v>
      </c>
      <c r="C84" t="n">
        <v>20</v>
      </c>
      <c r="D84" t="n">
        <v>9</v>
      </c>
      <c r="E84" t="n">
        <v>2</v>
      </c>
      <c r="F84" t="n">
        <v>3</v>
      </c>
      <c r="G84" t="n">
        <v>780000</v>
      </c>
      <c r="H84" t="n">
        <v>300000</v>
      </c>
      <c r="I84" t="n">
        <v>480000</v>
      </c>
      <c r="J84" t="n">
        <v>-180000</v>
      </c>
    </row>
    <row r="85">
      <c r="A85" s="17" t="n">
        <v>45922</v>
      </c>
      <c r="B85" t="n">
        <v>86092</v>
      </c>
      <c r="C85" t="n">
        <v>26</v>
      </c>
      <c r="D85" t="n">
        <v>7</v>
      </c>
      <c r="E85" t="n">
        <v>4</v>
      </c>
      <c r="F85" t="n">
        <v>1</v>
      </c>
      <c r="G85" t="n">
        <v>480000</v>
      </c>
      <c r="H85" t="n">
        <v>1300000</v>
      </c>
      <c r="I85" t="n">
        <v>0</v>
      </c>
      <c r="J85" t="n">
        <v>1300000</v>
      </c>
    </row>
    <row r="86">
      <c r="A86" s="17" t="n">
        <v>45923</v>
      </c>
      <c r="B86" t="n">
        <v>87018</v>
      </c>
      <c r="C86" t="n">
        <v>47</v>
      </c>
      <c r="D86" t="n">
        <v>11</v>
      </c>
      <c r="E86" t="n">
        <v>5</v>
      </c>
      <c r="F86" t="n">
        <v>2</v>
      </c>
      <c r="G86" t="n">
        <v>1650000</v>
      </c>
      <c r="H86" t="n">
        <v>1650000</v>
      </c>
      <c r="I86" t="n">
        <v>0</v>
      </c>
      <c r="J86" t="n">
        <v>1650000</v>
      </c>
    </row>
    <row r="87">
      <c r="A87" s="17" t="n">
        <v>45924</v>
      </c>
      <c r="B87" t="n">
        <v>86942</v>
      </c>
      <c r="C87" t="n">
        <v>32</v>
      </c>
      <c r="D87" t="n">
        <v>9</v>
      </c>
      <c r="E87" t="n">
        <v>2</v>
      </c>
      <c r="F87" t="n">
        <v>3</v>
      </c>
      <c r="G87" t="n">
        <v>780000</v>
      </c>
      <c r="H87" t="n">
        <v>300000</v>
      </c>
      <c r="I87" t="n">
        <v>0</v>
      </c>
      <c r="J87" t="n">
        <v>300000</v>
      </c>
    </row>
    <row r="88">
      <c r="A88" s="17" t="n">
        <v>45925</v>
      </c>
      <c r="B88" t="n">
        <v>89765</v>
      </c>
      <c r="C88" t="n">
        <v>23</v>
      </c>
      <c r="D88" t="n">
        <v>9</v>
      </c>
      <c r="E88" t="n">
        <v>3</v>
      </c>
      <c r="F88" t="n">
        <v>0</v>
      </c>
      <c r="G88" t="n">
        <v>0</v>
      </c>
      <c r="H88" t="n">
        <v>480000</v>
      </c>
      <c r="I88" t="n">
        <v>0</v>
      </c>
      <c r="J88" t="n">
        <v>480000</v>
      </c>
    </row>
    <row r="89">
      <c r="A89" s="17" t="n">
        <v>45926</v>
      </c>
      <c r="B89" t="n">
        <v>87351</v>
      </c>
      <c r="C89" t="n">
        <v>21</v>
      </c>
      <c r="D89" t="n">
        <v>11</v>
      </c>
      <c r="E89" t="n">
        <v>3</v>
      </c>
      <c r="F89" t="n">
        <v>2</v>
      </c>
      <c r="G89" t="n">
        <v>2010000</v>
      </c>
      <c r="H89" t="n">
        <v>0</v>
      </c>
      <c r="I89" t="n">
        <v>0</v>
      </c>
      <c r="J89" t="n">
        <v>0</v>
      </c>
    </row>
    <row r="90">
      <c r="A90" s="17" t="n">
        <v>45927</v>
      </c>
      <c r="B90" t="n">
        <v>86635</v>
      </c>
      <c r="C90" t="n">
        <v>18</v>
      </c>
      <c r="D90" t="n">
        <v>7</v>
      </c>
      <c r="E90" t="n">
        <v>7</v>
      </c>
      <c r="F90" t="n">
        <v>0</v>
      </c>
      <c r="G90" t="n">
        <v>0</v>
      </c>
      <c r="H90" t="n">
        <v>340000</v>
      </c>
      <c r="I90" t="n">
        <v>240000</v>
      </c>
      <c r="J90" t="n">
        <v>100000</v>
      </c>
    </row>
    <row r="91">
      <c r="A91" s="17" t="n">
        <v>45928</v>
      </c>
      <c r="B91" t="n">
        <v>88601</v>
      </c>
      <c r="C91" t="n">
        <v>26</v>
      </c>
      <c r="D91" t="n">
        <v>3</v>
      </c>
      <c r="E91" t="n">
        <v>1</v>
      </c>
      <c r="F91" t="n">
        <v>0</v>
      </c>
      <c r="G91" t="n">
        <v>0</v>
      </c>
      <c r="H91" t="n">
        <v>920000</v>
      </c>
      <c r="I91" t="n">
        <v>0</v>
      </c>
      <c r="J91" t="n">
        <v>920000</v>
      </c>
    </row>
    <row r="92">
      <c r="A92" s="17" t="n">
        <v>45929</v>
      </c>
      <c r="B92" t="n">
        <v>92641</v>
      </c>
      <c r="C92" t="n">
        <v>43</v>
      </c>
      <c r="D92" t="n">
        <v>3</v>
      </c>
      <c r="E92" t="n">
        <v>3</v>
      </c>
      <c r="F92" t="n">
        <v>4</v>
      </c>
      <c r="G92" t="n">
        <v>1680000</v>
      </c>
      <c r="H92" t="n">
        <v>830000</v>
      </c>
      <c r="I92" t="n">
        <v>0</v>
      </c>
      <c r="J92" t="n">
        <v>830000</v>
      </c>
    </row>
    <row r="93">
      <c r="A93" s="17" t="n">
        <v>45930</v>
      </c>
      <c r="B93" t="n">
        <v>86054</v>
      </c>
      <c r="C93" t="n">
        <v>38</v>
      </c>
      <c r="D93" t="n">
        <v>13</v>
      </c>
      <c r="E93" t="n">
        <v>5</v>
      </c>
      <c r="F93" t="n">
        <v>1</v>
      </c>
      <c r="G93" t="n">
        <v>480000</v>
      </c>
      <c r="H93" t="n">
        <v>1400000</v>
      </c>
      <c r="I93" t="n">
        <v>0</v>
      </c>
      <c r="J93" t="n">
        <v>1400000</v>
      </c>
    </row>
    <row r="94">
      <c r="A94" s="17" t="n">
        <v>45931</v>
      </c>
      <c r="B94" t="n">
        <v>110658</v>
      </c>
      <c r="C94" t="n">
        <v>23</v>
      </c>
      <c r="D94" t="n">
        <v>12</v>
      </c>
      <c r="E94" t="n">
        <v>3</v>
      </c>
      <c r="F94" t="n">
        <v>1</v>
      </c>
      <c r="G94" t="n">
        <v>510000</v>
      </c>
      <c r="H94" t="n">
        <v>340000</v>
      </c>
      <c r="I94" t="n">
        <v>0</v>
      </c>
      <c r="J94" t="n">
        <v>340000</v>
      </c>
    </row>
    <row r="95">
      <c r="A95" s="17" t="n">
        <v>45932</v>
      </c>
      <c r="B95" t="n">
        <v>112802</v>
      </c>
      <c r="C95" t="n">
        <v>35</v>
      </c>
      <c r="D95" t="n">
        <v>6</v>
      </c>
      <c r="E95" t="n">
        <v>4</v>
      </c>
      <c r="F95" t="n">
        <v>0</v>
      </c>
      <c r="G95" t="n">
        <v>0</v>
      </c>
      <c r="H95" t="n">
        <v>170000</v>
      </c>
      <c r="I95" t="n">
        <v>0</v>
      </c>
      <c r="J95" t="n">
        <v>170000</v>
      </c>
    </row>
    <row r="96">
      <c r="A96" s="17" t="n">
        <v>45933</v>
      </c>
      <c r="B96" t="n">
        <v>115461</v>
      </c>
      <c r="C96" t="n">
        <v>32</v>
      </c>
      <c r="D96" t="n">
        <v>8</v>
      </c>
      <c r="E96" t="n">
        <v>2</v>
      </c>
      <c r="F96" t="n">
        <v>1</v>
      </c>
      <c r="G96" t="n">
        <v>480000</v>
      </c>
      <c r="H96" t="n">
        <v>0</v>
      </c>
      <c r="I96" t="n">
        <v>0</v>
      </c>
      <c r="J96" t="n">
        <v>0</v>
      </c>
    </row>
    <row r="97">
      <c r="A97" s="17" t="n">
        <v>45934</v>
      </c>
      <c r="B97" t="n">
        <v>113483</v>
      </c>
      <c r="C97" t="n">
        <v>23</v>
      </c>
      <c r="D97" t="n">
        <v>11</v>
      </c>
      <c r="E97" t="n">
        <v>4</v>
      </c>
      <c r="F97" t="n">
        <v>1</v>
      </c>
      <c r="G97" t="n">
        <v>510000</v>
      </c>
      <c r="H97" t="n">
        <v>650000</v>
      </c>
      <c r="I97" t="n">
        <v>0</v>
      </c>
      <c r="J97" t="n">
        <v>650000</v>
      </c>
    </row>
    <row r="98">
      <c r="A98" s="17" t="n">
        <v>45935</v>
      </c>
      <c r="B98" t="n">
        <v>112218</v>
      </c>
      <c r="C98" t="n">
        <v>16</v>
      </c>
      <c r="D98" t="n">
        <v>9</v>
      </c>
      <c r="E98" t="n">
        <v>5</v>
      </c>
      <c r="F98" t="n">
        <v>2</v>
      </c>
      <c r="G98" t="n">
        <v>1650000</v>
      </c>
      <c r="H98" t="n">
        <v>320000</v>
      </c>
      <c r="I98" t="n">
        <v>0</v>
      </c>
      <c r="J98" t="n">
        <v>320000</v>
      </c>
    </row>
    <row r="99">
      <c r="A99" s="17" t="n">
        <v>45936</v>
      </c>
      <c r="B99" t="n">
        <v>114748</v>
      </c>
      <c r="C99" t="n">
        <v>28</v>
      </c>
      <c r="D99" t="n">
        <v>6</v>
      </c>
      <c r="E99" t="n">
        <v>4</v>
      </c>
      <c r="F99" t="n">
        <v>1</v>
      </c>
      <c r="G99" t="n">
        <v>480000</v>
      </c>
      <c r="H99" t="n">
        <v>1500000</v>
      </c>
      <c r="I99" t="n">
        <v>0</v>
      </c>
      <c r="J99" t="n">
        <v>1500000</v>
      </c>
    </row>
    <row r="100">
      <c r="A100" s="17" t="n">
        <v>45937</v>
      </c>
      <c r="B100" t="n">
        <v>113536</v>
      </c>
      <c r="C100" t="n">
        <v>45</v>
      </c>
      <c r="D100" t="n">
        <v>6</v>
      </c>
      <c r="E100" t="n">
        <v>3</v>
      </c>
      <c r="F100" t="n">
        <v>0</v>
      </c>
      <c r="G100" t="n">
        <v>0</v>
      </c>
      <c r="H100" t="n">
        <v>170000</v>
      </c>
      <c r="I100" t="n">
        <v>0</v>
      </c>
      <c r="J100" t="n">
        <v>170000</v>
      </c>
    </row>
    <row r="101">
      <c r="A101" s="17" t="n">
        <v>45938</v>
      </c>
      <c r="B101" t="n">
        <v>111795</v>
      </c>
      <c r="C101" t="n">
        <v>36</v>
      </c>
      <c r="D101" t="n">
        <v>7</v>
      </c>
      <c r="E101" t="n">
        <v>7</v>
      </c>
      <c r="F101" t="n">
        <v>1</v>
      </c>
      <c r="G101" t="n">
        <v>480000</v>
      </c>
      <c r="H101" t="n">
        <v>650000</v>
      </c>
      <c r="I101" t="n">
        <v>0</v>
      </c>
      <c r="J101" t="n">
        <v>650000</v>
      </c>
    </row>
    <row r="102">
      <c r="A102" s="17" t="n">
        <v>45939</v>
      </c>
      <c r="B102" t="n">
        <v>116251</v>
      </c>
      <c r="C102" t="n">
        <v>49</v>
      </c>
      <c r="D102" t="n">
        <v>15</v>
      </c>
      <c r="E102" t="n">
        <v>6</v>
      </c>
      <c r="F102" t="n">
        <v>0</v>
      </c>
      <c r="G102" t="n">
        <v>0</v>
      </c>
      <c r="H102" t="n">
        <v>920000</v>
      </c>
      <c r="I102" t="n">
        <v>0</v>
      </c>
      <c r="J102" t="n">
        <v>920000</v>
      </c>
    </row>
    <row r="103">
      <c r="A103" s="17" t="n">
        <v>45940</v>
      </c>
      <c r="B103" t="n">
        <v>111897</v>
      </c>
      <c r="C103" t="n">
        <v>33</v>
      </c>
      <c r="D103" t="n">
        <v>10</v>
      </c>
      <c r="E103" t="n">
        <v>1</v>
      </c>
      <c r="F103" t="n">
        <v>1</v>
      </c>
      <c r="G103" t="n">
        <v>150000</v>
      </c>
      <c r="H103" t="n">
        <v>630000</v>
      </c>
      <c r="I103" t="n">
        <v>0</v>
      </c>
      <c r="J103" t="n">
        <v>630000</v>
      </c>
    </row>
    <row r="104">
      <c r="A104" s="17" t="n">
        <v>45941</v>
      </c>
      <c r="B104" t="n">
        <v>114837</v>
      </c>
      <c r="C104" t="n">
        <v>25</v>
      </c>
      <c r="D104" t="n">
        <v>9</v>
      </c>
      <c r="E104" t="n">
        <v>8</v>
      </c>
      <c r="F104" t="n">
        <v>1</v>
      </c>
      <c r="G104" t="n">
        <v>480000</v>
      </c>
      <c r="H104" t="n">
        <v>0</v>
      </c>
      <c r="I104" t="n">
        <v>0</v>
      </c>
      <c r="J104" t="n">
        <v>0</v>
      </c>
    </row>
    <row r="105">
      <c r="A105" s="17" t="n">
        <v>45942</v>
      </c>
      <c r="B105" t="n">
        <v>111127</v>
      </c>
      <c r="C105" t="n">
        <v>21</v>
      </c>
      <c r="D105" t="n">
        <v>12</v>
      </c>
      <c r="E105" t="n">
        <v>5</v>
      </c>
      <c r="F105" t="n">
        <v>0</v>
      </c>
      <c r="G105" t="n">
        <v>0</v>
      </c>
      <c r="H105" t="n">
        <v>650000</v>
      </c>
      <c r="I105" t="n">
        <v>0</v>
      </c>
      <c r="J105" t="n">
        <v>650000</v>
      </c>
    </row>
    <row r="106">
      <c r="A106" s="17" t="n">
        <v>45943</v>
      </c>
      <c r="B106" t="n">
        <v>112409</v>
      </c>
      <c r="C106" t="n">
        <v>34</v>
      </c>
      <c r="D106" t="n">
        <v>12</v>
      </c>
      <c r="E106" t="n">
        <v>7</v>
      </c>
      <c r="F106" t="n">
        <v>3</v>
      </c>
      <c r="G106" t="n">
        <v>780000</v>
      </c>
      <c r="H106" t="n">
        <v>300000</v>
      </c>
      <c r="I106" t="n">
        <v>0</v>
      </c>
      <c r="J106" t="n">
        <v>300000</v>
      </c>
    </row>
    <row r="107">
      <c r="A107" s="17" t="n">
        <v>45944</v>
      </c>
      <c r="B107" t="n">
        <v>111253</v>
      </c>
      <c r="C107" t="n">
        <v>35</v>
      </c>
      <c r="D107" t="n">
        <v>10</v>
      </c>
      <c r="E107" t="n">
        <v>5</v>
      </c>
      <c r="F107" t="n">
        <v>0</v>
      </c>
      <c r="G107" t="n">
        <v>0</v>
      </c>
      <c r="H107" t="n">
        <v>170000</v>
      </c>
      <c r="I107" t="n">
        <v>0</v>
      </c>
      <c r="J107" t="n">
        <v>170000</v>
      </c>
    </row>
    <row r="108">
      <c r="A108" s="17" t="n">
        <v>45945</v>
      </c>
      <c r="B108" t="n">
        <v>113025</v>
      </c>
      <c r="C108" t="n">
        <v>35</v>
      </c>
      <c r="D108" t="n">
        <v>12</v>
      </c>
      <c r="E108" t="n">
        <v>2</v>
      </c>
      <c r="F108" t="n">
        <v>0</v>
      </c>
      <c r="G108" t="n">
        <v>0</v>
      </c>
      <c r="H108" t="n">
        <v>170000</v>
      </c>
      <c r="I108" t="n">
        <v>0</v>
      </c>
      <c r="J108" t="n">
        <v>170000</v>
      </c>
    </row>
    <row r="109">
      <c r="A109" s="17" t="n">
        <v>45946</v>
      </c>
      <c r="B109" t="n">
        <v>113469</v>
      </c>
      <c r="C109" t="n">
        <v>23</v>
      </c>
      <c r="D109" t="n">
        <v>16</v>
      </c>
      <c r="E109" t="n">
        <v>5</v>
      </c>
      <c r="F109" t="n">
        <v>0</v>
      </c>
      <c r="G109" t="n">
        <v>0</v>
      </c>
      <c r="H109" t="n">
        <v>170000</v>
      </c>
      <c r="I109" t="n">
        <v>0</v>
      </c>
      <c r="J109" t="n">
        <v>170000</v>
      </c>
    </row>
    <row r="110">
      <c r="A110" s="17" t="n">
        <v>45947</v>
      </c>
      <c r="B110" t="n">
        <v>115697</v>
      </c>
      <c r="C110" t="n">
        <v>34</v>
      </c>
      <c r="D110" t="n">
        <v>6</v>
      </c>
      <c r="E110" t="n">
        <v>9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</row>
    <row r="111">
      <c r="A111" s="17" t="n">
        <v>45948</v>
      </c>
      <c r="B111" t="n">
        <v>115091</v>
      </c>
      <c r="C111" t="n">
        <v>21</v>
      </c>
      <c r="D111" t="n">
        <v>6</v>
      </c>
      <c r="E111" t="n">
        <v>2</v>
      </c>
      <c r="F111" t="n">
        <v>1</v>
      </c>
      <c r="G111" t="n">
        <v>510000</v>
      </c>
      <c r="H111" t="n">
        <v>1090000</v>
      </c>
      <c r="I111" t="n">
        <v>0</v>
      </c>
      <c r="J111" t="n">
        <v>1090000</v>
      </c>
    </row>
    <row r="112">
      <c r="A112" s="17" t="n">
        <v>45949</v>
      </c>
      <c r="B112" t="n">
        <v>113462</v>
      </c>
      <c r="C112" t="n">
        <v>28</v>
      </c>
      <c r="D112" t="n">
        <v>7</v>
      </c>
      <c r="E112" t="n">
        <v>4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</row>
    <row r="113">
      <c r="A113" s="17" t="n">
        <v>45950</v>
      </c>
      <c r="B113" t="n">
        <v>113333</v>
      </c>
      <c r="C113" t="n">
        <v>22</v>
      </c>
      <c r="D113" t="n">
        <v>10</v>
      </c>
      <c r="E113" t="n">
        <v>4</v>
      </c>
      <c r="F113" t="n">
        <v>1</v>
      </c>
      <c r="G113" t="n">
        <v>1500000</v>
      </c>
      <c r="H113" t="n">
        <v>0</v>
      </c>
      <c r="I113" t="n">
        <v>0</v>
      </c>
      <c r="J113" t="n">
        <v>0</v>
      </c>
    </row>
    <row r="114">
      <c r="A114" s="17" t="n">
        <v>45951</v>
      </c>
      <c r="B114" t="n">
        <v>111530</v>
      </c>
      <c r="C114" t="n">
        <v>42</v>
      </c>
      <c r="D114" t="n">
        <v>7</v>
      </c>
      <c r="E114" t="n">
        <v>3</v>
      </c>
      <c r="F114" t="n">
        <v>1</v>
      </c>
      <c r="G114" t="n">
        <v>510000</v>
      </c>
      <c r="H114" t="n">
        <v>170000</v>
      </c>
      <c r="I114" t="n">
        <v>0</v>
      </c>
      <c r="J114" t="n">
        <v>170000</v>
      </c>
    </row>
    <row r="115">
      <c r="A115" s="17" t="n">
        <v>45952</v>
      </c>
      <c r="B115" t="n">
        <v>113281</v>
      </c>
      <c r="C115" t="n">
        <v>36</v>
      </c>
      <c r="D115" t="n">
        <v>5</v>
      </c>
      <c r="E115" t="n">
        <v>5</v>
      </c>
      <c r="F115" t="n">
        <v>1</v>
      </c>
      <c r="G115" t="n">
        <v>480000</v>
      </c>
      <c r="H115" t="n">
        <v>750000</v>
      </c>
      <c r="I115" t="n">
        <v>480000</v>
      </c>
      <c r="J115" t="n">
        <v>270000</v>
      </c>
    </row>
    <row r="116">
      <c r="A116" s="17" t="n">
        <v>45953</v>
      </c>
      <c r="B116" t="n">
        <v>115448</v>
      </c>
      <c r="C116" t="n">
        <v>34</v>
      </c>
      <c r="D116" t="n">
        <v>15</v>
      </c>
      <c r="E116" t="n">
        <v>1</v>
      </c>
      <c r="F116" t="n">
        <v>1</v>
      </c>
      <c r="G116" t="n">
        <v>480000</v>
      </c>
      <c r="H116" t="n">
        <v>960000</v>
      </c>
      <c r="I116" t="n">
        <v>85000</v>
      </c>
      <c r="J116" t="n">
        <v>875000</v>
      </c>
    </row>
    <row r="117">
      <c r="A117" s="17" t="n">
        <v>45954</v>
      </c>
      <c r="B117" t="n">
        <v>117002</v>
      </c>
      <c r="C117" t="n">
        <v>26</v>
      </c>
      <c r="D117" t="n">
        <v>11</v>
      </c>
      <c r="E117" t="n">
        <v>5</v>
      </c>
      <c r="F117" t="n">
        <v>3</v>
      </c>
      <c r="G117" t="n">
        <v>2460000</v>
      </c>
      <c r="H117" t="n">
        <v>750000</v>
      </c>
      <c r="I117" t="n">
        <v>0</v>
      </c>
      <c r="J117" t="n">
        <v>750000</v>
      </c>
    </row>
    <row r="118">
      <c r="A118" s="17" t="n">
        <v>45955</v>
      </c>
      <c r="B118" t="n">
        <v>117678</v>
      </c>
      <c r="C118" t="n">
        <v>22</v>
      </c>
      <c r="D118" t="n">
        <v>10</v>
      </c>
      <c r="E118" t="n">
        <v>6</v>
      </c>
      <c r="F118" t="n">
        <v>3</v>
      </c>
      <c r="G118" t="n">
        <v>1470000</v>
      </c>
      <c r="H118" t="n">
        <v>1440000</v>
      </c>
      <c r="I118" t="n">
        <v>0</v>
      </c>
      <c r="J118" t="n">
        <v>1440000</v>
      </c>
    </row>
    <row r="119">
      <c r="A119" s="17" t="n">
        <v>45956</v>
      </c>
      <c r="B119" t="n">
        <v>116097</v>
      </c>
      <c r="C119" t="n">
        <v>16</v>
      </c>
      <c r="D119" t="n">
        <v>8</v>
      </c>
      <c r="E119" t="n">
        <v>7</v>
      </c>
      <c r="F119" t="n">
        <v>2</v>
      </c>
      <c r="G119" t="n">
        <v>660000</v>
      </c>
      <c r="H119" t="n">
        <v>1140000</v>
      </c>
      <c r="I119" t="n">
        <v>0</v>
      </c>
      <c r="J119" t="n">
        <v>1140000</v>
      </c>
    </row>
    <row r="120">
      <c r="A120" s="17" t="n">
        <v>45957</v>
      </c>
      <c r="B120" t="n">
        <v>114069</v>
      </c>
      <c r="C120" t="n">
        <v>30</v>
      </c>
      <c r="D120" t="n">
        <v>4</v>
      </c>
      <c r="E120" t="n">
        <v>5</v>
      </c>
      <c r="F120" t="n">
        <v>0</v>
      </c>
      <c r="G120" t="n">
        <v>0</v>
      </c>
      <c r="H120" t="n">
        <v>340000</v>
      </c>
      <c r="I120" t="n">
        <v>0</v>
      </c>
      <c r="J120" t="n">
        <v>340000</v>
      </c>
    </row>
    <row r="121">
      <c r="A121" s="17" t="n">
        <v>45958</v>
      </c>
      <c r="B121" t="n">
        <v>116163</v>
      </c>
      <c r="C121" t="n">
        <v>44</v>
      </c>
      <c r="D121" t="n">
        <v>10</v>
      </c>
      <c r="E121" t="n">
        <v>5</v>
      </c>
      <c r="F121" t="n">
        <v>3</v>
      </c>
      <c r="G121" t="n">
        <v>1140000</v>
      </c>
      <c r="H121" t="n">
        <v>1550000</v>
      </c>
      <c r="I121" t="n">
        <v>0</v>
      </c>
      <c r="J121" t="n">
        <v>1550000</v>
      </c>
    </row>
    <row r="122">
      <c r="A122" s="17" t="n">
        <v>45959</v>
      </c>
      <c r="B122" t="n">
        <v>108933</v>
      </c>
      <c r="C122" t="n">
        <v>32</v>
      </c>
      <c r="D122" t="n">
        <v>13</v>
      </c>
      <c r="E122" t="n">
        <v>6</v>
      </c>
      <c r="F122" t="n">
        <v>3</v>
      </c>
      <c r="G122" t="n">
        <v>1170000</v>
      </c>
      <c r="H122" t="n">
        <v>1000000</v>
      </c>
      <c r="I122" t="n">
        <v>0</v>
      </c>
      <c r="J122" t="n">
        <v>1000000</v>
      </c>
    </row>
    <row r="123">
      <c r="A123" s="17" t="n">
        <v>45960</v>
      </c>
      <c r="B123" t="n">
        <v>112293</v>
      </c>
      <c r="C123" t="n">
        <v>28</v>
      </c>
      <c r="D123" t="n">
        <v>12</v>
      </c>
      <c r="E123" t="n">
        <v>3</v>
      </c>
      <c r="F123" t="n">
        <v>0</v>
      </c>
      <c r="G123" t="n">
        <v>0</v>
      </c>
      <c r="H123" t="n">
        <v>340000</v>
      </c>
      <c r="I123" t="n">
        <v>0</v>
      </c>
      <c r="J123" t="n">
        <v>340000</v>
      </c>
    </row>
    <row r="124">
      <c r="A124" s="17" t="n">
        <v>45961</v>
      </c>
      <c r="B124" t="n">
        <v>108105</v>
      </c>
      <c r="C124" t="n">
        <v>29</v>
      </c>
      <c r="D124" t="n">
        <v>9</v>
      </c>
      <c r="E124" t="n">
        <v>5</v>
      </c>
      <c r="F124" t="n">
        <v>2</v>
      </c>
      <c r="G124" t="n">
        <v>630000</v>
      </c>
      <c r="H124" t="n">
        <v>150000</v>
      </c>
      <c r="I124" t="n">
        <v>0</v>
      </c>
      <c r="J124" t="n">
        <v>150000</v>
      </c>
    </row>
    <row r="125">
      <c r="A125" s="17" t="n">
        <v>45962</v>
      </c>
      <c r="B125" t="n">
        <v>111492</v>
      </c>
      <c r="C125" t="n">
        <v>18</v>
      </c>
      <c r="D125" t="n">
        <v>10</v>
      </c>
      <c r="E125" t="n">
        <v>3</v>
      </c>
      <c r="F125" t="n">
        <v>0</v>
      </c>
      <c r="G125" t="n">
        <v>0</v>
      </c>
      <c r="H125" t="n">
        <v>650000</v>
      </c>
      <c r="I125" t="n">
        <v>0</v>
      </c>
      <c r="J125" t="n">
        <v>650000</v>
      </c>
    </row>
    <row r="126">
      <c r="A126" s="17" t="n">
        <v>45963</v>
      </c>
      <c r="B126" t="n">
        <v>109776</v>
      </c>
      <c r="C126" t="n">
        <v>22</v>
      </c>
      <c r="D126" t="n">
        <v>7</v>
      </c>
      <c r="E126" t="n">
        <v>9</v>
      </c>
      <c r="F126" t="n">
        <v>3</v>
      </c>
      <c r="G126" t="n">
        <v>1440000</v>
      </c>
      <c r="H126" t="n">
        <v>0</v>
      </c>
      <c r="I126" t="n">
        <v>0</v>
      </c>
      <c r="J126" t="n">
        <v>0</v>
      </c>
    </row>
    <row r="127">
      <c r="A127" s="17" t="n">
        <v>45964</v>
      </c>
      <c r="B127" t="n">
        <v>116655</v>
      </c>
      <c r="C127" t="n">
        <v>35</v>
      </c>
      <c r="D127" t="n">
        <v>7</v>
      </c>
      <c r="E127" t="n">
        <v>2</v>
      </c>
      <c r="F127" t="n">
        <v>1</v>
      </c>
      <c r="G127" t="n">
        <v>480000</v>
      </c>
      <c r="H127" t="n">
        <v>650000</v>
      </c>
      <c r="I127" t="n">
        <v>0</v>
      </c>
      <c r="J127" t="n">
        <v>650000</v>
      </c>
    </row>
    <row r="128">
      <c r="A128" s="17" t="n">
        <v>45965</v>
      </c>
      <c r="B128" t="n">
        <v>113443</v>
      </c>
      <c r="C128" t="n">
        <v>33</v>
      </c>
      <c r="D128" t="n">
        <v>10</v>
      </c>
      <c r="E128" t="n">
        <v>8</v>
      </c>
      <c r="F128" t="n">
        <v>0</v>
      </c>
      <c r="G128" t="n">
        <v>0</v>
      </c>
      <c r="H128" t="n">
        <v>1610000</v>
      </c>
      <c r="I128" t="n">
        <v>0</v>
      </c>
      <c r="J128" t="n">
        <v>1610000</v>
      </c>
    </row>
    <row r="129">
      <c r="A129" s="17" t="n">
        <v>45966</v>
      </c>
      <c r="B129" t="n">
        <v>111985</v>
      </c>
      <c r="C129" t="n">
        <v>34</v>
      </c>
      <c r="D129" t="n">
        <v>9</v>
      </c>
      <c r="E129" t="n">
        <v>4</v>
      </c>
      <c r="F129" t="n">
        <v>0</v>
      </c>
      <c r="G129" t="n">
        <v>0</v>
      </c>
      <c r="H129" t="n">
        <v>0</v>
      </c>
      <c r="I129" t="n">
        <v>480000</v>
      </c>
      <c r="J129" t="n">
        <v>-480000</v>
      </c>
    </row>
    <row r="130">
      <c r="A130" s="17" t="n">
        <v>45967</v>
      </c>
      <c r="B130" t="n">
        <v>115153</v>
      </c>
      <c r="C130" t="n">
        <v>34</v>
      </c>
      <c r="D130" t="n">
        <v>7</v>
      </c>
      <c r="E130" t="n">
        <v>4</v>
      </c>
      <c r="F130" t="n">
        <v>1</v>
      </c>
      <c r="G130" t="n">
        <v>1500000</v>
      </c>
      <c r="H130" t="n">
        <v>920000</v>
      </c>
      <c r="I130" t="n">
        <v>0</v>
      </c>
      <c r="J130" t="n">
        <v>920000</v>
      </c>
    </row>
    <row r="131">
      <c r="A131" s="17" t="n">
        <v>45968</v>
      </c>
      <c r="B131" t="n">
        <v>115066</v>
      </c>
      <c r="C131" t="n">
        <v>26</v>
      </c>
      <c r="D131" t="n">
        <v>10</v>
      </c>
      <c r="E131" t="n">
        <v>3</v>
      </c>
      <c r="F131" t="n">
        <v>0</v>
      </c>
      <c r="G131" t="n">
        <v>0</v>
      </c>
      <c r="H131" t="n">
        <v>170000</v>
      </c>
      <c r="I131" t="n">
        <v>0</v>
      </c>
      <c r="J131" t="n">
        <v>170000</v>
      </c>
    </row>
    <row r="132">
      <c r="A132" s="17" t="n">
        <v>45969</v>
      </c>
      <c r="B132" t="n">
        <v>117958</v>
      </c>
      <c r="C132" t="n">
        <v>20</v>
      </c>
      <c r="D132" t="n">
        <v>12</v>
      </c>
      <c r="E132" t="n">
        <v>3</v>
      </c>
      <c r="F132" t="n">
        <v>1</v>
      </c>
      <c r="G132" t="n">
        <v>150000</v>
      </c>
      <c r="H132" t="n">
        <v>150000</v>
      </c>
      <c r="I132" t="n">
        <v>0</v>
      </c>
      <c r="J132" t="n">
        <v>150000</v>
      </c>
    </row>
    <row r="133">
      <c r="A133" s="17" t="n">
        <v>45970</v>
      </c>
      <c r="B133" t="n">
        <v>110844</v>
      </c>
      <c r="C133" t="n">
        <v>22</v>
      </c>
      <c r="D133" t="n">
        <v>7</v>
      </c>
      <c r="E133" t="n">
        <v>3</v>
      </c>
      <c r="F133" t="n">
        <v>4</v>
      </c>
      <c r="G133" t="n">
        <v>2040000</v>
      </c>
      <c r="H133" t="n">
        <v>170000</v>
      </c>
      <c r="I133" t="n">
        <v>0</v>
      </c>
      <c r="J133" t="n">
        <v>170000</v>
      </c>
    </row>
    <row r="134">
      <c r="A134" s="17" t="n">
        <v>45971</v>
      </c>
      <c r="B134" t="n">
        <v>113325</v>
      </c>
      <c r="C134" t="n">
        <v>27</v>
      </c>
      <c r="D134" t="n">
        <v>10</v>
      </c>
      <c r="E134" t="n">
        <v>7</v>
      </c>
      <c r="F134" t="n">
        <v>3</v>
      </c>
      <c r="G134" t="n">
        <v>2520000</v>
      </c>
      <c r="H134" t="n">
        <v>1840000</v>
      </c>
      <c r="I134" t="n">
        <v>0</v>
      </c>
      <c r="J134" t="n">
        <v>1840000</v>
      </c>
    </row>
    <row r="135">
      <c r="A135" s="17" t="n">
        <v>45972</v>
      </c>
      <c r="B135" t="n">
        <v>112779</v>
      </c>
      <c r="C135" t="n">
        <v>39</v>
      </c>
      <c r="D135" t="n">
        <v>8</v>
      </c>
      <c r="E135" t="n">
        <v>3</v>
      </c>
      <c r="F135" t="n">
        <v>1</v>
      </c>
      <c r="G135" t="n">
        <v>480000</v>
      </c>
      <c r="H135" t="n">
        <v>680000</v>
      </c>
      <c r="I135" t="n">
        <v>0</v>
      </c>
      <c r="J135" t="n">
        <v>680000</v>
      </c>
    </row>
    <row r="136">
      <c r="A136" s="17" t="n">
        <v>45973</v>
      </c>
      <c r="B136" t="n">
        <v>110032</v>
      </c>
      <c r="C136" t="n">
        <v>47</v>
      </c>
      <c r="D136" t="n">
        <v>9</v>
      </c>
      <c r="E136" t="n">
        <v>4</v>
      </c>
      <c r="F136" t="n">
        <v>1</v>
      </c>
      <c r="G136" t="n">
        <v>510000</v>
      </c>
      <c r="H136" t="n">
        <v>480000</v>
      </c>
      <c r="I136" t="n">
        <v>0</v>
      </c>
      <c r="J136" t="n">
        <v>480000</v>
      </c>
    </row>
    <row r="137">
      <c r="A137" s="17" t="n">
        <v>45974</v>
      </c>
      <c r="B137" t="n">
        <v>113766</v>
      </c>
      <c r="C137" t="n">
        <v>52</v>
      </c>
      <c r="D137" t="n">
        <v>11</v>
      </c>
      <c r="E137" t="n">
        <v>4</v>
      </c>
      <c r="F137" t="n">
        <v>2</v>
      </c>
      <c r="G137" t="n">
        <v>660000</v>
      </c>
      <c r="H137" t="n">
        <v>490000</v>
      </c>
      <c r="I137" t="n">
        <v>0</v>
      </c>
      <c r="J137" t="n">
        <v>490000</v>
      </c>
    </row>
    <row r="138">
      <c r="A138" s="17" t="n">
        <v>45975</v>
      </c>
      <c r="B138" t="n">
        <v>116034</v>
      </c>
      <c r="C138" t="n">
        <v>30</v>
      </c>
      <c r="D138" t="n">
        <v>17</v>
      </c>
      <c r="E138" t="n">
        <v>1</v>
      </c>
      <c r="F138" t="n">
        <v>3</v>
      </c>
      <c r="G138" t="n">
        <v>450000</v>
      </c>
      <c r="H138" t="n">
        <v>790000</v>
      </c>
      <c r="I138" t="n">
        <v>0</v>
      </c>
      <c r="J138" t="n">
        <v>790000</v>
      </c>
    </row>
    <row r="139">
      <c r="A139" s="17" t="n">
        <v>45976</v>
      </c>
      <c r="B139" t="n">
        <v>117012</v>
      </c>
      <c r="C139" t="n">
        <v>13</v>
      </c>
      <c r="D139" t="n">
        <v>12</v>
      </c>
      <c r="E139" t="n">
        <v>4</v>
      </c>
      <c r="F139" t="n">
        <v>1</v>
      </c>
      <c r="G139" t="n">
        <v>150000</v>
      </c>
      <c r="H139" t="n">
        <v>150000</v>
      </c>
      <c r="I139" t="n">
        <v>0</v>
      </c>
      <c r="J139" t="n">
        <v>150000</v>
      </c>
    </row>
    <row r="140">
      <c r="A140" s="17" t="n">
        <v>45977</v>
      </c>
      <c r="B140" t="n">
        <v>115380</v>
      </c>
      <c r="C140" t="n">
        <v>19</v>
      </c>
      <c r="D140" t="n">
        <v>6</v>
      </c>
      <c r="E140" t="n">
        <v>6</v>
      </c>
      <c r="F140" t="n">
        <v>1</v>
      </c>
      <c r="G140" t="n">
        <v>1500000</v>
      </c>
      <c r="H140" t="n">
        <v>750000</v>
      </c>
      <c r="I140" t="n">
        <v>0</v>
      </c>
      <c r="J140" t="n">
        <v>750000</v>
      </c>
    </row>
    <row r="141">
      <c r="A141" s="17" t="n">
        <v>45978</v>
      </c>
      <c r="B141" t="n">
        <v>113538</v>
      </c>
      <c r="C141" t="n">
        <v>32</v>
      </c>
      <c r="D141" t="n">
        <v>17</v>
      </c>
      <c r="E141" t="n">
        <v>8</v>
      </c>
      <c r="F141" t="n">
        <v>2</v>
      </c>
      <c r="G141" t="n">
        <v>990000</v>
      </c>
      <c r="H141" t="n">
        <v>170000</v>
      </c>
      <c r="I141" t="n">
        <v>0</v>
      </c>
      <c r="J141" t="n">
        <v>170000</v>
      </c>
    </row>
    <row r="142">
      <c r="A142" s="17" t="n">
        <v>45979</v>
      </c>
      <c r="B142" t="n">
        <v>114100</v>
      </c>
      <c r="C142" t="n">
        <v>35</v>
      </c>
      <c r="D142" t="n">
        <v>2</v>
      </c>
      <c r="E142" t="n">
        <v>4</v>
      </c>
      <c r="F142" t="n">
        <v>0</v>
      </c>
      <c r="G142" t="n">
        <v>0</v>
      </c>
      <c r="H142" t="n">
        <v>650000</v>
      </c>
      <c r="I142" t="n">
        <v>0</v>
      </c>
      <c r="J142" t="n">
        <v>650000</v>
      </c>
    </row>
    <row r="143">
      <c r="A143" s="17" t="n">
        <v>45980</v>
      </c>
      <c r="B143" t="n">
        <v>114908</v>
      </c>
      <c r="C143" t="n">
        <v>24</v>
      </c>
      <c r="D143" t="n">
        <v>7</v>
      </c>
      <c r="E143" t="n">
        <v>7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</row>
    <row r="144">
      <c r="A144" s="17" t="n">
        <v>45981</v>
      </c>
      <c r="B144" t="n">
        <v>113544</v>
      </c>
      <c r="C144" t="n">
        <v>28</v>
      </c>
      <c r="D144" t="n">
        <v>8</v>
      </c>
      <c r="E144" t="n">
        <v>5</v>
      </c>
      <c r="F144" t="n">
        <v>2</v>
      </c>
      <c r="G144" t="n">
        <v>960000</v>
      </c>
      <c r="H144" t="n">
        <v>170000</v>
      </c>
      <c r="I144" t="n">
        <v>0</v>
      </c>
      <c r="J144" t="n">
        <v>170000</v>
      </c>
    </row>
    <row r="145">
      <c r="A145" s="17" t="n">
        <v>45982</v>
      </c>
      <c r="B145" t="n">
        <v>116581</v>
      </c>
      <c r="C145" t="n">
        <v>20</v>
      </c>
      <c r="D145" t="n">
        <v>4</v>
      </c>
      <c r="E145" t="n">
        <v>3</v>
      </c>
      <c r="F145" t="n">
        <v>1</v>
      </c>
      <c r="G145" t="n">
        <v>480000</v>
      </c>
      <c r="H145" t="n">
        <v>1230000</v>
      </c>
      <c r="I145" t="n">
        <v>0</v>
      </c>
      <c r="J145" t="n">
        <v>1230000</v>
      </c>
    </row>
    <row r="146">
      <c r="A146" s="17" t="n">
        <v>45983</v>
      </c>
      <c r="B146" t="n">
        <v>117736</v>
      </c>
      <c r="C146" t="n">
        <v>11</v>
      </c>
      <c r="D146" t="n">
        <v>7</v>
      </c>
      <c r="E146" t="n">
        <v>3</v>
      </c>
      <c r="F146" t="n">
        <v>2</v>
      </c>
      <c r="G146" t="n">
        <v>630000</v>
      </c>
      <c r="H146" t="n">
        <v>1110000</v>
      </c>
      <c r="I146" t="n">
        <v>0</v>
      </c>
      <c r="J146" t="n">
        <v>1110000</v>
      </c>
    </row>
    <row r="147">
      <c r="A147" s="17" t="n">
        <v>45984</v>
      </c>
      <c r="B147" t="n">
        <v>111142</v>
      </c>
      <c r="C147" t="n">
        <v>22</v>
      </c>
      <c r="D147" t="n">
        <v>3</v>
      </c>
      <c r="E147" t="n">
        <v>4</v>
      </c>
      <c r="F147" t="n">
        <v>1</v>
      </c>
      <c r="G147" t="n">
        <v>480000</v>
      </c>
      <c r="H147" t="n">
        <v>1230000</v>
      </c>
      <c r="I147" t="n">
        <v>0</v>
      </c>
      <c r="J147" t="n">
        <v>1230000</v>
      </c>
    </row>
    <row r="148">
      <c r="A148" s="17" t="n">
        <v>45985</v>
      </c>
      <c r="B148" t="n">
        <v>115738</v>
      </c>
      <c r="C148" t="n">
        <v>30</v>
      </c>
      <c r="D148" t="n">
        <v>5</v>
      </c>
      <c r="E148" t="n">
        <v>2</v>
      </c>
      <c r="F148" t="n">
        <v>0</v>
      </c>
      <c r="G148" t="n">
        <v>0</v>
      </c>
      <c r="H148" t="n">
        <v>480000</v>
      </c>
      <c r="I148" t="n">
        <v>0</v>
      </c>
      <c r="J148" t="n">
        <v>480000</v>
      </c>
    </row>
    <row r="149">
      <c r="A149" s="17" t="n">
        <v>45986</v>
      </c>
      <c r="B149" t="n">
        <v>112274</v>
      </c>
      <c r="C149" t="n">
        <v>31</v>
      </c>
      <c r="D149" t="n">
        <v>10</v>
      </c>
      <c r="E149" t="n">
        <v>1</v>
      </c>
      <c r="F149" t="n">
        <v>1</v>
      </c>
      <c r="G149" t="n">
        <v>150000</v>
      </c>
      <c r="H149" t="n">
        <v>490000</v>
      </c>
      <c r="I149" t="n">
        <v>0</v>
      </c>
      <c r="J149" t="n">
        <v>490000</v>
      </c>
    </row>
    <row r="150">
      <c r="A150" s="17" t="n">
        <v>45987</v>
      </c>
      <c r="B150" t="n">
        <v>112205</v>
      </c>
      <c r="C150" t="n">
        <v>29</v>
      </c>
      <c r="D150" t="n">
        <v>9</v>
      </c>
      <c r="E150" t="n">
        <v>4</v>
      </c>
      <c r="F150" t="n">
        <v>0</v>
      </c>
      <c r="G150" t="n">
        <v>0</v>
      </c>
      <c r="H150" t="n">
        <v>170000</v>
      </c>
      <c r="I150" t="n">
        <v>75000</v>
      </c>
      <c r="J150" t="n">
        <v>95000</v>
      </c>
    </row>
    <row r="151">
      <c r="A151" s="17" t="n">
        <v>45988</v>
      </c>
      <c r="B151" t="n">
        <v>108350</v>
      </c>
      <c r="C151" t="n">
        <v>23</v>
      </c>
      <c r="D151" t="n">
        <v>7</v>
      </c>
      <c r="E151" t="n">
        <v>5</v>
      </c>
      <c r="F151" t="n">
        <v>1</v>
      </c>
      <c r="G151" t="n">
        <v>1500000</v>
      </c>
      <c r="H151" t="n">
        <v>0</v>
      </c>
      <c r="I151" t="n">
        <v>0</v>
      </c>
      <c r="J151" t="n">
        <v>0</v>
      </c>
    </row>
    <row r="152">
      <c r="A152" s="17" t="n">
        <v>45989</v>
      </c>
      <c r="B152" t="n">
        <v>114749</v>
      </c>
      <c r="C152" t="n">
        <v>29</v>
      </c>
      <c r="D152" t="n">
        <v>11</v>
      </c>
      <c r="E152" t="n">
        <v>3</v>
      </c>
      <c r="F152" t="n">
        <v>2</v>
      </c>
      <c r="G152" t="n">
        <v>1980000</v>
      </c>
      <c r="H152" t="n">
        <v>680000</v>
      </c>
      <c r="I152" t="n">
        <v>0</v>
      </c>
      <c r="J152" t="n">
        <v>680000</v>
      </c>
    </row>
    <row r="153">
      <c r="A153" s="17" t="n">
        <v>45990</v>
      </c>
      <c r="B153" t="n">
        <v>115266</v>
      </c>
      <c r="C153" t="n">
        <v>20</v>
      </c>
      <c r="D153" t="n">
        <v>11</v>
      </c>
      <c r="E153" t="n">
        <v>1</v>
      </c>
      <c r="F153" t="n">
        <v>4</v>
      </c>
      <c r="G153" t="n">
        <v>2280000</v>
      </c>
      <c r="H153" t="n">
        <v>5350000</v>
      </c>
      <c r="I153" t="n">
        <v>0</v>
      </c>
      <c r="J153" t="n">
        <v>5350000</v>
      </c>
    </row>
    <row r="154">
      <c r="A154" s="17" t="n">
        <v>45991</v>
      </c>
      <c r="B154" t="n">
        <v>114353</v>
      </c>
      <c r="C154" t="n">
        <v>23</v>
      </c>
      <c r="D154" t="n">
        <v>11</v>
      </c>
      <c r="E154" t="n">
        <v>4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</row>
    <row r="155">
      <c r="A155" s="17" t="n">
        <v>45992</v>
      </c>
      <c r="B155" t="n">
        <v>116210</v>
      </c>
      <c r="C155" t="n">
        <v>33</v>
      </c>
      <c r="D155" t="n">
        <v>9</v>
      </c>
      <c r="E155" t="n">
        <v>5</v>
      </c>
      <c r="F155" t="n">
        <v>2</v>
      </c>
      <c r="G155" t="n">
        <v>990000</v>
      </c>
      <c r="H155" t="n">
        <v>170000</v>
      </c>
      <c r="I155" t="n">
        <v>0</v>
      </c>
      <c r="J155" t="n">
        <v>170000</v>
      </c>
    </row>
    <row r="156">
      <c r="A156" s="17" t="n">
        <v>45993</v>
      </c>
      <c r="B156" t="n">
        <v>112773</v>
      </c>
      <c r="C156" t="n">
        <v>40</v>
      </c>
      <c r="D156" t="n">
        <v>8</v>
      </c>
      <c r="E156" t="n">
        <v>3</v>
      </c>
      <c r="F156" t="n">
        <v>0</v>
      </c>
      <c r="G156" t="n">
        <v>0</v>
      </c>
      <c r="H156" t="n">
        <v>650000</v>
      </c>
      <c r="I156" t="n">
        <v>0</v>
      </c>
      <c r="J156" t="n">
        <v>650000</v>
      </c>
    </row>
    <row r="157">
      <c r="A157" s="17" t="n">
        <v>45994</v>
      </c>
      <c r="B157" t="n">
        <v>114251</v>
      </c>
      <c r="C157" t="n">
        <v>44</v>
      </c>
      <c r="D157" t="n">
        <v>13</v>
      </c>
      <c r="E157" t="n">
        <v>4</v>
      </c>
      <c r="F157" t="n">
        <v>2</v>
      </c>
      <c r="G157" t="n">
        <v>990000</v>
      </c>
      <c r="H157" t="n">
        <v>0</v>
      </c>
      <c r="I157" t="n">
        <v>0</v>
      </c>
      <c r="J157" t="n">
        <v>0</v>
      </c>
    </row>
    <row r="158">
      <c r="A158" s="17" t="n">
        <v>45995</v>
      </c>
      <c r="B158" t="n">
        <v>110304</v>
      </c>
      <c r="C158" t="n">
        <v>28</v>
      </c>
      <c r="D158" t="n">
        <v>6</v>
      </c>
      <c r="E158" t="n">
        <v>7</v>
      </c>
      <c r="F158" t="n">
        <v>1</v>
      </c>
      <c r="G158" t="n">
        <v>480000</v>
      </c>
      <c r="H158" t="n">
        <v>650000</v>
      </c>
      <c r="I158" t="n">
        <v>170000</v>
      </c>
      <c r="J158" t="n">
        <v>480000</v>
      </c>
    </row>
    <row r="159">
      <c r="A159" s="17" t="n">
        <v>45996</v>
      </c>
      <c r="B159" t="n">
        <v>109662</v>
      </c>
      <c r="C159" t="n">
        <v>21</v>
      </c>
      <c r="D159" t="n">
        <v>15</v>
      </c>
      <c r="E159" t="n">
        <v>3</v>
      </c>
      <c r="F159" t="n">
        <v>0</v>
      </c>
      <c r="G159" t="n">
        <v>0</v>
      </c>
      <c r="H159" t="n">
        <v>480000</v>
      </c>
      <c r="I159" t="n">
        <v>0</v>
      </c>
      <c r="J159" t="n">
        <v>480000</v>
      </c>
    </row>
    <row r="160">
      <c r="A160" s="17" t="n">
        <v>45997</v>
      </c>
      <c r="B160" t="n">
        <v>109326</v>
      </c>
      <c r="C160" t="n">
        <v>19</v>
      </c>
      <c r="D160" t="n">
        <v>5</v>
      </c>
      <c r="E160" t="n">
        <v>4</v>
      </c>
      <c r="F160" t="n">
        <v>1</v>
      </c>
      <c r="G160" t="n">
        <v>480000</v>
      </c>
      <c r="H160" t="n">
        <v>750000</v>
      </c>
      <c r="I160" t="n">
        <v>0</v>
      </c>
      <c r="J160" t="n">
        <v>750000</v>
      </c>
    </row>
    <row r="161">
      <c r="A161" s="17" t="n">
        <v>45998</v>
      </c>
      <c r="B161" t="n">
        <v>116746</v>
      </c>
      <c r="C161" t="n">
        <v>19</v>
      </c>
      <c r="D161" t="n">
        <v>5</v>
      </c>
      <c r="E161" t="n">
        <v>5</v>
      </c>
      <c r="F161" t="n">
        <v>0</v>
      </c>
      <c r="G161" t="n">
        <v>0</v>
      </c>
      <c r="H161" t="n">
        <v>480000</v>
      </c>
      <c r="I161" t="n">
        <v>0</v>
      </c>
      <c r="J161" t="n">
        <v>480000</v>
      </c>
    </row>
    <row r="162">
      <c r="A162" s="17" t="n">
        <v>45999</v>
      </c>
      <c r="B162" t="n">
        <v>115774</v>
      </c>
      <c r="C162" t="n">
        <v>26</v>
      </c>
      <c r="D162" t="n">
        <v>7</v>
      </c>
      <c r="E162" t="n">
        <v>3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</row>
    <row r="163">
      <c r="A163" s="17" t="n">
        <v>46000</v>
      </c>
      <c r="B163" t="n">
        <v>114695</v>
      </c>
      <c r="C163" t="n">
        <v>33</v>
      </c>
      <c r="D163" t="n">
        <v>5</v>
      </c>
      <c r="E163" t="n">
        <v>6</v>
      </c>
      <c r="F163" t="n">
        <v>1</v>
      </c>
      <c r="G163" t="n">
        <v>480000</v>
      </c>
      <c r="H163" t="n">
        <v>170000</v>
      </c>
      <c r="I163" t="n">
        <v>0</v>
      </c>
      <c r="J163" t="n">
        <v>170000</v>
      </c>
    </row>
    <row r="164">
      <c r="A164" s="17" t="n">
        <v>46001</v>
      </c>
      <c r="B164" t="n">
        <v>113104</v>
      </c>
      <c r="C164" t="n">
        <v>26</v>
      </c>
      <c r="D164" t="n">
        <v>12</v>
      </c>
      <c r="E164" t="n">
        <v>1</v>
      </c>
      <c r="F164" t="n">
        <v>0</v>
      </c>
      <c r="G164" t="n">
        <v>0</v>
      </c>
      <c r="H164" t="n">
        <v>650000</v>
      </c>
      <c r="I164" t="n">
        <v>0</v>
      </c>
      <c r="J164" t="n">
        <v>650000</v>
      </c>
    </row>
    <row r="165">
      <c r="A165" s="17" t="n">
        <v>46002</v>
      </c>
      <c r="B165" t="n">
        <v>118466</v>
      </c>
      <c r="C165" t="n">
        <v>45</v>
      </c>
      <c r="D165" t="n">
        <v>1</v>
      </c>
      <c r="E165" t="n">
        <v>2</v>
      </c>
      <c r="F165" t="n">
        <v>1</v>
      </c>
      <c r="G165" t="n">
        <v>480000</v>
      </c>
      <c r="H165" t="n">
        <v>510000</v>
      </c>
      <c r="I165" t="n">
        <v>0</v>
      </c>
      <c r="J165" t="n">
        <v>510000</v>
      </c>
    </row>
    <row r="166">
      <c r="A166" s="17" t="n">
        <v>46003</v>
      </c>
      <c r="B166" t="n">
        <v>114742</v>
      </c>
      <c r="C166" t="n">
        <v>27</v>
      </c>
      <c r="D166" t="n">
        <v>8</v>
      </c>
      <c r="E166" t="n">
        <v>4</v>
      </c>
      <c r="F166" t="n">
        <v>1</v>
      </c>
      <c r="G166" t="n">
        <v>480000</v>
      </c>
      <c r="H166" t="n">
        <v>960000</v>
      </c>
      <c r="I166" t="n">
        <v>0</v>
      </c>
      <c r="J166" t="n">
        <v>960000</v>
      </c>
    </row>
    <row r="167">
      <c r="A167" s="17" t="n">
        <v>46004</v>
      </c>
      <c r="B167" t="n">
        <v>110159</v>
      </c>
      <c r="C167" t="n">
        <v>14</v>
      </c>
      <c r="D167" t="n">
        <v>12</v>
      </c>
      <c r="E167" t="n">
        <v>4</v>
      </c>
      <c r="F167" t="n">
        <v>3</v>
      </c>
      <c r="G167" t="n">
        <v>2160000</v>
      </c>
      <c r="H167" t="n">
        <v>490000</v>
      </c>
      <c r="I167" t="n">
        <v>0</v>
      </c>
      <c r="J167" t="n">
        <v>490000</v>
      </c>
    </row>
    <row r="168">
      <c r="A168" s="17" t="n">
        <v>46005</v>
      </c>
      <c r="B168" t="n">
        <v>110185</v>
      </c>
      <c r="C168" t="n">
        <v>19</v>
      </c>
      <c r="D168" t="n">
        <v>7</v>
      </c>
      <c r="E168" t="n">
        <v>5</v>
      </c>
      <c r="F168" t="n">
        <v>4</v>
      </c>
      <c r="G168" t="n">
        <v>1620000</v>
      </c>
      <c r="H168" t="n">
        <v>2470000</v>
      </c>
      <c r="I168" t="n">
        <v>0</v>
      </c>
      <c r="J168" t="n">
        <v>2470000</v>
      </c>
    </row>
    <row r="169">
      <c r="A169" s="17" t="n">
        <v>46006</v>
      </c>
      <c r="B169" t="n">
        <v>112525</v>
      </c>
      <c r="C169" t="n">
        <v>26</v>
      </c>
      <c r="D169" t="n">
        <v>6</v>
      </c>
      <c r="E169" t="n">
        <v>4</v>
      </c>
      <c r="F169" t="n">
        <v>0</v>
      </c>
      <c r="G169" t="n">
        <v>0</v>
      </c>
      <c r="H169" t="n">
        <v>480000</v>
      </c>
      <c r="I169" t="n">
        <v>0</v>
      </c>
      <c r="J169" t="n">
        <v>480000</v>
      </c>
    </row>
    <row r="170">
      <c r="A170" s="17" t="n">
        <v>46007</v>
      </c>
      <c r="B170" t="n">
        <v>116301</v>
      </c>
      <c r="C170" t="n">
        <v>44</v>
      </c>
      <c r="D170" t="n">
        <v>8</v>
      </c>
      <c r="E170" t="n">
        <v>3</v>
      </c>
      <c r="F170" t="n">
        <v>0</v>
      </c>
      <c r="G170" t="n">
        <v>0</v>
      </c>
      <c r="H170" t="n">
        <v>920000</v>
      </c>
      <c r="I170" t="n">
        <v>0</v>
      </c>
      <c r="J170" t="n">
        <v>920000</v>
      </c>
    </row>
    <row r="171">
      <c r="A171" s="17" t="n">
        <v>46008</v>
      </c>
      <c r="B171" t="n">
        <v>115050</v>
      </c>
      <c r="C171" t="n">
        <v>40</v>
      </c>
      <c r="D171" t="n">
        <v>9</v>
      </c>
      <c r="E171" t="n">
        <v>4</v>
      </c>
      <c r="F171" t="n">
        <v>2</v>
      </c>
      <c r="G171" t="n">
        <v>300000</v>
      </c>
      <c r="H171" t="n">
        <v>470000</v>
      </c>
      <c r="I171" t="n">
        <v>0</v>
      </c>
      <c r="J171" t="n">
        <v>470000</v>
      </c>
    </row>
    <row r="172">
      <c r="A172" s="17" t="n">
        <v>46009</v>
      </c>
      <c r="B172" t="n">
        <v>114018</v>
      </c>
      <c r="C172" t="n">
        <v>31</v>
      </c>
      <c r="D172" t="n">
        <v>9</v>
      </c>
      <c r="E172" t="n">
        <v>2</v>
      </c>
      <c r="F172" t="n">
        <v>0</v>
      </c>
      <c r="G172" t="n">
        <v>0</v>
      </c>
      <c r="H172" t="n">
        <v>170000</v>
      </c>
      <c r="I172" t="n">
        <v>0</v>
      </c>
      <c r="J172" t="n">
        <v>170000</v>
      </c>
    </row>
    <row r="173">
      <c r="A173" s="17" t="n">
        <v>46010</v>
      </c>
      <c r="B173" t="n">
        <v>113386</v>
      </c>
      <c r="C173" t="n">
        <v>25</v>
      </c>
      <c r="D173" t="n">
        <v>14</v>
      </c>
      <c r="E173" t="n">
        <v>8</v>
      </c>
      <c r="F173" t="n">
        <v>2</v>
      </c>
      <c r="G173" t="n">
        <v>1980000</v>
      </c>
      <c r="H173" t="n">
        <v>0</v>
      </c>
      <c r="I173" t="n">
        <v>1500000</v>
      </c>
      <c r="J173" t="n">
        <v>-1500000</v>
      </c>
    </row>
    <row r="174">
      <c r="A174" s="17" t="n">
        <v>46011</v>
      </c>
      <c r="B174" t="n">
        <v>117181</v>
      </c>
      <c r="C174" t="n">
        <v>6</v>
      </c>
      <c r="D174" t="n">
        <v>8</v>
      </c>
      <c r="E174" t="n">
        <v>4</v>
      </c>
      <c r="F174" t="n">
        <v>1</v>
      </c>
      <c r="G174" t="n">
        <v>480000</v>
      </c>
      <c r="H174" t="n">
        <v>2150000</v>
      </c>
      <c r="I174" t="n">
        <v>0</v>
      </c>
      <c r="J174" t="n">
        <v>2150000</v>
      </c>
    </row>
    <row r="175">
      <c r="A175" s="17" t="n">
        <v>46012</v>
      </c>
      <c r="B175" t="n">
        <v>112412</v>
      </c>
      <c r="C175" t="n">
        <v>15</v>
      </c>
      <c r="D175" t="n">
        <v>4</v>
      </c>
      <c r="E175" t="n">
        <v>5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</row>
    <row r="176">
      <c r="A176" s="17" t="n">
        <v>46013</v>
      </c>
      <c r="B176" t="n">
        <v>109218</v>
      </c>
      <c r="C176" t="n">
        <v>28</v>
      </c>
      <c r="D176" t="n">
        <v>3</v>
      </c>
      <c r="E176" t="n">
        <v>8</v>
      </c>
      <c r="F176" t="n">
        <v>2</v>
      </c>
      <c r="G176" t="n">
        <v>660000</v>
      </c>
      <c r="H176" t="n">
        <v>800000</v>
      </c>
      <c r="I176" t="n">
        <v>0</v>
      </c>
      <c r="J176" t="n">
        <v>800000</v>
      </c>
    </row>
    <row r="177">
      <c r="A177" s="17" t="n">
        <v>46014</v>
      </c>
      <c r="B177" t="n">
        <v>106986</v>
      </c>
      <c r="C177" t="n">
        <v>25</v>
      </c>
      <c r="D177" t="n">
        <v>7</v>
      </c>
      <c r="E177" t="n">
        <v>1</v>
      </c>
      <c r="F177" t="n">
        <v>2</v>
      </c>
      <c r="G177" t="n">
        <v>960000</v>
      </c>
      <c r="H177" t="n">
        <v>480000</v>
      </c>
      <c r="I177" t="n">
        <v>0</v>
      </c>
      <c r="J177" t="n">
        <v>480000</v>
      </c>
    </row>
    <row r="178">
      <c r="A178" s="17" t="n">
        <v>46015</v>
      </c>
      <c r="B178" t="n">
        <v>117649</v>
      </c>
      <c r="C178" t="n">
        <v>22</v>
      </c>
      <c r="D178" t="n">
        <v>8</v>
      </c>
      <c r="E178" t="n">
        <v>1</v>
      </c>
      <c r="F178" t="n">
        <v>3</v>
      </c>
      <c r="G178" t="n">
        <v>2490000</v>
      </c>
      <c r="H178" t="n">
        <v>2460000</v>
      </c>
      <c r="I178" t="n">
        <v>0</v>
      </c>
      <c r="J178" t="n">
        <v>2460000</v>
      </c>
    </row>
    <row r="179">
      <c r="A179" s="17" t="n">
        <v>46016</v>
      </c>
      <c r="B179" t="n">
        <v>114137</v>
      </c>
      <c r="C179" t="n">
        <v>12</v>
      </c>
      <c r="D179" t="n">
        <v>7</v>
      </c>
      <c r="E179" t="n">
        <v>4</v>
      </c>
      <c r="F179" t="n">
        <v>3</v>
      </c>
      <c r="G179" t="n">
        <v>1170000</v>
      </c>
      <c r="H179" t="n">
        <v>660000</v>
      </c>
      <c r="I179" t="n">
        <v>0</v>
      </c>
      <c r="J179" t="n">
        <v>660000</v>
      </c>
    </row>
    <row r="180">
      <c r="A180" s="17" t="n">
        <v>46017</v>
      </c>
      <c r="B180" t="n">
        <v>105773</v>
      </c>
      <c r="C180" t="n">
        <v>18</v>
      </c>
      <c r="D180" t="n">
        <v>6</v>
      </c>
      <c r="E180" t="n">
        <v>1</v>
      </c>
      <c r="F180" t="n">
        <v>0</v>
      </c>
      <c r="G180" t="n">
        <v>0</v>
      </c>
      <c r="H180" t="n">
        <v>170000</v>
      </c>
      <c r="I180" t="n">
        <v>0</v>
      </c>
      <c r="J180" t="n">
        <v>170000</v>
      </c>
    </row>
    <row r="181">
      <c r="A181" s="17" t="n">
        <v>46018</v>
      </c>
      <c r="B181" t="n">
        <v>116666</v>
      </c>
      <c r="C181" t="n">
        <v>15</v>
      </c>
      <c r="D181" t="n">
        <v>4</v>
      </c>
      <c r="E181" t="n">
        <v>5</v>
      </c>
      <c r="F181" t="n">
        <v>2</v>
      </c>
      <c r="G181" t="n">
        <v>3000000</v>
      </c>
      <c r="H181" t="n">
        <v>750000</v>
      </c>
      <c r="I181" t="n">
        <v>0</v>
      </c>
      <c r="J181" t="n">
        <v>750000</v>
      </c>
    </row>
    <row r="182">
      <c r="A182" s="17" t="n">
        <v>46019</v>
      </c>
      <c r="B182" t="n">
        <v>115046</v>
      </c>
      <c r="C182" t="n">
        <v>20</v>
      </c>
      <c r="D182" t="n">
        <v>1</v>
      </c>
      <c r="E182" t="n">
        <v>3</v>
      </c>
      <c r="F182" t="n">
        <v>1</v>
      </c>
      <c r="G182" t="n">
        <v>480000</v>
      </c>
      <c r="H182" t="n">
        <v>2320000</v>
      </c>
      <c r="I182" t="n">
        <v>0</v>
      </c>
      <c r="J182" t="n">
        <v>2320000</v>
      </c>
    </row>
    <row r="183">
      <c r="A183" s="17" t="n">
        <v>46020</v>
      </c>
      <c r="B183" t="n">
        <v>116903</v>
      </c>
      <c r="C183" t="n">
        <v>16</v>
      </c>
      <c r="D183" t="n">
        <v>6</v>
      </c>
      <c r="E183" t="n">
        <v>2</v>
      </c>
      <c r="F183" t="n">
        <v>1</v>
      </c>
      <c r="G183" t="n">
        <v>150000</v>
      </c>
      <c r="H183" t="n">
        <v>1070000</v>
      </c>
      <c r="I183" t="n">
        <v>1500000</v>
      </c>
      <c r="J183" t="n">
        <v>-430000</v>
      </c>
    </row>
    <row r="184">
      <c r="A184" s="17" t="n">
        <v>46021</v>
      </c>
      <c r="B184" t="n">
        <v>110397</v>
      </c>
      <c r="C184" t="n">
        <v>27</v>
      </c>
      <c r="D184" t="n">
        <v>6</v>
      </c>
      <c r="E184" t="n">
        <v>2</v>
      </c>
      <c r="F184" t="n">
        <v>2</v>
      </c>
      <c r="G184" t="n">
        <v>3000000</v>
      </c>
      <c r="H184" t="n">
        <v>0</v>
      </c>
      <c r="I184" t="n">
        <v>0</v>
      </c>
      <c r="J184" t="n">
        <v>0</v>
      </c>
    </row>
    <row r="185">
      <c r="A185" s="17" t="n">
        <v>46022</v>
      </c>
      <c r="B185" t="n">
        <v>110137</v>
      </c>
      <c r="C185" t="n">
        <v>26</v>
      </c>
      <c r="D185" t="n">
        <v>7</v>
      </c>
      <c r="E185" t="n">
        <v>0</v>
      </c>
      <c r="F185" t="n">
        <v>0</v>
      </c>
      <c r="G185" t="n">
        <v>0</v>
      </c>
      <c r="H185" t="n">
        <v>3000000</v>
      </c>
      <c r="I185" t="n">
        <v>0</v>
      </c>
      <c r="J185" t="n">
        <v>3000000</v>
      </c>
    </row>
    <row r="186">
      <c r="A186" s="17" t="n">
        <v>46023</v>
      </c>
      <c r="B186" t="n">
        <v>108616</v>
      </c>
      <c r="C186" t="n">
        <v>21</v>
      </c>
      <c r="D186" t="n">
        <v>8</v>
      </c>
      <c r="E186" t="n">
        <v>2</v>
      </c>
      <c r="F186" t="n">
        <v>0</v>
      </c>
      <c r="G186" t="n">
        <v>0</v>
      </c>
      <c r="H186" t="n">
        <v>170000</v>
      </c>
      <c r="I186" t="n">
        <v>0</v>
      </c>
      <c r="J186" t="n">
        <v>170000</v>
      </c>
    </row>
    <row r="187">
      <c r="A187" s="17" t="n">
        <v>46024</v>
      </c>
      <c r="B187" t="n">
        <v>113065</v>
      </c>
      <c r="C187" t="n">
        <v>16</v>
      </c>
      <c r="D187" t="n">
        <v>7</v>
      </c>
      <c r="E187" t="n">
        <v>4</v>
      </c>
      <c r="F187" t="n">
        <v>1</v>
      </c>
      <c r="G187" t="n">
        <v>480000</v>
      </c>
      <c r="H187" t="n">
        <v>0</v>
      </c>
      <c r="I187" t="n">
        <v>0</v>
      </c>
      <c r="J187" t="n">
        <v>0</v>
      </c>
    </row>
    <row r="188">
      <c r="A188" s="17" t="n">
        <v>46025</v>
      </c>
      <c r="B188" t="n">
        <v>116284</v>
      </c>
      <c r="C188" t="n">
        <v>22</v>
      </c>
      <c r="D188" t="n">
        <v>10</v>
      </c>
      <c r="E188" t="n">
        <v>3</v>
      </c>
      <c r="F188" t="n">
        <v>3</v>
      </c>
      <c r="G188" t="n">
        <v>780000</v>
      </c>
      <c r="H188" t="n">
        <v>950000</v>
      </c>
      <c r="I188" t="n">
        <v>0</v>
      </c>
      <c r="J188" t="n">
        <v>950000</v>
      </c>
    </row>
    <row r="189">
      <c r="A189" s="17" t="n">
        <v>46026</v>
      </c>
      <c r="B189" t="n">
        <v>116716</v>
      </c>
      <c r="C189" t="n">
        <v>24</v>
      </c>
      <c r="D189" t="n">
        <v>6</v>
      </c>
      <c r="E189" t="n">
        <v>3</v>
      </c>
      <c r="F189" t="n">
        <v>2</v>
      </c>
      <c r="G189" t="n">
        <v>1650000</v>
      </c>
      <c r="H189" t="n">
        <v>630000</v>
      </c>
      <c r="I189" t="n">
        <v>0</v>
      </c>
      <c r="J189" t="n">
        <v>630000</v>
      </c>
    </row>
    <row r="190">
      <c r="A190" s="17" t="n">
        <v>46027</v>
      </c>
      <c r="B190" t="n">
        <v>113068</v>
      </c>
      <c r="C190" t="n">
        <v>42</v>
      </c>
      <c r="D190" t="n">
        <v>9</v>
      </c>
      <c r="E190" t="n">
        <v>1</v>
      </c>
      <c r="F190" t="n">
        <v>1</v>
      </c>
      <c r="G190" t="n">
        <v>1500000</v>
      </c>
      <c r="H190" t="n">
        <v>2250000</v>
      </c>
      <c r="I190" t="n">
        <v>0</v>
      </c>
      <c r="J190" t="n">
        <v>2250000</v>
      </c>
    </row>
    <row r="191">
      <c r="A191" s="17" t="n">
        <v>46028</v>
      </c>
      <c r="B191" t="n">
        <v>113729</v>
      </c>
      <c r="C191" t="n">
        <v>50</v>
      </c>
      <c r="D191" t="n">
        <v>8</v>
      </c>
      <c r="E191" t="n">
        <v>4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</row>
    <row r="192">
      <c r="A192" s="17" t="n">
        <v>46029</v>
      </c>
      <c r="B192" t="n">
        <v>110622</v>
      </c>
      <c r="C192" t="n">
        <v>32</v>
      </c>
      <c r="D192" t="n">
        <v>10</v>
      </c>
      <c r="E192" t="n">
        <v>6</v>
      </c>
      <c r="F192" t="n">
        <v>1</v>
      </c>
      <c r="G192" t="n">
        <v>510000</v>
      </c>
      <c r="H192" t="n">
        <v>0</v>
      </c>
      <c r="I192" t="n">
        <v>0</v>
      </c>
      <c r="J192" t="n">
        <v>0</v>
      </c>
    </row>
    <row r="193">
      <c r="A193" s="17" t="n">
        <v>46030</v>
      </c>
      <c r="B193" t="n">
        <v>117330</v>
      </c>
      <c r="C193" t="n">
        <v>61</v>
      </c>
      <c r="D193" t="n">
        <v>8</v>
      </c>
      <c r="E193" t="n">
        <v>1</v>
      </c>
      <c r="F193" t="n">
        <v>1</v>
      </c>
      <c r="G193" t="n">
        <v>480000</v>
      </c>
      <c r="H193" t="n">
        <v>340000</v>
      </c>
      <c r="I193" t="n">
        <v>0</v>
      </c>
      <c r="J193" t="n">
        <v>340000</v>
      </c>
    </row>
    <row r="194">
      <c r="A194" s="17" t="n">
        <v>46031</v>
      </c>
      <c r="B194" t="n">
        <v>112222</v>
      </c>
      <c r="C194" t="n">
        <v>34</v>
      </c>
      <c r="D194" t="n">
        <v>17</v>
      </c>
      <c r="E194" t="n">
        <v>3</v>
      </c>
      <c r="F194" t="n">
        <v>0</v>
      </c>
      <c r="G194" t="n">
        <v>0</v>
      </c>
      <c r="H194" t="n">
        <v>650000</v>
      </c>
      <c r="I194" t="n">
        <v>0</v>
      </c>
      <c r="J194" t="n">
        <v>650000</v>
      </c>
    </row>
    <row r="195">
      <c r="A195" s="17" t="n">
        <v>46032</v>
      </c>
      <c r="B195" t="n">
        <v>112131</v>
      </c>
      <c r="C195" t="n">
        <v>24</v>
      </c>
      <c r="D195" t="n">
        <v>12</v>
      </c>
      <c r="E195" t="n">
        <v>5</v>
      </c>
      <c r="F195" t="n">
        <v>1</v>
      </c>
      <c r="G195" t="n">
        <v>510000</v>
      </c>
      <c r="H195" t="n">
        <v>510000</v>
      </c>
      <c r="I195" t="n">
        <v>480000</v>
      </c>
      <c r="J195" t="n">
        <v>30000</v>
      </c>
    </row>
    <row r="196">
      <c r="A196" s="17" t="n">
        <v>46033</v>
      </c>
      <c r="B196" t="n">
        <v>116045</v>
      </c>
      <c r="C196" t="n">
        <v>26</v>
      </c>
      <c r="D196" t="n">
        <v>8</v>
      </c>
      <c r="E196" t="n">
        <v>7</v>
      </c>
      <c r="F196" t="n">
        <v>2</v>
      </c>
      <c r="G196" t="n">
        <v>960000</v>
      </c>
      <c r="H196" t="n">
        <v>650000</v>
      </c>
      <c r="I196" t="n">
        <v>0</v>
      </c>
      <c r="J196" t="n">
        <v>650000</v>
      </c>
    </row>
    <row r="197">
      <c r="A197" s="17" t="n">
        <v>46034</v>
      </c>
      <c r="B197" t="n">
        <v>112695</v>
      </c>
      <c r="C197" t="n">
        <v>26</v>
      </c>
      <c r="D197" t="n">
        <v>9</v>
      </c>
      <c r="E197" t="n">
        <v>5</v>
      </c>
      <c r="F197" t="n">
        <v>0</v>
      </c>
      <c r="G197" t="n">
        <v>0</v>
      </c>
      <c r="H197" t="n">
        <v>820000</v>
      </c>
      <c r="I197" t="n">
        <v>0</v>
      </c>
      <c r="J197" t="n">
        <v>820000</v>
      </c>
    </row>
    <row r="198">
      <c r="A198" s="17" t="n">
        <v>46035</v>
      </c>
      <c r="B198" t="n">
        <v>115338</v>
      </c>
      <c r="C198" t="n">
        <v>37</v>
      </c>
      <c r="D198" t="n">
        <v>9</v>
      </c>
      <c r="E198" t="n">
        <v>4</v>
      </c>
      <c r="F198" t="n">
        <v>0</v>
      </c>
      <c r="G198" t="n">
        <v>0</v>
      </c>
      <c r="H198" t="n">
        <v>340000</v>
      </c>
      <c r="I198" t="n">
        <v>0</v>
      </c>
      <c r="J198" t="n">
        <v>340000</v>
      </c>
    </row>
    <row r="199">
      <c r="A199" s="17" t="n">
        <v>46036</v>
      </c>
      <c r="B199" t="n">
        <v>116694</v>
      </c>
      <c r="C199" t="n">
        <v>33</v>
      </c>
      <c r="D199" t="n">
        <v>7</v>
      </c>
      <c r="E199" t="n">
        <v>5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</row>
    <row r="200">
      <c r="A200" s="17" t="n">
        <v>46037</v>
      </c>
      <c r="B200" t="n">
        <v>108081</v>
      </c>
      <c r="C200" t="n">
        <v>35</v>
      </c>
      <c r="D200" t="n">
        <v>6</v>
      </c>
      <c r="E200" t="n">
        <v>5</v>
      </c>
      <c r="F200" t="n">
        <v>1</v>
      </c>
      <c r="G200" t="n">
        <v>150000</v>
      </c>
      <c r="H200" t="n">
        <v>320000</v>
      </c>
      <c r="I200" t="n">
        <v>0</v>
      </c>
      <c r="J200" t="n">
        <v>320000</v>
      </c>
    </row>
    <row r="201">
      <c r="A201" s="17" t="n">
        <v>46038</v>
      </c>
      <c r="B201" t="n">
        <v>113905</v>
      </c>
      <c r="C201" t="n">
        <v>33</v>
      </c>
      <c r="D201" t="n">
        <v>9</v>
      </c>
      <c r="E201" t="n">
        <v>1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</row>
    <row r="202">
      <c r="A202" s="17" t="n">
        <v>46039</v>
      </c>
      <c r="B202" t="n">
        <v>113159</v>
      </c>
      <c r="C202" t="n">
        <v>21</v>
      </c>
      <c r="D202" t="n">
        <v>5</v>
      </c>
      <c r="E202" t="n">
        <v>8</v>
      </c>
      <c r="F202" t="n">
        <v>1</v>
      </c>
      <c r="G202" t="n">
        <v>150000</v>
      </c>
      <c r="H202" t="n">
        <v>320000</v>
      </c>
      <c r="I202" t="n">
        <v>0</v>
      </c>
      <c r="J202" t="n">
        <v>320000</v>
      </c>
    </row>
    <row r="203">
      <c r="A203" s="17" t="n">
        <v>46040</v>
      </c>
      <c r="B203" t="n">
        <v>110796</v>
      </c>
      <c r="C203" t="n">
        <v>23</v>
      </c>
      <c r="D203" t="n">
        <v>9</v>
      </c>
      <c r="E203" t="n">
        <v>3</v>
      </c>
      <c r="F203" t="n">
        <v>2</v>
      </c>
      <c r="G203" t="n">
        <v>660000</v>
      </c>
      <c r="H203" t="n">
        <v>320000</v>
      </c>
      <c r="I203" t="n">
        <v>0</v>
      </c>
      <c r="J203" t="n">
        <v>320000</v>
      </c>
    </row>
    <row r="204">
      <c r="A204" s="17" t="n">
        <v>46041</v>
      </c>
      <c r="B204" t="n">
        <v>109236</v>
      </c>
      <c r="C204" t="n">
        <v>35</v>
      </c>
      <c r="D204" t="n">
        <v>7</v>
      </c>
      <c r="E204" t="n">
        <v>4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</row>
    <row r="205">
      <c r="A205" s="17" t="n">
        <v>46042</v>
      </c>
      <c r="B205" t="n">
        <v>113736</v>
      </c>
      <c r="C205" t="n">
        <v>52</v>
      </c>
      <c r="D205" t="n">
        <v>10</v>
      </c>
      <c r="E205" t="n">
        <v>5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</row>
    <row r="206">
      <c r="A206" s="17" t="n">
        <v>46043</v>
      </c>
      <c r="B206" t="n">
        <v>114123</v>
      </c>
      <c r="C206" t="n">
        <v>39</v>
      </c>
      <c r="D206" t="n">
        <v>14</v>
      </c>
      <c r="E206" t="n">
        <v>3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</row>
    <row r="207">
      <c r="A207" s="17" t="n">
        <v>46044</v>
      </c>
      <c r="B207" t="n">
        <v>113301</v>
      </c>
      <c r="C207" t="n">
        <v>30</v>
      </c>
      <c r="D207" t="n">
        <v>11</v>
      </c>
      <c r="E207" t="n">
        <v>5</v>
      </c>
      <c r="F207" t="n">
        <v>1</v>
      </c>
      <c r="G207" t="n">
        <v>480000</v>
      </c>
      <c r="H207" t="n">
        <v>0</v>
      </c>
      <c r="I207" t="n">
        <v>0</v>
      </c>
      <c r="J207" t="n">
        <v>0</v>
      </c>
    </row>
    <row r="208">
      <c r="A208" s="17" t="n">
        <v>46045</v>
      </c>
      <c r="B208" t="n">
        <v>113321</v>
      </c>
      <c r="C208" t="n">
        <v>33</v>
      </c>
      <c r="D208" t="n">
        <v>17</v>
      </c>
      <c r="E208" t="n">
        <v>2</v>
      </c>
      <c r="F208" t="n">
        <v>1</v>
      </c>
      <c r="G208" t="n">
        <v>480000</v>
      </c>
      <c r="H208" t="n">
        <v>480000</v>
      </c>
      <c r="I208" t="n">
        <v>0</v>
      </c>
      <c r="J208" t="n">
        <v>480000</v>
      </c>
    </row>
    <row r="209">
      <c r="A209" s="17" t="n">
        <v>46046</v>
      </c>
      <c r="B209" t="n">
        <v>109234</v>
      </c>
      <c r="C209" t="n">
        <v>18</v>
      </c>
      <c r="D209" t="n">
        <v>7</v>
      </c>
      <c r="E209" t="n">
        <v>7</v>
      </c>
      <c r="F209" t="n">
        <v>1</v>
      </c>
      <c r="G209" t="n">
        <v>510000</v>
      </c>
      <c r="H209" t="n">
        <v>170000</v>
      </c>
      <c r="I209" t="n">
        <v>0</v>
      </c>
      <c r="J209" t="n">
        <v>170000</v>
      </c>
    </row>
    <row r="210">
      <c r="A210" s="17" t="n">
        <v>46047</v>
      </c>
      <c r="B210" t="n">
        <v>109091</v>
      </c>
      <c r="C210" t="n">
        <v>20</v>
      </c>
      <c r="D210" t="n">
        <v>12</v>
      </c>
      <c r="E210" t="n">
        <v>1</v>
      </c>
      <c r="F210" t="n">
        <v>1</v>
      </c>
      <c r="G210" t="n">
        <v>1500000</v>
      </c>
      <c r="H210" t="n">
        <v>2320000</v>
      </c>
      <c r="I210" t="n">
        <v>0</v>
      </c>
      <c r="J210" t="n">
        <v>2320000</v>
      </c>
    </row>
    <row r="211">
      <c r="A211" s="17" t="n">
        <v>46048</v>
      </c>
      <c r="B211" t="n">
        <v>108644</v>
      </c>
      <c r="C211" t="n">
        <v>33</v>
      </c>
      <c r="D211" t="n">
        <v>8</v>
      </c>
      <c r="E211" t="n">
        <v>5</v>
      </c>
      <c r="F211" t="n">
        <v>0</v>
      </c>
      <c r="G211" t="n">
        <v>0</v>
      </c>
      <c r="H211" t="n">
        <v>750000</v>
      </c>
      <c r="I211" t="n">
        <v>0</v>
      </c>
      <c r="J211" t="n">
        <v>750000</v>
      </c>
    </row>
    <row r="212">
      <c r="A212" s="17" t="n">
        <v>46049</v>
      </c>
      <c r="B212" t="n">
        <v>110229</v>
      </c>
      <c r="C212" t="n">
        <v>45</v>
      </c>
      <c r="D212" t="n">
        <v>3</v>
      </c>
      <c r="E212" t="n">
        <v>2</v>
      </c>
      <c r="F212" t="n">
        <v>1</v>
      </c>
      <c r="G212" t="n">
        <v>480000</v>
      </c>
      <c r="H212" t="n">
        <v>480000</v>
      </c>
      <c r="I212" t="n">
        <v>0</v>
      </c>
      <c r="J212" t="n">
        <v>480000</v>
      </c>
    </row>
    <row r="213">
      <c r="A213" s="17" t="n">
        <v>46050</v>
      </c>
      <c r="B213" t="n">
        <v>110134</v>
      </c>
      <c r="C213" t="n">
        <v>45</v>
      </c>
      <c r="D213" t="n">
        <v>13</v>
      </c>
      <c r="E213" t="n">
        <v>2</v>
      </c>
      <c r="F213" t="n">
        <v>2</v>
      </c>
      <c r="G213" t="n">
        <v>990000</v>
      </c>
      <c r="H213" t="n">
        <v>480000</v>
      </c>
      <c r="I213" t="n">
        <v>0</v>
      </c>
      <c r="J213" t="n">
        <v>480000</v>
      </c>
    </row>
    <row r="214">
      <c r="A214" s="17" t="n">
        <v>46051</v>
      </c>
      <c r="B214" t="n">
        <v>110663</v>
      </c>
      <c r="C214" t="n">
        <v>31</v>
      </c>
      <c r="D214" t="n">
        <v>11</v>
      </c>
      <c r="E214" t="n">
        <v>2</v>
      </c>
      <c r="F214" t="n">
        <v>2</v>
      </c>
      <c r="G214" t="n">
        <v>1650000</v>
      </c>
      <c r="H214" t="n">
        <v>150000</v>
      </c>
      <c r="I214" t="n">
        <v>0</v>
      </c>
      <c r="J214" t="n">
        <v>150000</v>
      </c>
    </row>
    <row r="215">
      <c r="A215" s="17" t="n">
        <v>46052</v>
      </c>
      <c r="B215" t="n">
        <v>111910</v>
      </c>
      <c r="C215" t="n">
        <v>29</v>
      </c>
      <c r="D215" t="n">
        <v>10</v>
      </c>
      <c r="E215" t="n">
        <v>4</v>
      </c>
      <c r="F215" t="n">
        <v>1</v>
      </c>
      <c r="G215" t="n">
        <v>510000</v>
      </c>
      <c r="H215" t="n">
        <v>920000</v>
      </c>
      <c r="I215" t="n">
        <v>0</v>
      </c>
      <c r="J215" t="n">
        <v>920000</v>
      </c>
    </row>
    <row r="216">
      <c r="A216" s="17" t="n">
        <v>46053</v>
      </c>
      <c r="B216" t="n">
        <v>112199</v>
      </c>
      <c r="C216" t="n">
        <v>25</v>
      </c>
      <c r="D216" t="n">
        <v>5</v>
      </c>
      <c r="E216" t="n">
        <v>5</v>
      </c>
      <c r="F216" t="n">
        <v>0</v>
      </c>
      <c r="G216" t="n">
        <v>0</v>
      </c>
      <c r="H216" t="n">
        <v>340000</v>
      </c>
      <c r="I216" t="n">
        <v>0</v>
      </c>
      <c r="J216" t="n">
        <v>340000</v>
      </c>
    </row>
    <row r="217">
      <c r="A217" s="17" t="n">
        <v>46054</v>
      </c>
      <c r="B217" t="n">
        <v>102153</v>
      </c>
      <c r="C217" t="n">
        <v>24</v>
      </c>
      <c r="D217" t="n">
        <v>12</v>
      </c>
      <c r="E217" t="n">
        <v>8</v>
      </c>
      <c r="F217" t="n">
        <v>1</v>
      </c>
      <c r="G217" t="n">
        <v>510000</v>
      </c>
      <c r="H217" t="n">
        <v>0</v>
      </c>
      <c r="I217" t="n">
        <v>0</v>
      </c>
      <c r="J217" t="n">
        <v>0</v>
      </c>
    </row>
    <row r="218">
      <c r="A218" s="17" t="n">
        <v>46055</v>
      </c>
      <c r="B218" t="n">
        <v>103272</v>
      </c>
      <c r="C218" t="n">
        <v>41</v>
      </c>
      <c r="D218" t="n">
        <v>3</v>
      </c>
      <c r="E218" t="n">
        <v>5</v>
      </c>
      <c r="F218" t="n">
        <v>2</v>
      </c>
      <c r="G218" t="n">
        <v>990000</v>
      </c>
      <c r="H218" t="n">
        <v>820000</v>
      </c>
      <c r="I218" t="n">
        <v>0</v>
      </c>
      <c r="J218" t="n">
        <v>820000</v>
      </c>
    </row>
    <row r="219">
      <c r="A219" s="17" t="n">
        <v>46056</v>
      </c>
      <c r="B219" t="n">
        <v>110982</v>
      </c>
      <c r="C219" t="n">
        <v>46</v>
      </c>
      <c r="D219" t="n">
        <v>10</v>
      </c>
      <c r="E219" t="n">
        <v>3</v>
      </c>
      <c r="F219" t="n">
        <v>2</v>
      </c>
      <c r="G219" t="n">
        <v>300000</v>
      </c>
      <c r="H219" t="n">
        <v>300000</v>
      </c>
      <c r="I219" t="n">
        <v>0</v>
      </c>
      <c r="J219" t="n">
        <v>300000</v>
      </c>
    </row>
    <row r="220">
      <c r="A220" s="17" t="n">
        <v>46057</v>
      </c>
      <c r="B220" t="n">
        <v>110228</v>
      </c>
      <c r="C220" t="n">
        <v>30</v>
      </c>
      <c r="D220" t="n">
        <v>11</v>
      </c>
      <c r="E220" t="n">
        <v>3</v>
      </c>
      <c r="F220" t="n">
        <v>2</v>
      </c>
      <c r="G220" t="n">
        <v>300000</v>
      </c>
      <c r="H220" t="n">
        <v>1220000</v>
      </c>
      <c r="I220" t="n">
        <v>0</v>
      </c>
      <c r="J220" t="n">
        <v>1220000</v>
      </c>
    </row>
    <row r="221">
      <c r="A221" s="17" t="n">
        <v>46058</v>
      </c>
      <c r="B221" t="n">
        <v>109264</v>
      </c>
      <c r="C221" t="n">
        <v>28</v>
      </c>
      <c r="D221" t="n">
        <v>14</v>
      </c>
      <c r="E221" t="n">
        <v>5</v>
      </c>
      <c r="F221" t="n">
        <v>1</v>
      </c>
      <c r="G221" t="n">
        <v>510000</v>
      </c>
      <c r="H221" t="n">
        <v>0</v>
      </c>
      <c r="I221" t="n">
        <v>0</v>
      </c>
      <c r="J221" t="n">
        <v>0</v>
      </c>
    </row>
    <row r="222">
      <c r="A222" s="17" t="n">
        <v>46059</v>
      </c>
      <c r="B222" t="n">
        <v>105827</v>
      </c>
      <c r="C222" t="n">
        <v>23</v>
      </c>
      <c r="D222" t="n">
        <v>11</v>
      </c>
      <c r="E222" t="n">
        <v>5</v>
      </c>
      <c r="F222" t="n">
        <v>1</v>
      </c>
      <c r="G222" t="n">
        <v>480000</v>
      </c>
      <c r="H222" t="n">
        <v>170000</v>
      </c>
      <c r="I222" t="n">
        <v>0</v>
      </c>
      <c r="J222" t="n">
        <v>170000</v>
      </c>
    </row>
    <row r="223">
      <c r="A223" s="17" t="n">
        <v>46060</v>
      </c>
      <c r="B223" t="n">
        <v>118599</v>
      </c>
      <c r="C223" t="n">
        <v>23</v>
      </c>
      <c r="D223" t="n">
        <v>4</v>
      </c>
      <c r="E223" t="n">
        <v>4</v>
      </c>
      <c r="F223" t="n">
        <v>1</v>
      </c>
      <c r="G223" t="n">
        <v>150000</v>
      </c>
      <c r="H223" t="n">
        <v>320000</v>
      </c>
      <c r="I223" t="n">
        <v>0</v>
      </c>
      <c r="J223" t="n">
        <v>320000</v>
      </c>
    </row>
    <row r="224">
      <c r="A224" s="17" t="n">
        <v>46061</v>
      </c>
      <c r="B224" t="n">
        <v>112017</v>
      </c>
      <c r="C224" t="n">
        <v>29</v>
      </c>
      <c r="D224" t="n">
        <v>9</v>
      </c>
      <c r="E224" t="n">
        <v>2</v>
      </c>
      <c r="F224" t="n">
        <v>1</v>
      </c>
      <c r="G224" t="n">
        <v>150000</v>
      </c>
      <c r="H224" t="n">
        <v>630000</v>
      </c>
      <c r="I224" t="n">
        <v>0</v>
      </c>
      <c r="J224" t="n">
        <v>630000</v>
      </c>
    </row>
    <row r="225">
      <c r="A225" s="17" t="n">
        <v>46062</v>
      </c>
      <c r="B225" t="n">
        <v>111994</v>
      </c>
      <c r="C225" t="n">
        <v>31</v>
      </c>
      <c r="D225" t="n">
        <v>6</v>
      </c>
      <c r="E225" t="n">
        <v>1</v>
      </c>
      <c r="F225" t="n">
        <v>1</v>
      </c>
      <c r="G225" t="n">
        <v>150000</v>
      </c>
      <c r="H225" t="n">
        <v>150000</v>
      </c>
      <c r="I225" t="n">
        <v>0</v>
      </c>
      <c r="J225" t="n">
        <v>150000</v>
      </c>
    </row>
    <row r="226">
      <c r="A226" s="17" t="n">
        <v>46063</v>
      </c>
      <c r="B226" t="n">
        <v>113111</v>
      </c>
      <c r="C226" t="n">
        <v>33</v>
      </c>
      <c r="D226" t="n">
        <v>9</v>
      </c>
      <c r="E226" t="n">
        <v>4</v>
      </c>
      <c r="F226" t="n">
        <v>0</v>
      </c>
      <c r="G226" t="n">
        <v>0</v>
      </c>
      <c r="H226" t="n">
        <v>170000</v>
      </c>
      <c r="I226" t="n">
        <v>0</v>
      </c>
      <c r="J226" t="n">
        <v>170000</v>
      </c>
    </row>
    <row r="227">
      <c r="A227" s="17" t="n">
        <v>46064</v>
      </c>
      <c r="B227" t="n">
        <v>107832</v>
      </c>
      <c r="C227" t="n">
        <v>25</v>
      </c>
      <c r="D227" t="n">
        <v>13</v>
      </c>
      <c r="E227" t="n">
        <v>6</v>
      </c>
      <c r="F227" t="n">
        <v>0</v>
      </c>
      <c r="G227" t="n">
        <v>0</v>
      </c>
      <c r="H227" t="n">
        <v>170000</v>
      </c>
      <c r="I227" t="n">
        <v>0</v>
      </c>
      <c r="J227" t="n">
        <v>170000</v>
      </c>
    </row>
    <row r="228">
      <c r="A228" s="17" t="n">
        <v>46065</v>
      </c>
      <c r="B228" t="n">
        <v>102629</v>
      </c>
      <c r="C228" t="n">
        <v>40</v>
      </c>
      <c r="D228" t="n">
        <v>10</v>
      </c>
      <c r="E228" t="n">
        <v>4</v>
      </c>
      <c r="F228" t="n">
        <v>1</v>
      </c>
      <c r="G228" t="n">
        <v>480000</v>
      </c>
      <c r="H228" t="n">
        <v>0</v>
      </c>
      <c r="I228" t="n">
        <v>0</v>
      </c>
      <c r="J228" t="n">
        <v>0</v>
      </c>
    </row>
    <row r="229">
      <c r="A229" s="17" t="n">
        <v>46066</v>
      </c>
      <c r="B229" t="n">
        <v>109771</v>
      </c>
      <c r="C229" t="n">
        <v>31</v>
      </c>
      <c r="D229" t="n">
        <v>7</v>
      </c>
      <c r="E229" t="n">
        <v>3</v>
      </c>
      <c r="F229" t="n">
        <v>0</v>
      </c>
      <c r="G229" t="n">
        <v>0</v>
      </c>
      <c r="H229" t="n">
        <v>480000</v>
      </c>
      <c r="I229" t="n">
        <v>0</v>
      </c>
      <c r="J229" t="n">
        <v>480000</v>
      </c>
    </row>
    <row r="230">
      <c r="A230" s="17" t="n">
        <v>46067</v>
      </c>
      <c r="B230" t="n">
        <v>113000</v>
      </c>
      <c r="C230" t="n">
        <v>26</v>
      </c>
      <c r="D230" t="n">
        <v>12</v>
      </c>
      <c r="E230" t="n">
        <v>3</v>
      </c>
      <c r="F230" t="n">
        <v>0</v>
      </c>
      <c r="G230" t="n">
        <v>0</v>
      </c>
      <c r="H230" t="n">
        <v>170000</v>
      </c>
      <c r="I230" t="n">
        <v>0</v>
      </c>
      <c r="J230" t="n">
        <v>170000</v>
      </c>
    </row>
    <row r="231">
      <c r="A231" s="17" t="n">
        <v>46068</v>
      </c>
      <c r="B231" t="n">
        <v>111041</v>
      </c>
      <c r="C231" t="n">
        <v>17</v>
      </c>
      <c r="D231" t="n">
        <v>14</v>
      </c>
      <c r="E231" t="n">
        <v>6</v>
      </c>
      <c r="F231" t="n">
        <v>1</v>
      </c>
      <c r="G231" t="n">
        <v>480000</v>
      </c>
      <c r="H231" t="n">
        <v>480000</v>
      </c>
      <c r="I231" t="n">
        <v>0</v>
      </c>
      <c r="J231" t="n">
        <v>480000</v>
      </c>
    </row>
    <row r="232">
      <c r="A232" s="17" t="n">
        <v>46069</v>
      </c>
      <c r="B232" t="n">
        <v>113207</v>
      </c>
      <c r="C232" t="n">
        <v>38</v>
      </c>
      <c r="D232" t="n">
        <v>12</v>
      </c>
      <c r="E232" t="n">
        <v>4</v>
      </c>
      <c r="F232" t="n">
        <v>1</v>
      </c>
      <c r="G232" t="n">
        <v>480000</v>
      </c>
      <c r="H232" t="n">
        <v>480000</v>
      </c>
      <c r="I232" t="n">
        <v>0</v>
      </c>
      <c r="J232" t="n">
        <v>480000</v>
      </c>
    </row>
    <row r="233">
      <c r="A233" s="17" t="n">
        <v>46070</v>
      </c>
      <c r="B233" t="n">
        <v>108698</v>
      </c>
      <c r="C233" t="n">
        <v>36</v>
      </c>
      <c r="D233" t="n">
        <v>8</v>
      </c>
      <c r="E233" t="n">
        <v>8</v>
      </c>
      <c r="F233" t="n">
        <v>0</v>
      </c>
      <c r="G233" t="n">
        <v>0</v>
      </c>
      <c r="H233" t="n">
        <v>170000</v>
      </c>
      <c r="I233" t="n">
        <v>0</v>
      </c>
      <c r="J233" t="n">
        <v>170000</v>
      </c>
    </row>
    <row r="234">
      <c r="A234" s="17" t="n">
        <v>46071</v>
      </c>
      <c r="B234" t="n">
        <v>109146</v>
      </c>
      <c r="C234" t="n">
        <v>27</v>
      </c>
      <c r="D234" t="n">
        <v>13</v>
      </c>
      <c r="E234" t="n">
        <v>7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</row>
    <row r="235">
      <c r="A235" s="17" t="n">
        <v>46072</v>
      </c>
      <c r="B235" t="n">
        <v>107756</v>
      </c>
      <c r="C235" t="n">
        <v>18</v>
      </c>
      <c r="D235" t="n">
        <v>5</v>
      </c>
      <c r="E235" t="n">
        <v>5</v>
      </c>
      <c r="F235" t="n">
        <v>1</v>
      </c>
      <c r="G235" t="n">
        <v>150000</v>
      </c>
      <c r="H235" t="n">
        <v>150000</v>
      </c>
      <c r="I235" t="n">
        <v>0</v>
      </c>
      <c r="J235" t="n">
        <v>150000</v>
      </c>
    </row>
    <row r="236">
      <c r="A236" s="17" t="n">
        <v>46073</v>
      </c>
      <c r="B236" t="n">
        <v>105164</v>
      </c>
      <c r="C236" t="n">
        <v>24</v>
      </c>
      <c r="D236" t="n">
        <v>9</v>
      </c>
      <c r="E236" t="n">
        <v>2</v>
      </c>
      <c r="F236" t="n">
        <v>1</v>
      </c>
      <c r="G236" t="n">
        <v>150000</v>
      </c>
      <c r="H236" t="n">
        <v>150000</v>
      </c>
      <c r="I236" t="n">
        <v>0</v>
      </c>
      <c r="J236" t="n">
        <v>150000</v>
      </c>
    </row>
    <row r="237">
      <c r="A237" s="17" t="n">
        <v>46074</v>
      </c>
      <c r="B237" t="n">
        <v>104276</v>
      </c>
      <c r="C237" t="n">
        <v>25</v>
      </c>
      <c r="D237" t="n">
        <v>7</v>
      </c>
      <c r="E237" t="n">
        <v>7</v>
      </c>
      <c r="F237" t="n">
        <v>1</v>
      </c>
      <c r="G237" t="n">
        <v>480000</v>
      </c>
      <c r="H237" t="n">
        <v>480000</v>
      </c>
      <c r="I237" t="n">
        <v>0</v>
      </c>
      <c r="J237" t="n">
        <v>480000</v>
      </c>
    </row>
    <row r="238">
      <c r="A238" s="17" t="n">
        <v>46075</v>
      </c>
      <c r="B238" t="n">
        <v>113838</v>
      </c>
      <c r="C238" t="n">
        <v>22</v>
      </c>
      <c r="D238" t="n">
        <v>5</v>
      </c>
      <c r="E238" t="n">
        <v>2</v>
      </c>
      <c r="F238" t="n">
        <v>1</v>
      </c>
      <c r="G238" t="n">
        <v>480000</v>
      </c>
      <c r="H238" t="n">
        <v>0</v>
      </c>
      <c r="I238" t="n">
        <v>0</v>
      </c>
      <c r="J238" t="n">
        <v>0</v>
      </c>
    </row>
    <row r="239">
      <c r="A239" s="17" t="n">
        <v>46076</v>
      </c>
      <c r="B239" t="n">
        <v>105906</v>
      </c>
      <c r="C239" t="n">
        <v>31</v>
      </c>
      <c r="D239" t="n">
        <v>10</v>
      </c>
      <c r="E239" t="n">
        <v>2</v>
      </c>
      <c r="F239" t="n">
        <v>1</v>
      </c>
      <c r="G239" t="n">
        <v>480000</v>
      </c>
      <c r="H239" t="n">
        <v>1130000</v>
      </c>
      <c r="I239" t="n">
        <v>0</v>
      </c>
      <c r="J239" t="n">
        <v>1130000</v>
      </c>
    </row>
    <row r="240">
      <c r="A240" s="17" t="n">
        <v>46077</v>
      </c>
      <c r="B240" t="n">
        <v>113295</v>
      </c>
      <c r="C240" t="n">
        <v>44</v>
      </c>
      <c r="D240" t="n">
        <v>9</v>
      </c>
      <c r="E240" t="n">
        <v>7</v>
      </c>
      <c r="F240" t="n">
        <v>1</v>
      </c>
      <c r="G240" t="n">
        <v>1500000</v>
      </c>
      <c r="H240" t="n">
        <v>340000</v>
      </c>
      <c r="I240" t="n">
        <v>0</v>
      </c>
      <c r="J240" t="n">
        <v>340000</v>
      </c>
    </row>
    <row r="241">
      <c r="A241" s="17" t="n">
        <v>46078</v>
      </c>
      <c r="B241" t="n">
        <v>106663</v>
      </c>
      <c r="C241" t="n">
        <v>37</v>
      </c>
      <c r="D241" t="n">
        <v>9</v>
      </c>
      <c r="E241" t="n">
        <v>5</v>
      </c>
      <c r="F241" t="n">
        <v>2</v>
      </c>
      <c r="G241" t="n">
        <v>990000</v>
      </c>
      <c r="H241" t="n">
        <v>0</v>
      </c>
      <c r="I241" t="n">
        <v>0</v>
      </c>
      <c r="J241" t="n">
        <v>0</v>
      </c>
    </row>
    <row r="242">
      <c r="A242" s="17" t="n">
        <v>46079</v>
      </c>
      <c r="B242" t="n">
        <v>110642</v>
      </c>
      <c r="C242" t="n">
        <v>27</v>
      </c>
      <c r="D242" t="n">
        <v>13</v>
      </c>
      <c r="E242" t="n">
        <v>4</v>
      </c>
      <c r="F242" t="n">
        <v>3</v>
      </c>
      <c r="G242" t="n">
        <v>2460000</v>
      </c>
      <c r="H242" t="n">
        <v>960000</v>
      </c>
      <c r="I242" t="n">
        <v>0</v>
      </c>
      <c r="J242" t="n">
        <v>960000</v>
      </c>
    </row>
    <row r="243">
      <c r="A243" s="17" t="n">
        <v>46080</v>
      </c>
      <c r="B243" t="n">
        <v>110725</v>
      </c>
      <c r="C243" t="n">
        <v>22</v>
      </c>
      <c r="D243" t="n">
        <v>12</v>
      </c>
      <c r="E243" t="n">
        <v>7</v>
      </c>
      <c r="F243" t="n">
        <v>3</v>
      </c>
      <c r="G243" t="n">
        <v>1500000</v>
      </c>
      <c r="H243" t="n">
        <v>2630000</v>
      </c>
      <c r="I243" t="n">
        <v>0</v>
      </c>
      <c r="J243" t="n">
        <v>2630000</v>
      </c>
    </row>
    <row r="244">
      <c r="A244" s="17" t="n">
        <v>46081</v>
      </c>
      <c r="B244" t="n">
        <v>105090</v>
      </c>
      <c r="C244" t="n">
        <v>22</v>
      </c>
      <c r="D244" t="n">
        <v>10</v>
      </c>
      <c r="E244" t="n">
        <v>4</v>
      </c>
      <c r="F244" t="n">
        <v>3</v>
      </c>
      <c r="G244" t="n">
        <v>1500000</v>
      </c>
      <c r="H244" t="n">
        <v>340000</v>
      </c>
      <c r="I244" t="n">
        <v>0</v>
      </c>
      <c r="J244" t="n">
        <v>340000</v>
      </c>
    </row>
    <row r="245">
      <c r="A245" s="17" t="n">
        <v>46082</v>
      </c>
      <c r="B245" t="n">
        <v>114611</v>
      </c>
      <c r="C245" t="n">
        <v>22</v>
      </c>
      <c r="D245" t="n">
        <v>8</v>
      </c>
      <c r="E245" t="n">
        <v>6</v>
      </c>
      <c r="F245" t="n">
        <v>1</v>
      </c>
      <c r="G245" t="n">
        <v>510000</v>
      </c>
      <c r="H245" t="n">
        <v>1400000</v>
      </c>
      <c r="I245" t="n">
        <v>0</v>
      </c>
      <c r="J245" t="n">
        <v>1400000</v>
      </c>
    </row>
    <row r="246">
      <c r="A246" s="17" t="n">
        <v>46083</v>
      </c>
      <c r="B246" t="n">
        <v>108518</v>
      </c>
      <c r="C246" t="n">
        <v>39</v>
      </c>
      <c r="D246" t="n">
        <v>5</v>
      </c>
      <c r="E246" t="n">
        <v>4</v>
      </c>
      <c r="F246" t="n">
        <v>1</v>
      </c>
      <c r="G246" t="n">
        <v>1500000</v>
      </c>
      <c r="H246" t="n">
        <v>510000</v>
      </c>
      <c r="I246" t="n">
        <v>0</v>
      </c>
      <c r="J246" t="n">
        <v>510000</v>
      </c>
    </row>
    <row r="247">
      <c r="A247" s="17" t="n">
        <v>46084</v>
      </c>
      <c r="B247" t="n">
        <v>106958</v>
      </c>
      <c r="C247" t="n">
        <v>31</v>
      </c>
      <c r="D247" t="n">
        <v>11</v>
      </c>
      <c r="E247" t="n">
        <v>9</v>
      </c>
      <c r="F247" t="n">
        <v>2</v>
      </c>
      <c r="G247" t="n">
        <v>1650000</v>
      </c>
      <c r="H247" t="n">
        <v>150000</v>
      </c>
      <c r="I247" t="n">
        <v>0</v>
      </c>
      <c r="J247" t="n">
        <v>150000</v>
      </c>
    </row>
    <row r="248">
      <c r="A248" s="17" t="n">
        <v>46085</v>
      </c>
      <c r="B248" t="n">
        <v>106387</v>
      </c>
      <c r="C248" t="n">
        <v>29</v>
      </c>
      <c r="D248" t="n">
        <v>7</v>
      </c>
      <c r="E248" t="n">
        <v>3</v>
      </c>
      <c r="F248" t="n">
        <v>0</v>
      </c>
      <c r="G248" t="n">
        <v>0</v>
      </c>
      <c r="H248" t="n">
        <v>2420000</v>
      </c>
      <c r="I248" t="n">
        <v>0</v>
      </c>
      <c r="J248" t="n">
        <v>2420000</v>
      </c>
    </row>
    <row r="249">
      <c r="A249" s="17" t="n">
        <v>46086</v>
      </c>
      <c r="B249" t="n">
        <v>112903</v>
      </c>
      <c r="C249" t="n">
        <v>34</v>
      </c>
      <c r="D249" t="n">
        <v>8</v>
      </c>
      <c r="E249" t="n">
        <v>5</v>
      </c>
      <c r="F249" t="n">
        <v>1</v>
      </c>
      <c r="G249" t="n">
        <v>1500000</v>
      </c>
      <c r="H249" t="n">
        <v>0</v>
      </c>
      <c r="I249" t="n">
        <v>0</v>
      </c>
      <c r="J249" t="n">
        <v>0</v>
      </c>
    </row>
    <row r="250">
      <c r="A250" s="17" t="n">
        <v>46087</v>
      </c>
      <c r="B250" t="n">
        <v>108629</v>
      </c>
      <c r="C250" t="n">
        <v>26</v>
      </c>
      <c r="D250" t="n">
        <v>12</v>
      </c>
      <c r="E250" t="n">
        <v>7</v>
      </c>
      <c r="F250" t="n">
        <v>1</v>
      </c>
      <c r="G250" t="n">
        <v>1500000</v>
      </c>
      <c r="H250" t="n">
        <v>1670000</v>
      </c>
      <c r="I250" t="n">
        <v>0</v>
      </c>
      <c r="J250" t="n">
        <v>1670000</v>
      </c>
    </row>
    <row r="251">
      <c r="A251" s="17" t="n">
        <v>46088</v>
      </c>
      <c r="B251" t="n">
        <v>111000</v>
      </c>
      <c r="C251" t="n">
        <v>20</v>
      </c>
      <c r="D251" t="n">
        <v>10</v>
      </c>
      <c r="E251" t="n">
        <v>5</v>
      </c>
      <c r="F251" t="n">
        <v>1</v>
      </c>
      <c r="G251" t="n">
        <v>150000</v>
      </c>
      <c r="H251" t="n">
        <v>1650000</v>
      </c>
      <c r="I251" t="n">
        <v>750000</v>
      </c>
      <c r="J251" t="n">
        <v>900000</v>
      </c>
    </row>
    <row r="252">
      <c r="A252" s="17" t="n">
        <v>46089</v>
      </c>
      <c r="B252" t="n">
        <v>113070</v>
      </c>
      <c r="C252" t="n">
        <v>27</v>
      </c>
      <c r="D252" t="n">
        <v>10</v>
      </c>
      <c r="E252" t="n">
        <v>5</v>
      </c>
      <c r="F252" t="n">
        <v>2</v>
      </c>
      <c r="G252" t="n">
        <v>990000</v>
      </c>
      <c r="H252" t="n">
        <v>170000</v>
      </c>
      <c r="I252" t="n">
        <v>0</v>
      </c>
      <c r="J252" t="n">
        <v>170000</v>
      </c>
    </row>
    <row r="253">
      <c r="A253" s="17" t="n">
        <v>46090</v>
      </c>
      <c r="B253" t="n">
        <v>111255</v>
      </c>
      <c r="C253" t="n">
        <v>29</v>
      </c>
      <c r="D253" t="n">
        <v>10</v>
      </c>
      <c r="E253" t="n">
        <v>4</v>
      </c>
      <c r="F253" t="n">
        <v>1</v>
      </c>
      <c r="G253" t="n">
        <v>150000</v>
      </c>
      <c r="H253" t="n">
        <v>800000</v>
      </c>
      <c r="I253" t="n">
        <v>0</v>
      </c>
      <c r="J253" t="n">
        <v>800000</v>
      </c>
    </row>
    <row r="254">
      <c r="A254" s="17" t="n">
        <v>46091</v>
      </c>
      <c r="B254" t="n">
        <v>113063</v>
      </c>
      <c r="C254" t="n">
        <v>34</v>
      </c>
      <c r="D254" t="n">
        <v>4</v>
      </c>
      <c r="E254" t="n">
        <v>4</v>
      </c>
      <c r="F254" t="n">
        <v>3</v>
      </c>
      <c r="G254" t="n">
        <v>1470000</v>
      </c>
      <c r="H254" t="n">
        <v>170000</v>
      </c>
      <c r="I254" t="n">
        <v>0</v>
      </c>
      <c r="J254" t="n">
        <v>170000</v>
      </c>
    </row>
    <row r="255">
      <c r="A255" s="17" t="n">
        <v>46092</v>
      </c>
      <c r="B255" t="n">
        <v>108306</v>
      </c>
      <c r="C255" t="n">
        <v>34</v>
      </c>
      <c r="D255" t="n">
        <v>8</v>
      </c>
      <c r="E255" t="n">
        <v>7</v>
      </c>
      <c r="F255" t="n">
        <v>2</v>
      </c>
      <c r="G255" t="n">
        <v>990000</v>
      </c>
      <c r="H255" t="n">
        <v>960000</v>
      </c>
      <c r="I255" t="n">
        <v>0</v>
      </c>
      <c r="J255" t="n">
        <v>960000</v>
      </c>
    </row>
    <row r="256">
      <c r="A256" s="17" t="n">
        <v>46093</v>
      </c>
      <c r="B256" t="n">
        <v>117113</v>
      </c>
      <c r="C256" t="n">
        <v>52</v>
      </c>
      <c r="D256" t="n">
        <v>4</v>
      </c>
      <c r="E256" t="n">
        <v>3</v>
      </c>
      <c r="F256" t="n">
        <v>2</v>
      </c>
      <c r="G256" t="n">
        <v>1650000</v>
      </c>
      <c r="H256" t="n">
        <v>660000</v>
      </c>
      <c r="I256" t="n">
        <v>0</v>
      </c>
      <c r="J256" t="n">
        <v>660000</v>
      </c>
    </row>
    <row r="257">
      <c r="A257" s="17" t="n">
        <v>46094</v>
      </c>
      <c r="B257" t="n">
        <v>110767</v>
      </c>
      <c r="C257" t="n">
        <v>35</v>
      </c>
      <c r="D257" t="n">
        <v>15</v>
      </c>
      <c r="E257" t="n">
        <v>1</v>
      </c>
      <c r="F257" t="n">
        <v>2</v>
      </c>
      <c r="G257" t="n">
        <v>1980000</v>
      </c>
      <c r="H257" t="n">
        <v>3480000</v>
      </c>
      <c r="I257" t="n">
        <v>0</v>
      </c>
      <c r="J257" t="n">
        <v>3480000</v>
      </c>
    </row>
    <row r="258">
      <c r="A258" s="17" t="n">
        <v>46095</v>
      </c>
      <c r="B258" t="n">
        <v>109680</v>
      </c>
      <c r="C258" t="n">
        <v>12</v>
      </c>
      <c r="D258" t="n">
        <v>11</v>
      </c>
      <c r="E258" t="n">
        <v>3</v>
      </c>
      <c r="F258" t="n">
        <v>0</v>
      </c>
      <c r="G258" t="n">
        <v>0</v>
      </c>
      <c r="H258" t="n">
        <v>480000</v>
      </c>
      <c r="I258" t="n">
        <v>0</v>
      </c>
      <c r="J258" t="n">
        <v>480000</v>
      </c>
    </row>
    <row r="259">
      <c r="A259" s="17" t="n">
        <v>46096</v>
      </c>
      <c r="B259" t="n">
        <v>96216</v>
      </c>
      <c r="C259" t="n">
        <v>152</v>
      </c>
      <c r="D259" t="n">
        <v>9</v>
      </c>
      <c r="E259" t="n">
        <v>3</v>
      </c>
      <c r="F259" t="n">
        <v>5</v>
      </c>
      <c r="G259" t="n">
        <v>3090000</v>
      </c>
      <c r="H259" t="n">
        <v>150000</v>
      </c>
      <c r="I259" t="n">
        <v>0</v>
      </c>
      <c r="J259" t="n">
        <v>150000</v>
      </c>
    </row>
    <row r="260">
      <c r="A260" s="17" t="n">
        <v>46097</v>
      </c>
      <c r="B260" t="n">
        <v>91307</v>
      </c>
      <c r="C260" t="n">
        <v>29</v>
      </c>
      <c r="D260" t="n">
        <v>7</v>
      </c>
      <c r="E260" t="n">
        <v>2</v>
      </c>
      <c r="F260" t="n">
        <v>2</v>
      </c>
      <c r="G260" t="n">
        <v>960000</v>
      </c>
      <c r="H260" t="n">
        <v>2190000</v>
      </c>
      <c r="I260" t="n">
        <v>0</v>
      </c>
      <c r="J260" t="n">
        <v>2190000</v>
      </c>
    </row>
    <row r="261">
      <c r="A261" s="17" t="n">
        <v>46098</v>
      </c>
      <c r="B261" t="n">
        <v>94404</v>
      </c>
      <c r="C261" t="n">
        <v>31</v>
      </c>
      <c r="D261" t="n">
        <v>11</v>
      </c>
      <c r="E261" t="n">
        <v>4</v>
      </c>
      <c r="F261" t="n">
        <v>2</v>
      </c>
      <c r="G261" t="n">
        <v>1650000</v>
      </c>
      <c r="H261" t="n">
        <v>2130000</v>
      </c>
      <c r="I261" t="n">
        <v>0</v>
      </c>
      <c r="J261" t="n">
        <v>2130000</v>
      </c>
    </row>
    <row r="262">
      <c r="A262" s="17" t="n">
        <v>46099</v>
      </c>
      <c r="B262" t="n">
        <v>93661</v>
      </c>
      <c r="C262" t="n">
        <v>22</v>
      </c>
      <c r="D262" t="n">
        <v>7</v>
      </c>
      <c r="E262" t="n">
        <v>3</v>
      </c>
      <c r="F262" t="n">
        <v>1</v>
      </c>
      <c r="G262" t="n">
        <v>150000</v>
      </c>
      <c r="H262" t="n">
        <v>150000</v>
      </c>
      <c r="I262" t="n">
        <v>0</v>
      </c>
      <c r="J262" t="n">
        <v>150000</v>
      </c>
    </row>
    <row r="263">
      <c r="A263" s="17" t="n">
        <v>46100</v>
      </c>
      <c r="B263" t="n">
        <v>92873</v>
      </c>
      <c r="C263" t="n">
        <v>32</v>
      </c>
      <c r="D263" t="n">
        <v>13</v>
      </c>
      <c r="E263" t="n">
        <v>3</v>
      </c>
      <c r="F263" t="n">
        <v>1</v>
      </c>
      <c r="G263" t="n">
        <v>480000</v>
      </c>
      <c r="H263" t="n">
        <v>170000</v>
      </c>
      <c r="I263" t="n">
        <v>0</v>
      </c>
      <c r="J263" t="n">
        <v>170000</v>
      </c>
    </row>
    <row r="264">
      <c r="A264" s="17" t="n">
        <v>46101</v>
      </c>
      <c r="B264" t="n">
        <v>92934</v>
      </c>
      <c r="C264" t="n">
        <v>19</v>
      </c>
      <c r="D264" t="n">
        <v>6</v>
      </c>
      <c r="E264" t="n">
        <v>3</v>
      </c>
      <c r="F264" t="n">
        <v>1</v>
      </c>
      <c r="G264" t="n">
        <v>480000</v>
      </c>
      <c r="H264" t="n">
        <v>480000</v>
      </c>
      <c r="I264" t="n">
        <v>0</v>
      </c>
      <c r="J264" t="n">
        <v>480000</v>
      </c>
    </row>
    <row r="265">
      <c r="A265" s="17" t="n">
        <v>46102</v>
      </c>
      <c r="B265" t="n">
        <v>90693</v>
      </c>
      <c r="C265" t="n">
        <v>18</v>
      </c>
      <c r="D265" t="n">
        <v>5</v>
      </c>
      <c r="E265" t="n">
        <v>2</v>
      </c>
      <c r="F265" t="n">
        <v>2</v>
      </c>
      <c r="G265" t="n">
        <v>1980000</v>
      </c>
      <c r="H265" t="n">
        <v>480000</v>
      </c>
      <c r="I265" t="n">
        <v>0</v>
      </c>
      <c r="J265" t="n">
        <v>480000</v>
      </c>
    </row>
    <row r="266">
      <c r="A266" s="17" t="n">
        <v>46103</v>
      </c>
      <c r="B266" t="n">
        <v>101716</v>
      </c>
      <c r="C266" t="n">
        <v>24</v>
      </c>
      <c r="D266" t="n">
        <v>11</v>
      </c>
      <c r="E266" t="n">
        <v>9</v>
      </c>
      <c r="F266" t="n">
        <v>0</v>
      </c>
      <c r="G266" t="n">
        <v>0</v>
      </c>
      <c r="H266" t="n">
        <v>1230000</v>
      </c>
      <c r="I266" t="n">
        <v>0</v>
      </c>
      <c r="J266" t="n">
        <v>1230000</v>
      </c>
    </row>
    <row r="267">
      <c r="A267" s="17" t="n">
        <v>46104</v>
      </c>
      <c r="B267" t="n">
        <v>90623</v>
      </c>
      <c r="C267" t="n">
        <v>29</v>
      </c>
      <c r="D267" t="n">
        <v>9</v>
      </c>
      <c r="E267" t="n">
        <v>4</v>
      </c>
      <c r="F267" t="n">
        <v>3</v>
      </c>
      <c r="G267" t="n">
        <v>2490000</v>
      </c>
      <c r="H267" t="n">
        <v>1500000</v>
      </c>
      <c r="I267" t="n">
        <v>0</v>
      </c>
      <c r="J267" t="n">
        <v>1500000</v>
      </c>
    </row>
    <row r="268">
      <c r="A268" s="17" t="n">
        <v>46105</v>
      </c>
      <c r="B268" t="n">
        <v>92264</v>
      </c>
      <c r="C268" t="n">
        <v>32</v>
      </c>
      <c r="D268" t="n">
        <v>6</v>
      </c>
      <c r="E268" t="n">
        <v>3</v>
      </c>
      <c r="F268" t="n">
        <v>0</v>
      </c>
      <c r="G268" t="n">
        <v>0</v>
      </c>
      <c r="H268" t="n">
        <v>650000</v>
      </c>
      <c r="I268" t="n">
        <v>0</v>
      </c>
      <c r="J268" t="n">
        <v>650000</v>
      </c>
    </row>
    <row r="269">
      <c r="A269" s="17" t="n">
        <v>46106</v>
      </c>
      <c r="B269" t="n">
        <v>94726</v>
      </c>
      <c r="C269" t="n">
        <v>23</v>
      </c>
      <c r="D269" t="n">
        <v>10</v>
      </c>
      <c r="E269" t="n">
        <v>2</v>
      </c>
      <c r="F269" t="n">
        <v>3</v>
      </c>
      <c r="G269" t="n">
        <v>1140000</v>
      </c>
      <c r="H269" t="n">
        <v>320000</v>
      </c>
      <c r="I269" t="n">
        <v>0</v>
      </c>
      <c r="J269" t="n">
        <v>320000</v>
      </c>
    </row>
    <row r="270">
      <c r="A270" s="17" t="n">
        <v>46107</v>
      </c>
      <c r="B270" t="n">
        <v>93627</v>
      </c>
      <c r="C270" t="n">
        <v>26</v>
      </c>
      <c r="D270" t="n">
        <v>9</v>
      </c>
      <c r="E270" t="n">
        <v>3</v>
      </c>
      <c r="F270" t="n">
        <v>0</v>
      </c>
      <c r="G270" t="n">
        <v>0</v>
      </c>
      <c r="H270" t="n">
        <v>650000</v>
      </c>
      <c r="I270" t="n">
        <v>0</v>
      </c>
      <c r="J270" t="n">
        <v>650000</v>
      </c>
    </row>
    <row r="271">
      <c r="A271" s="17" t="n">
        <v>46108</v>
      </c>
      <c r="B271" t="n">
        <v>97526</v>
      </c>
      <c r="C271" t="n">
        <v>29</v>
      </c>
      <c r="D271" t="n">
        <v>8</v>
      </c>
      <c r="E271" t="n">
        <v>3</v>
      </c>
      <c r="F271" t="n">
        <v>1</v>
      </c>
      <c r="G271" t="n">
        <v>480000</v>
      </c>
      <c r="H271" t="n">
        <v>0</v>
      </c>
      <c r="I271" t="n">
        <v>0</v>
      </c>
      <c r="J271" t="n">
        <v>0</v>
      </c>
    </row>
    <row r="272">
      <c r="A272" s="17" t="n">
        <v>46109</v>
      </c>
      <c r="B272" t="n">
        <v>88374</v>
      </c>
      <c r="C272" t="n">
        <v>12</v>
      </c>
      <c r="D272" t="n">
        <v>3</v>
      </c>
      <c r="E272" t="n">
        <v>3</v>
      </c>
      <c r="F272" t="n">
        <v>1</v>
      </c>
      <c r="G272" t="n">
        <v>1500000</v>
      </c>
      <c r="H272" t="n">
        <v>480000</v>
      </c>
      <c r="I272" t="n">
        <v>0</v>
      </c>
      <c r="J272" t="n">
        <v>480000</v>
      </c>
    </row>
    <row r="273">
      <c r="A273" s="17" t="n">
        <v>46110</v>
      </c>
      <c r="B273" t="n">
        <v>95216</v>
      </c>
      <c r="C273" t="n">
        <v>20</v>
      </c>
      <c r="D273" t="n">
        <v>8</v>
      </c>
      <c r="E273" t="n">
        <v>9</v>
      </c>
      <c r="F273" t="n">
        <v>3</v>
      </c>
      <c r="G273" t="n">
        <v>2460000</v>
      </c>
      <c r="H273" t="n">
        <v>1670000</v>
      </c>
      <c r="I273" t="n">
        <v>480000</v>
      </c>
      <c r="J273" t="n">
        <v>1190000</v>
      </c>
    </row>
    <row r="274">
      <c r="A274" s="17" t="n">
        <v>46111</v>
      </c>
      <c r="B274" t="n">
        <v>92310</v>
      </c>
      <c r="C274" t="n">
        <v>37</v>
      </c>
      <c r="D274" t="n">
        <v>8</v>
      </c>
      <c r="E274" t="n">
        <v>3</v>
      </c>
      <c r="F274" t="n">
        <v>2</v>
      </c>
      <c r="G274" t="n">
        <v>630000</v>
      </c>
      <c r="H274" t="n">
        <v>970000</v>
      </c>
      <c r="I274" t="n">
        <v>0</v>
      </c>
      <c r="J274" t="n">
        <v>970000</v>
      </c>
    </row>
    <row r="275">
      <c r="A275" s="17" t="n">
        <v>46112</v>
      </c>
      <c r="B275" t="n">
        <v>98734</v>
      </c>
      <c r="C275" t="n">
        <v>26</v>
      </c>
      <c r="D275" t="n">
        <v>6</v>
      </c>
      <c r="E275" t="n">
        <v>2</v>
      </c>
      <c r="F275" t="n">
        <v>1</v>
      </c>
      <c r="G275" t="n">
        <v>510000</v>
      </c>
      <c r="H275" t="n">
        <v>2050000</v>
      </c>
      <c r="I275" t="n">
        <v>0</v>
      </c>
      <c r="J275" t="n">
        <v>2050000</v>
      </c>
    </row>
    <row r="276">
      <c r="A276" s="17" t="n">
        <v>46113</v>
      </c>
      <c r="B276" t="n">
        <v>100594</v>
      </c>
      <c r="C276" t="n">
        <v>31</v>
      </c>
      <c r="D276" t="n">
        <v>7</v>
      </c>
      <c r="E276" t="n">
        <v>3</v>
      </c>
      <c r="F276" t="n">
        <v>1</v>
      </c>
      <c r="G276" t="n">
        <v>480000</v>
      </c>
      <c r="H276" t="n">
        <v>510000</v>
      </c>
      <c r="I276" t="n">
        <v>0</v>
      </c>
      <c r="J276" t="n">
        <v>510000</v>
      </c>
    </row>
    <row r="277">
      <c r="A277" s="17" t="n">
        <v>46114</v>
      </c>
      <c r="B277" t="n">
        <v>102412</v>
      </c>
      <c r="C277" t="n">
        <v>28</v>
      </c>
      <c r="D277" t="n">
        <v>9</v>
      </c>
      <c r="E277" t="n">
        <v>2</v>
      </c>
      <c r="F277" t="n">
        <v>3</v>
      </c>
      <c r="G277" t="n">
        <v>810000</v>
      </c>
      <c r="H277" t="n">
        <v>780000</v>
      </c>
      <c r="I277" t="n">
        <v>0</v>
      </c>
      <c r="J277" t="n">
        <v>780000</v>
      </c>
    </row>
    <row r="278">
      <c r="A278" s="17" t="n">
        <v>46115</v>
      </c>
      <c r="B278" t="n">
        <v>94607</v>
      </c>
      <c r="C278" t="n">
        <v>32</v>
      </c>
      <c r="D278" t="n">
        <v>8</v>
      </c>
      <c r="E278" t="n">
        <v>6</v>
      </c>
      <c r="F278" t="n">
        <v>1</v>
      </c>
      <c r="G278" t="n">
        <v>1500000</v>
      </c>
      <c r="H278" t="n">
        <v>2590000</v>
      </c>
      <c r="I278" t="n">
        <v>0</v>
      </c>
      <c r="J278" t="n">
        <v>2590000</v>
      </c>
    </row>
    <row r="279">
      <c r="A279" s="17" t="n">
        <v>46116</v>
      </c>
      <c r="B279" t="n">
        <v>105295</v>
      </c>
      <c r="C279" t="n">
        <v>22</v>
      </c>
      <c r="D279" t="n">
        <v>9</v>
      </c>
      <c r="E279" t="n">
        <v>1</v>
      </c>
      <c r="F279" t="n">
        <v>1</v>
      </c>
      <c r="G279" t="n">
        <v>150000</v>
      </c>
      <c r="H279" t="n">
        <v>150000</v>
      </c>
      <c r="I279" t="n">
        <v>750000</v>
      </c>
      <c r="J279" t="n">
        <v>-600000</v>
      </c>
    </row>
    <row r="280">
      <c r="A280" s="17" t="n">
        <v>46117</v>
      </c>
      <c r="B280" t="n">
        <v>97532</v>
      </c>
      <c r="C280" t="n">
        <v>21</v>
      </c>
      <c r="D280" t="n">
        <v>13</v>
      </c>
      <c r="E280" t="n">
        <v>4</v>
      </c>
      <c r="F280" t="n">
        <v>1</v>
      </c>
      <c r="G280" t="n">
        <v>510000</v>
      </c>
      <c r="H280" t="n">
        <v>170000</v>
      </c>
      <c r="I280" t="n">
        <v>0</v>
      </c>
      <c r="J280" t="n">
        <v>170000</v>
      </c>
    </row>
    <row r="281">
      <c r="A281" s="17" t="n">
        <v>46118</v>
      </c>
      <c r="B281" t="n">
        <v>96604</v>
      </c>
      <c r="C281" t="n">
        <v>37</v>
      </c>
      <c r="D281" t="n">
        <v>5</v>
      </c>
      <c r="E281" t="n">
        <v>3</v>
      </c>
      <c r="F281" t="n">
        <v>0</v>
      </c>
      <c r="G281" t="n">
        <v>0</v>
      </c>
      <c r="H281" t="n">
        <v>170000</v>
      </c>
      <c r="I281" t="n">
        <v>75000</v>
      </c>
      <c r="J281" t="n">
        <v>95000</v>
      </c>
    </row>
    <row r="282">
      <c r="A282" s="17" t="n">
        <v>46119</v>
      </c>
      <c r="B282" t="n">
        <v>105238</v>
      </c>
      <c r="C282" t="n">
        <v>37</v>
      </c>
      <c r="D282" t="n">
        <v>11</v>
      </c>
      <c r="E282" t="n">
        <v>3</v>
      </c>
      <c r="F282" t="n">
        <v>1</v>
      </c>
      <c r="G282" t="n">
        <v>1500000</v>
      </c>
      <c r="H282" t="n">
        <v>170000</v>
      </c>
      <c r="I282" t="n">
        <v>0</v>
      </c>
      <c r="J282" t="n">
        <v>170000</v>
      </c>
    </row>
    <row r="283">
      <c r="A283" s="17" t="n">
        <v>46120</v>
      </c>
      <c r="B283" t="n">
        <v>98844</v>
      </c>
      <c r="C283" t="n">
        <v>30</v>
      </c>
      <c r="D283" t="n">
        <v>5</v>
      </c>
      <c r="E283" t="n">
        <v>6</v>
      </c>
      <c r="F283" t="n">
        <v>3</v>
      </c>
      <c r="G283" t="n">
        <v>780000</v>
      </c>
      <c r="H283" t="n">
        <v>300000</v>
      </c>
      <c r="I283" t="n">
        <v>0</v>
      </c>
      <c r="J283" t="n">
        <v>300000</v>
      </c>
    </row>
    <row r="284">
      <c r="A284" s="17" t="n">
        <v>46121</v>
      </c>
      <c r="B284" t="n">
        <v>105639</v>
      </c>
      <c r="C284" t="n">
        <v>48</v>
      </c>
      <c r="D284" t="n">
        <v>7</v>
      </c>
      <c r="E284" t="n">
        <v>2</v>
      </c>
      <c r="F284" t="n">
        <v>0</v>
      </c>
      <c r="G284" t="n">
        <v>0</v>
      </c>
      <c r="H284" t="n">
        <v>2150000</v>
      </c>
      <c r="I284" t="n">
        <v>0</v>
      </c>
      <c r="J284" t="n">
        <v>2150000</v>
      </c>
    </row>
    <row r="285">
      <c r="A285" s="17" t="n">
        <v>46122</v>
      </c>
      <c r="B285" t="n">
        <v>103490</v>
      </c>
      <c r="C285" t="n">
        <v>20</v>
      </c>
      <c r="D285" t="n">
        <v>14</v>
      </c>
      <c r="E285" t="n">
        <v>5</v>
      </c>
      <c r="F285" t="n">
        <v>1</v>
      </c>
      <c r="G285" t="n">
        <v>480000</v>
      </c>
      <c r="H285" t="n">
        <v>0</v>
      </c>
      <c r="I285" t="n">
        <v>750000</v>
      </c>
      <c r="J285" t="n">
        <v>-750000</v>
      </c>
    </row>
    <row r="286">
      <c r="A286" s="17" t="n">
        <v>46123</v>
      </c>
      <c r="B286" t="n">
        <v>100047</v>
      </c>
      <c r="C286" t="n">
        <v>22</v>
      </c>
      <c r="D286" t="n">
        <v>7</v>
      </c>
      <c r="E286" t="n">
        <v>5</v>
      </c>
      <c r="F286" t="n">
        <v>0</v>
      </c>
      <c r="G286" t="n">
        <v>0</v>
      </c>
      <c r="H286" t="n">
        <v>820000</v>
      </c>
      <c r="I286" t="n">
        <v>0</v>
      </c>
      <c r="J286" t="n">
        <v>820000</v>
      </c>
    </row>
    <row r="287">
      <c r="A287" s="17" t="n">
        <v>46124</v>
      </c>
      <c r="B287" t="n">
        <v>101107</v>
      </c>
      <c r="C287" t="n">
        <v>23</v>
      </c>
      <c r="D287" t="n">
        <v>10</v>
      </c>
      <c r="E287" t="n">
        <v>2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</row>
    <row r="288">
      <c r="A288" s="17" t="n">
        <v>46125</v>
      </c>
      <c r="B288" t="n">
        <v>100070</v>
      </c>
      <c r="C288" t="n">
        <v>40</v>
      </c>
      <c r="D288" t="n">
        <v>6</v>
      </c>
      <c r="E288" t="n">
        <v>4</v>
      </c>
      <c r="F288" t="n">
        <v>3</v>
      </c>
      <c r="G288" t="n">
        <v>1800000</v>
      </c>
      <c r="H288" t="n">
        <v>1050000</v>
      </c>
      <c r="I288" t="n">
        <v>240000</v>
      </c>
      <c r="J288" t="n">
        <v>810000</v>
      </c>
    </row>
    <row r="289">
      <c r="A289" s="17" t="n">
        <v>46126</v>
      </c>
      <c r="B289" t="n">
        <v>103233</v>
      </c>
      <c r="C289" t="n">
        <v>33</v>
      </c>
      <c r="D289" t="n">
        <v>7</v>
      </c>
      <c r="E289" t="n">
        <v>2</v>
      </c>
      <c r="F289" t="n">
        <v>2</v>
      </c>
      <c r="G289" t="n">
        <v>1650000</v>
      </c>
      <c r="H289" t="n">
        <v>150000</v>
      </c>
      <c r="I289" t="n">
        <v>0</v>
      </c>
      <c r="J289" t="n">
        <v>150000</v>
      </c>
    </row>
    <row r="290">
      <c r="A290" s="17" t="n">
        <v>46127</v>
      </c>
      <c r="B290" t="n">
        <v>100566</v>
      </c>
      <c r="C290" t="n">
        <v>32</v>
      </c>
      <c r="D290" t="n">
        <v>12</v>
      </c>
      <c r="E290" t="n">
        <v>3</v>
      </c>
      <c r="F290" t="n">
        <v>2</v>
      </c>
      <c r="G290" t="n">
        <v>630000</v>
      </c>
      <c r="H290" t="n">
        <v>2400000</v>
      </c>
      <c r="I290" t="n">
        <v>0</v>
      </c>
      <c r="J290" t="n">
        <v>2400000</v>
      </c>
    </row>
    <row r="291">
      <c r="A291" s="17" t="n">
        <v>46128</v>
      </c>
      <c r="B291" t="n">
        <v>98143</v>
      </c>
      <c r="C291" t="n">
        <v>33</v>
      </c>
      <c r="D291" t="n">
        <v>10</v>
      </c>
      <c r="E291" t="n">
        <v>8</v>
      </c>
      <c r="F291" t="n">
        <v>2</v>
      </c>
      <c r="G291" t="n">
        <v>990000</v>
      </c>
      <c r="H291" t="n">
        <v>480000</v>
      </c>
      <c r="I291" t="n">
        <v>0</v>
      </c>
      <c r="J291" t="n">
        <v>480000</v>
      </c>
    </row>
    <row r="292">
      <c r="A292" s="17" t="n">
        <v>46129</v>
      </c>
      <c r="B292" t="n">
        <v>97195</v>
      </c>
      <c r="C292" t="n">
        <v>24</v>
      </c>
      <c r="D292" t="n">
        <v>10</v>
      </c>
      <c r="E292" t="n">
        <v>0</v>
      </c>
      <c r="F292" t="n">
        <v>2</v>
      </c>
      <c r="G292" t="n">
        <v>2010000</v>
      </c>
      <c r="H292" t="n">
        <v>820000</v>
      </c>
      <c r="I292" t="n">
        <v>0</v>
      </c>
      <c r="J292" t="n">
        <v>820000</v>
      </c>
    </row>
    <row r="293">
      <c r="A293" s="17" t="n">
        <v>46130</v>
      </c>
      <c r="B293" t="n">
        <v>102054</v>
      </c>
      <c r="C293" t="n">
        <v>32</v>
      </c>
      <c r="D293" t="n">
        <v>17</v>
      </c>
      <c r="E293" t="n">
        <v>3</v>
      </c>
      <c r="F293" t="n">
        <v>0</v>
      </c>
      <c r="G293" t="n">
        <v>0</v>
      </c>
      <c r="H293" t="n">
        <v>750000</v>
      </c>
      <c r="I293" t="n">
        <v>0</v>
      </c>
      <c r="J293" t="n">
        <v>750000</v>
      </c>
    </row>
    <row r="294">
      <c r="A294" s="17" t="n">
        <v>46131</v>
      </c>
      <c r="B294" t="n">
        <v>100394</v>
      </c>
      <c r="C294" t="n">
        <v>20</v>
      </c>
      <c r="D294" t="n">
        <v>11</v>
      </c>
      <c r="E294" t="n">
        <v>7</v>
      </c>
      <c r="F294" t="n">
        <v>3</v>
      </c>
      <c r="G294" t="n">
        <v>1470000</v>
      </c>
      <c r="H294" t="n">
        <v>480000</v>
      </c>
      <c r="I294" t="n">
        <v>0</v>
      </c>
      <c r="J294" t="n">
        <v>480000</v>
      </c>
    </row>
    <row r="295">
      <c r="A295" s="17" t="n">
        <v>46132</v>
      </c>
      <c r="B295" t="n">
        <v>93709</v>
      </c>
      <c r="C295" t="n">
        <v>29</v>
      </c>
      <c r="D295" t="n">
        <v>8</v>
      </c>
      <c r="E295" t="n">
        <v>13</v>
      </c>
      <c r="F295" t="n">
        <v>0</v>
      </c>
      <c r="G295" t="n">
        <v>0</v>
      </c>
      <c r="H295" t="n">
        <v>650000</v>
      </c>
      <c r="I295" t="n">
        <v>0</v>
      </c>
      <c r="J295" t="n">
        <v>650000</v>
      </c>
    </row>
    <row r="296">
      <c r="A296" s="17" t="n">
        <v>46133</v>
      </c>
      <c r="B296" t="n">
        <v>101225</v>
      </c>
      <c r="C296" t="n">
        <v>38</v>
      </c>
      <c r="D296" t="n">
        <v>8</v>
      </c>
      <c r="E296" t="n">
        <v>6</v>
      </c>
      <c r="F296" t="n">
        <v>1</v>
      </c>
      <c r="G296" t="n">
        <v>480000</v>
      </c>
      <c r="H296" t="n">
        <v>750000</v>
      </c>
      <c r="I296" t="n">
        <v>0</v>
      </c>
      <c r="J296" t="n">
        <v>750000</v>
      </c>
    </row>
    <row r="297">
      <c r="A297" s="17" t="n">
        <v>46134</v>
      </c>
      <c r="B297" t="n">
        <v>99726</v>
      </c>
      <c r="C297" t="n">
        <v>40</v>
      </c>
      <c r="D297" t="n">
        <v>16</v>
      </c>
      <c r="E297" t="n">
        <v>6</v>
      </c>
      <c r="F297" t="n">
        <v>0</v>
      </c>
      <c r="G297" t="n">
        <v>0</v>
      </c>
      <c r="H297" t="n">
        <v>480000</v>
      </c>
      <c r="I297" t="n">
        <v>0</v>
      </c>
      <c r="J297" t="n">
        <v>480000</v>
      </c>
    </row>
    <row r="298">
      <c r="A298" s="17" t="n">
        <v>46135</v>
      </c>
      <c r="B298" t="n">
        <v>99648</v>
      </c>
      <c r="C298" t="n">
        <v>31</v>
      </c>
      <c r="D298" t="n">
        <v>9</v>
      </c>
      <c r="E298" t="n">
        <v>9</v>
      </c>
      <c r="F298" t="n">
        <v>1</v>
      </c>
      <c r="G298" t="n">
        <v>1500000</v>
      </c>
      <c r="H298" t="n">
        <v>170000</v>
      </c>
      <c r="I298" t="n">
        <v>0</v>
      </c>
      <c r="J298" t="n">
        <v>170000</v>
      </c>
    </row>
    <row r="299">
      <c r="A299" s="17" t="n">
        <v>46136</v>
      </c>
      <c r="B299" t="n">
        <v>96564</v>
      </c>
      <c r="C299" t="n">
        <v>24</v>
      </c>
      <c r="D299" t="n">
        <v>10</v>
      </c>
      <c r="E299" t="n">
        <v>5</v>
      </c>
      <c r="F299" t="n">
        <v>1</v>
      </c>
      <c r="G299" t="n">
        <v>150000</v>
      </c>
      <c r="H299" t="n">
        <v>1820000</v>
      </c>
      <c r="I299" t="n">
        <v>0</v>
      </c>
      <c r="J299" t="n">
        <v>1820000</v>
      </c>
    </row>
    <row r="300">
      <c r="A300" s="17" t="n">
        <v>46137</v>
      </c>
      <c r="B300" t="n">
        <v>102507</v>
      </c>
      <c r="C300" t="n">
        <v>19</v>
      </c>
      <c r="D300" t="n">
        <v>7</v>
      </c>
      <c r="E300" t="n">
        <v>8</v>
      </c>
      <c r="F300" t="n">
        <v>3</v>
      </c>
      <c r="G300" t="n">
        <v>1140000</v>
      </c>
      <c r="H300" t="n">
        <v>150000</v>
      </c>
      <c r="I300" t="n">
        <v>0</v>
      </c>
      <c r="J300" t="n">
        <v>150000</v>
      </c>
    </row>
    <row r="301">
      <c r="A301" s="17" t="n">
        <v>46138</v>
      </c>
      <c r="B301" t="n">
        <v>101238</v>
      </c>
      <c r="C301" t="n">
        <v>30</v>
      </c>
      <c r="D301" t="n">
        <v>4</v>
      </c>
      <c r="E301" t="n">
        <v>6</v>
      </c>
      <c r="F301" t="n">
        <v>0</v>
      </c>
      <c r="G301" t="n">
        <v>0</v>
      </c>
      <c r="H301" t="n">
        <v>170000</v>
      </c>
      <c r="I301" t="n">
        <v>0</v>
      </c>
      <c r="J301" t="n">
        <v>170000</v>
      </c>
    </row>
    <row r="302">
      <c r="A302" s="17" t="n">
        <v>46139</v>
      </c>
      <c r="B302" t="n">
        <v>102627</v>
      </c>
      <c r="C302" t="n">
        <v>41</v>
      </c>
      <c r="D302" t="n">
        <v>12</v>
      </c>
      <c r="E302" t="n">
        <v>3</v>
      </c>
      <c r="F302" t="n">
        <v>2</v>
      </c>
      <c r="G302" t="n">
        <v>990000</v>
      </c>
      <c r="H302" t="n">
        <v>480000</v>
      </c>
      <c r="I302" t="n">
        <v>0</v>
      </c>
      <c r="J302" t="n">
        <v>480000</v>
      </c>
    </row>
    <row r="303">
      <c r="A303" s="17" t="n">
        <v>46140</v>
      </c>
      <c r="B303" t="n">
        <v>98192</v>
      </c>
      <c r="C303" t="n">
        <v>41</v>
      </c>
      <c r="D303" t="n">
        <v>6</v>
      </c>
      <c r="E303" t="n">
        <v>4</v>
      </c>
      <c r="F303" t="n">
        <v>2</v>
      </c>
      <c r="G303" t="n">
        <v>630000</v>
      </c>
      <c r="H303" t="n">
        <v>970000</v>
      </c>
      <c r="I303" t="n">
        <v>0</v>
      </c>
      <c r="J303" t="n">
        <v>970000</v>
      </c>
    </row>
    <row r="304">
      <c r="A304" s="17" t="n">
        <v>46141</v>
      </c>
      <c r="B304" t="n">
        <v>98173</v>
      </c>
      <c r="C304" t="n">
        <v>33</v>
      </c>
      <c r="D304" t="n">
        <v>16</v>
      </c>
      <c r="E304" t="n">
        <v>1</v>
      </c>
      <c r="F304" t="n">
        <v>2</v>
      </c>
      <c r="G304" t="n">
        <v>1650000</v>
      </c>
      <c r="H304" t="n">
        <v>490000</v>
      </c>
      <c r="I304" t="n">
        <v>0</v>
      </c>
      <c r="J304" t="n">
        <v>490000</v>
      </c>
    </row>
    <row r="305">
      <c r="A305" s="17" t="n">
        <v>46142</v>
      </c>
      <c r="B305" t="n">
        <v>100865</v>
      </c>
      <c r="C305" t="n">
        <v>23</v>
      </c>
      <c r="D305" t="n">
        <v>11</v>
      </c>
      <c r="E305" t="n">
        <v>4</v>
      </c>
      <c r="F305" t="n">
        <v>1</v>
      </c>
      <c r="G305" t="n">
        <v>1500000</v>
      </c>
      <c r="H305" t="n">
        <v>1980000</v>
      </c>
      <c r="I305" t="n">
        <v>0</v>
      </c>
      <c r="J305" t="n">
        <v>1980000</v>
      </c>
    </row>
    <row r="306">
      <c r="A306" s="17" t="n">
        <v>46143</v>
      </c>
      <c r="B306" t="n">
        <v>90927</v>
      </c>
      <c r="C306" t="n">
        <v>17</v>
      </c>
      <c r="D306" t="n">
        <v>10</v>
      </c>
      <c r="E306" t="n">
        <v>4</v>
      </c>
      <c r="F306" t="n">
        <v>3</v>
      </c>
      <c r="G306" t="n">
        <v>1530000</v>
      </c>
      <c r="H306" t="n">
        <v>2180000</v>
      </c>
      <c r="I306" t="n">
        <v>0</v>
      </c>
      <c r="J306" t="n">
        <v>2180000</v>
      </c>
    </row>
    <row r="307">
      <c r="A307" s="17" t="n">
        <v>46144</v>
      </c>
      <c r="B307" t="n">
        <v>98344</v>
      </c>
      <c r="C307" t="n">
        <v>18</v>
      </c>
      <c r="D307" t="n">
        <v>7</v>
      </c>
      <c r="E307" t="n">
        <v>3</v>
      </c>
      <c r="F307" t="n">
        <v>2</v>
      </c>
      <c r="G307" t="n">
        <v>1980000</v>
      </c>
      <c r="H307" t="n">
        <v>650000</v>
      </c>
      <c r="I307" t="n">
        <v>0</v>
      </c>
      <c r="J307" t="n">
        <v>650000</v>
      </c>
    </row>
    <row r="308">
      <c r="A308" s="17" t="n">
        <v>46145</v>
      </c>
      <c r="B308" t="n">
        <v>99586</v>
      </c>
      <c r="C308" t="n">
        <v>25</v>
      </c>
      <c r="D308" t="n">
        <v>6</v>
      </c>
      <c r="E308" t="n">
        <v>4</v>
      </c>
      <c r="F308" t="n">
        <v>3</v>
      </c>
      <c r="G308" t="n">
        <v>2130000</v>
      </c>
      <c r="H308" t="n">
        <v>3320000</v>
      </c>
      <c r="I308" t="n">
        <v>0</v>
      </c>
      <c r="J308" t="n">
        <v>3320000</v>
      </c>
    </row>
    <row r="309">
      <c r="A309" s="17" t="n">
        <v>46146</v>
      </c>
      <c r="B309" t="n">
        <v>98041</v>
      </c>
      <c r="C309" t="n">
        <v>38</v>
      </c>
      <c r="D309" t="n">
        <v>8</v>
      </c>
      <c r="E309" t="n">
        <v>6</v>
      </c>
      <c r="F309" t="n">
        <v>1</v>
      </c>
      <c r="G309" t="n">
        <v>510000</v>
      </c>
      <c r="H309" t="n">
        <v>650000</v>
      </c>
      <c r="I309" t="n">
        <v>0</v>
      </c>
      <c r="J309" t="n">
        <v>650000</v>
      </c>
    </row>
    <row r="310">
      <c r="A310" s="17" t="n">
        <v>46147</v>
      </c>
      <c r="B310" t="n">
        <v>104786</v>
      </c>
      <c r="C310" t="n">
        <v>46</v>
      </c>
      <c r="D310" t="n">
        <v>11</v>
      </c>
      <c r="E310" t="n">
        <v>8</v>
      </c>
      <c r="F310" t="n">
        <v>1</v>
      </c>
      <c r="G310" t="n">
        <v>1500000</v>
      </c>
      <c r="H310" t="n">
        <v>170000</v>
      </c>
      <c r="I310" t="n">
        <v>0</v>
      </c>
      <c r="J310" t="n">
        <v>170000</v>
      </c>
    </row>
    <row r="311">
      <c r="A311" s="17" t="n">
        <v>46148</v>
      </c>
      <c r="B311" t="n">
        <v>95075</v>
      </c>
      <c r="C311" t="n">
        <v>40</v>
      </c>
      <c r="D311" t="n">
        <v>6</v>
      </c>
      <c r="E311" t="n">
        <v>4</v>
      </c>
      <c r="F311" t="n">
        <v>1</v>
      </c>
      <c r="G311" t="n">
        <v>480000</v>
      </c>
      <c r="H311" t="n">
        <v>1670000</v>
      </c>
      <c r="I311" t="n">
        <v>0</v>
      </c>
      <c r="J311" t="n">
        <v>1670000</v>
      </c>
    </row>
    <row r="312">
      <c r="A312" s="17" t="n">
        <v>46149</v>
      </c>
      <c r="B312" t="n">
        <v>96808</v>
      </c>
      <c r="C312" t="n">
        <v>36</v>
      </c>
      <c r="D312" t="n">
        <v>16</v>
      </c>
      <c r="E312" t="n">
        <v>4</v>
      </c>
      <c r="F312" t="n">
        <v>2</v>
      </c>
      <c r="G312" t="n">
        <v>660000</v>
      </c>
      <c r="H312" t="n">
        <v>320000</v>
      </c>
      <c r="I312" t="n">
        <v>0</v>
      </c>
      <c r="J312" t="n">
        <v>320000</v>
      </c>
    </row>
    <row r="313">
      <c r="A313" s="17" t="n">
        <v>46150</v>
      </c>
      <c r="B313" t="n">
        <v>104220</v>
      </c>
      <c r="C313" t="n">
        <v>30</v>
      </c>
      <c r="D313" t="n">
        <v>8</v>
      </c>
      <c r="E313" t="n">
        <v>1</v>
      </c>
      <c r="F313" t="n">
        <v>2</v>
      </c>
      <c r="G313" t="n">
        <v>1980000</v>
      </c>
      <c r="H313" t="n">
        <v>480000</v>
      </c>
      <c r="I313" t="n">
        <v>0</v>
      </c>
      <c r="J313" t="n">
        <v>480000</v>
      </c>
    </row>
    <row r="314">
      <c r="A314" s="17" t="n">
        <v>46151</v>
      </c>
      <c r="B314" t="n">
        <v>99457</v>
      </c>
      <c r="C314" t="n">
        <v>24</v>
      </c>
      <c r="D314" t="n">
        <v>7</v>
      </c>
      <c r="E314" t="n">
        <v>4</v>
      </c>
      <c r="F314" t="n">
        <v>2</v>
      </c>
      <c r="G314" t="n">
        <v>630000</v>
      </c>
      <c r="H314" t="n">
        <v>1280000</v>
      </c>
      <c r="I314" t="n">
        <v>0</v>
      </c>
      <c r="J314" t="n">
        <v>1280000</v>
      </c>
    </row>
    <row r="315">
      <c r="A315" s="17" t="n">
        <v>46152</v>
      </c>
      <c r="B315" t="n">
        <v>99554</v>
      </c>
      <c r="C315" t="n">
        <v>29</v>
      </c>
      <c r="D315" t="n">
        <v>12</v>
      </c>
      <c r="E315" t="n">
        <v>5</v>
      </c>
      <c r="F315" t="n">
        <v>2</v>
      </c>
      <c r="G315" t="n">
        <v>1980000</v>
      </c>
      <c r="H315" t="n">
        <v>1230000</v>
      </c>
      <c r="I315" t="n">
        <v>0</v>
      </c>
      <c r="J315" t="n">
        <v>1230000</v>
      </c>
    </row>
    <row r="316">
      <c r="A316" s="17" t="n">
        <v>46153</v>
      </c>
      <c r="B316" t="n">
        <v>99348</v>
      </c>
      <c r="C316" t="n">
        <v>33</v>
      </c>
      <c r="D316" t="n">
        <v>6</v>
      </c>
      <c r="E316" t="n">
        <v>6</v>
      </c>
      <c r="F316" t="n">
        <v>1</v>
      </c>
      <c r="G316" t="n">
        <v>150000</v>
      </c>
      <c r="H316" t="n">
        <v>1240000</v>
      </c>
      <c r="I316" t="n">
        <v>0</v>
      </c>
      <c r="J316" t="n">
        <v>1240000</v>
      </c>
    </row>
    <row r="317">
      <c r="A317" s="17" t="n">
        <v>46154</v>
      </c>
      <c r="B317" t="n">
        <v>101865</v>
      </c>
      <c r="C317" t="n">
        <v>36</v>
      </c>
      <c r="D317" t="n">
        <v>8</v>
      </c>
      <c r="E317" t="n">
        <v>6</v>
      </c>
      <c r="F317" t="n">
        <v>2</v>
      </c>
      <c r="G317" t="n">
        <v>660000</v>
      </c>
      <c r="H317" t="n">
        <v>150000</v>
      </c>
      <c r="I317" t="n">
        <v>0</v>
      </c>
      <c r="J317" t="n">
        <v>150000</v>
      </c>
    </row>
    <row r="318">
      <c r="A318" s="17" t="n">
        <v>46155</v>
      </c>
      <c r="B318" t="n">
        <v>105866</v>
      </c>
      <c r="C318" t="n">
        <v>41</v>
      </c>
      <c r="D318" t="n">
        <v>12</v>
      </c>
      <c r="E318" t="n">
        <v>2</v>
      </c>
      <c r="F318" t="n">
        <v>2</v>
      </c>
      <c r="G318" t="n">
        <v>990000</v>
      </c>
      <c r="H318" t="n">
        <v>1230000</v>
      </c>
      <c r="I318" t="n">
        <v>0</v>
      </c>
      <c r="J318" t="n">
        <v>1230000</v>
      </c>
    </row>
    <row r="319">
      <c r="A319" s="17" t="n">
        <v>46156</v>
      </c>
      <c r="B319" t="n">
        <v>98860</v>
      </c>
      <c r="C319" t="n">
        <v>41</v>
      </c>
      <c r="D319" t="n">
        <v>11</v>
      </c>
      <c r="E319" t="n">
        <v>5</v>
      </c>
      <c r="F319" t="n">
        <v>4</v>
      </c>
      <c r="G319" t="n">
        <v>1620000</v>
      </c>
      <c r="H319" t="n">
        <v>1140000</v>
      </c>
      <c r="I319" t="n">
        <v>0</v>
      </c>
      <c r="J319" t="n">
        <v>1140000</v>
      </c>
    </row>
    <row r="320">
      <c r="A320" s="17" t="n">
        <v>46157</v>
      </c>
      <c r="B320" t="n">
        <v>99339</v>
      </c>
      <c r="C320" t="n">
        <v>33</v>
      </c>
      <c r="D320" t="n">
        <v>4</v>
      </c>
      <c r="E320" t="n">
        <v>7</v>
      </c>
      <c r="F320" t="n">
        <v>4</v>
      </c>
      <c r="G320" t="n">
        <v>1260000</v>
      </c>
      <c r="H320" t="n">
        <v>1260000</v>
      </c>
      <c r="I320" t="n">
        <v>0</v>
      </c>
      <c r="J320" t="n">
        <v>1260000</v>
      </c>
    </row>
    <row r="321">
      <c r="A321" s="17" t="n">
        <v>46158</v>
      </c>
      <c r="B321" t="n">
        <v>100825</v>
      </c>
      <c r="C321" t="n">
        <v>27</v>
      </c>
      <c r="D321" t="n">
        <v>8</v>
      </c>
      <c r="E321" t="n">
        <v>4</v>
      </c>
      <c r="F321" t="n">
        <v>0</v>
      </c>
      <c r="G321" t="n">
        <v>0</v>
      </c>
      <c r="H321" t="n">
        <v>480000</v>
      </c>
      <c r="I321" t="n">
        <v>0</v>
      </c>
      <c r="J321" t="n">
        <v>480000</v>
      </c>
    </row>
    <row r="322">
      <c r="A322" s="17" t="n">
        <v>46159</v>
      </c>
      <c r="B322" t="n">
        <v>102836</v>
      </c>
      <c r="C322" t="n">
        <v>26</v>
      </c>
      <c r="D322" t="n">
        <v>13</v>
      </c>
      <c r="E322" t="n">
        <v>4</v>
      </c>
      <c r="F322" t="n">
        <v>2</v>
      </c>
      <c r="G322" t="n">
        <v>960000</v>
      </c>
      <c r="H322" t="n">
        <v>820000</v>
      </c>
      <c r="I322" t="n">
        <v>0</v>
      </c>
      <c r="J322" t="n">
        <v>820000</v>
      </c>
    </row>
    <row r="323">
      <c r="A323" s="17" t="n">
        <v>46160</v>
      </c>
      <c r="B323" t="n">
        <v>96830</v>
      </c>
      <c r="C323" t="n">
        <v>21</v>
      </c>
      <c r="D323" t="n">
        <v>9</v>
      </c>
      <c r="E323" t="n">
        <v>4</v>
      </c>
      <c r="F323" t="n">
        <v>0</v>
      </c>
      <c r="G323" t="n">
        <v>0</v>
      </c>
      <c r="H323" t="n">
        <v>480000</v>
      </c>
      <c r="I323" t="n">
        <v>0</v>
      </c>
      <c r="J323" t="n">
        <v>480000</v>
      </c>
    </row>
    <row r="324">
      <c r="A324" s="17" t="n">
        <v>46161</v>
      </c>
      <c r="B324" t="n">
        <v>92772</v>
      </c>
      <c r="C324" t="n">
        <v>48</v>
      </c>
      <c r="D324" t="n">
        <v>6</v>
      </c>
      <c r="E324" t="n">
        <v>5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</row>
    <row r="325">
      <c r="A325" s="17" t="n">
        <v>46162</v>
      </c>
      <c r="B325" t="n">
        <v>102914</v>
      </c>
      <c r="C325" t="n">
        <v>35</v>
      </c>
      <c r="D325" t="n">
        <v>12</v>
      </c>
      <c r="E325" t="n">
        <v>3</v>
      </c>
      <c r="F325" t="n">
        <v>5</v>
      </c>
      <c r="G325" t="n">
        <v>1440000</v>
      </c>
      <c r="H325" t="n">
        <v>620000</v>
      </c>
      <c r="I325" t="n">
        <v>0</v>
      </c>
      <c r="J325" t="n">
        <v>620000</v>
      </c>
    </row>
    <row r="326">
      <c r="A326" s="17" t="n">
        <v>46163</v>
      </c>
      <c r="B326" t="n">
        <v>101515</v>
      </c>
      <c r="C326" t="n">
        <v>31</v>
      </c>
      <c r="D326" t="n">
        <v>9</v>
      </c>
      <c r="E326" t="n">
        <v>3</v>
      </c>
      <c r="F326" t="n">
        <v>2</v>
      </c>
      <c r="G326" t="n">
        <v>660000</v>
      </c>
      <c r="H326" t="n">
        <v>970000</v>
      </c>
      <c r="I326" t="n">
        <v>0</v>
      </c>
      <c r="J326" t="n">
        <v>970000</v>
      </c>
    </row>
    <row r="327">
      <c r="A327" s="17" t="n">
        <v>46164</v>
      </c>
      <c r="B327" t="n">
        <v>102779</v>
      </c>
      <c r="C327" t="n">
        <v>30</v>
      </c>
      <c r="D327" t="n">
        <v>10</v>
      </c>
      <c r="E327" t="n">
        <v>3</v>
      </c>
      <c r="F327" t="n">
        <v>2</v>
      </c>
      <c r="G327" t="n">
        <v>960000</v>
      </c>
      <c r="H327" t="n">
        <v>480000</v>
      </c>
      <c r="I327" t="n">
        <v>0</v>
      </c>
      <c r="J327" t="n">
        <v>480000</v>
      </c>
    </row>
    <row r="328">
      <c r="A328" s="17" t="n">
        <v>46165</v>
      </c>
      <c r="B328" t="n">
        <v>101834</v>
      </c>
      <c r="C328" t="n">
        <v>32</v>
      </c>
      <c r="D328" t="n">
        <v>8</v>
      </c>
      <c r="E328" t="n">
        <v>6</v>
      </c>
      <c r="F328" t="n">
        <v>1</v>
      </c>
      <c r="G328" t="n">
        <v>150000</v>
      </c>
      <c r="H328" t="n">
        <v>320000</v>
      </c>
      <c r="I328" t="n">
        <v>0</v>
      </c>
      <c r="J328" t="n">
        <v>320000</v>
      </c>
    </row>
    <row r="329">
      <c r="A329" s="17" t="n">
        <v>46166</v>
      </c>
      <c r="B329" t="n">
        <v>97229</v>
      </c>
      <c r="C329" t="n">
        <v>25</v>
      </c>
      <c r="D329" t="n">
        <v>12</v>
      </c>
      <c r="E329" t="n">
        <v>5</v>
      </c>
      <c r="F329" t="n">
        <v>0</v>
      </c>
      <c r="G329" t="n">
        <v>0</v>
      </c>
      <c r="H329" t="n">
        <v>650000</v>
      </c>
      <c r="I329" t="n">
        <v>0</v>
      </c>
      <c r="J329" t="n">
        <v>650000</v>
      </c>
    </row>
    <row r="330">
      <c r="A330" s="17" t="n">
        <v>46167</v>
      </c>
      <c r="B330" t="n">
        <v>100867</v>
      </c>
      <c r="C330" t="n">
        <v>35</v>
      </c>
      <c r="D330" t="n">
        <v>8</v>
      </c>
      <c r="E330" t="n">
        <v>5</v>
      </c>
      <c r="F330" t="n">
        <v>3</v>
      </c>
      <c r="G330" t="n">
        <v>1470000</v>
      </c>
      <c r="H330" t="n">
        <v>0</v>
      </c>
      <c r="I330" t="n">
        <v>0</v>
      </c>
      <c r="J330" t="n">
        <v>0</v>
      </c>
    </row>
    <row r="331">
      <c r="A331" s="17" t="n">
        <v>46168</v>
      </c>
      <c r="B331" t="n">
        <v>97600</v>
      </c>
      <c r="C331" t="n">
        <v>48</v>
      </c>
      <c r="D331" t="n">
        <v>8</v>
      </c>
      <c r="E331" t="n">
        <v>5</v>
      </c>
      <c r="F331" t="n">
        <v>3</v>
      </c>
      <c r="G331" t="n">
        <v>810000</v>
      </c>
      <c r="H331" t="n">
        <v>1600000</v>
      </c>
      <c r="I331" t="n">
        <v>0</v>
      </c>
      <c r="J331" t="n">
        <v>1600000</v>
      </c>
    </row>
    <row r="332">
      <c r="A332" s="17" t="n">
        <v>46169</v>
      </c>
      <c r="B332" t="n">
        <v>99293</v>
      </c>
      <c r="C332" t="n">
        <v>26</v>
      </c>
      <c r="D332" t="n">
        <v>13</v>
      </c>
      <c r="E332" t="n">
        <v>4</v>
      </c>
      <c r="F332" t="n">
        <v>2</v>
      </c>
      <c r="G332" t="n">
        <v>630000</v>
      </c>
      <c r="H332" t="n">
        <v>320000</v>
      </c>
      <c r="I332" t="n">
        <v>0</v>
      </c>
      <c r="J332" t="n">
        <v>320000</v>
      </c>
    </row>
    <row r="333">
      <c r="A333" s="17" t="n">
        <v>46170</v>
      </c>
      <c r="B333" t="n">
        <v>93977</v>
      </c>
      <c r="C333" t="n">
        <v>37</v>
      </c>
      <c r="D333" t="n">
        <v>7</v>
      </c>
      <c r="E333" t="n">
        <v>2</v>
      </c>
      <c r="F333" t="n">
        <v>2</v>
      </c>
      <c r="G333" t="n">
        <v>990000</v>
      </c>
      <c r="H333" t="n">
        <v>650000</v>
      </c>
      <c r="I333" t="n">
        <v>0</v>
      </c>
      <c r="J333" t="n">
        <v>650000</v>
      </c>
    </row>
    <row r="334">
      <c r="A334" s="17" t="n">
        <v>46171</v>
      </c>
      <c r="B334" t="n">
        <v>100029</v>
      </c>
      <c r="C334" t="n">
        <v>35</v>
      </c>
      <c r="D334" t="n">
        <v>14</v>
      </c>
      <c r="E334" t="n">
        <v>2</v>
      </c>
      <c r="F334" t="n">
        <v>2</v>
      </c>
      <c r="G334" t="n">
        <v>660000</v>
      </c>
      <c r="H334" t="n">
        <v>630000</v>
      </c>
      <c r="I334" t="n">
        <v>0</v>
      </c>
      <c r="J334" t="n">
        <v>630000</v>
      </c>
    </row>
    <row r="335">
      <c r="A335" s="17" t="n">
        <v>46172</v>
      </c>
      <c r="B335" t="n">
        <v>97679</v>
      </c>
      <c r="C335" t="n">
        <v>15</v>
      </c>
      <c r="D335" t="n">
        <v>6</v>
      </c>
      <c r="E335" t="n">
        <v>6</v>
      </c>
      <c r="F335" t="n">
        <v>0</v>
      </c>
      <c r="G335" t="n">
        <v>0</v>
      </c>
      <c r="H335" t="n">
        <v>1090000</v>
      </c>
      <c r="I335" t="n">
        <v>0</v>
      </c>
      <c r="J335" t="n">
        <v>1090000</v>
      </c>
    </row>
    <row r="336">
      <c r="A336" s="17" t="n">
        <v>46173</v>
      </c>
      <c r="B336" t="n">
        <v>102895</v>
      </c>
      <c r="C336" t="n">
        <v>17</v>
      </c>
      <c r="D336" t="n">
        <v>10</v>
      </c>
      <c r="E336" t="n">
        <v>4</v>
      </c>
      <c r="F336" t="n">
        <v>0</v>
      </c>
      <c r="G336" t="n">
        <v>0</v>
      </c>
      <c r="H336" t="n">
        <v>340000</v>
      </c>
      <c r="I336" t="n">
        <v>170000</v>
      </c>
      <c r="J336" t="n">
        <v>170000</v>
      </c>
    </row>
    <row r="337">
      <c r="A337" s="17" t="n">
        <v>46174</v>
      </c>
      <c r="B337" t="n">
        <v>99603</v>
      </c>
      <c r="C337" t="n">
        <v>34</v>
      </c>
      <c r="D337" t="n">
        <v>3</v>
      </c>
      <c r="E337" t="n">
        <v>5</v>
      </c>
      <c r="F337" t="n">
        <v>2</v>
      </c>
      <c r="G337" t="n">
        <v>3000000</v>
      </c>
      <c r="H337" t="n">
        <v>170000</v>
      </c>
      <c r="I337" t="n">
        <v>0</v>
      </c>
      <c r="J337" t="n">
        <v>170000</v>
      </c>
    </row>
    <row r="338">
      <c r="A338" s="17" t="n">
        <v>46175</v>
      </c>
      <c r="B338" t="n">
        <v>100595</v>
      </c>
      <c r="C338" t="n">
        <v>47</v>
      </c>
      <c r="D338" t="n">
        <v>2</v>
      </c>
      <c r="E338" t="n">
        <v>3</v>
      </c>
      <c r="F338" t="n">
        <v>1</v>
      </c>
      <c r="G338" t="n">
        <v>480000</v>
      </c>
      <c r="H338" t="n">
        <v>1670000</v>
      </c>
      <c r="I338" t="n">
        <v>0</v>
      </c>
      <c r="J338" t="n">
        <v>1670000</v>
      </c>
    </row>
    <row r="339">
      <c r="A339" s="17" t="n">
        <v>46176</v>
      </c>
      <c r="B339" t="n">
        <v>98123</v>
      </c>
      <c r="C339" t="n">
        <v>34</v>
      </c>
      <c r="D339" t="n">
        <v>14</v>
      </c>
      <c r="E339" t="n">
        <v>1</v>
      </c>
      <c r="F339" t="n">
        <v>1</v>
      </c>
      <c r="G339" t="n">
        <v>1500000</v>
      </c>
      <c r="H339" t="n">
        <v>2150000</v>
      </c>
      <c r="I339" t="n">
        <v>0</v>
      </c>
      <c r="J339" t="n">
        <v>2150000</v>
      </c>
    </row>
    <row r="340">
      <c r="A340" s="17" t="n">
        <v>46177</v>
      </c>
      <c r="B340" t="n">
        <v>100495</v>
      </c>
      <c r="C340" t="n">
        <v>45</v>
      </c>
      <c r="D340" t="n">
        <v>7</v>
      </c>
      <c r="E340" t="n">
        <v>2</v>
      </c>
      <c r="F340" t="n">
        <v>1</v>
      </c>
      <c r="G340" t="n">
        <v>480000</v>
      </c>
      <c r="H340" t="n">
        <v>170000</v>
      </c>
      <c r="I340" t="n">
        <v>0</v>
      </c>
      <c r="J340" t="n">
        <v>170000</v>
      </c>
    </row>
    <row r="341">
      <c r="A341" s="17" t="n">
        <v>46178</v>
      </c>
      <c r="B341" t="n">
        <v>99680</v>
      </c>
      <c r="C341" t="n">
        <v>23</v>
      </c>
      <c r="D341" t="n">
        <v>10</v>
      </c>
      <c r="E341" t="n">
        <v>2</v>
      </c>
      <c r="F341" t="n">
        <v>3</v>
      </c>
      <c r="G341" t="n">
        <v>1800000</v>
      </c>
      <c r="H341" t="n">
        <v>2450000</v>
      </c>
      <c r="I341" t="n">
        <v>0</v>
      </c>
      <c r="J341" t="n">
        <v>2450000</v>
      </c>
    </row>
    <row r="342">
      <c r="A342" s="17" t="n">
        <v>46179</v>
      </c>
      <c r="B342" t="n">
        <v>102292</v>
      </c>
      <c r="C342" t="n">
        <v>29</v>
      </c>
      <c r="D342" t="n">
        <v>7</v>
      </c>
      <c r="E342" t="n">
        <v>5</v>
      </c>
      <c r="F342" t="n">
        <v>4</v>
      </c>
      <c r="G342" t="n">
        <v>2940000</v>
      </c>
      <c r="H342" t="n">
        <v>1670000</v>
      </c>
      <c r="I342" t="n">
        <v>0</v>
      </c>
      <c r="J342" t="n">
        <v>1670000</v>
      </c>
    </row>
    <row r="343">
      <c r="A343" s="17" t="n">
        <v>46180</v>
      </c>
      <c r="B343" t="n">
        <v>102153</v>
      </c>
      <c r="C343" t="n">
        <v>23</v>
      </c>
      <c r="D343" t="n">
        <v>11</v>
      </c>
      <c r="E343" t="n">
        <v>3</v>
      </c>
      <c r="F343" t="n">
        <v>1</v>
      </c>
      <c r="G343" t="n">
        <v>150000</v>
      </c>
      <c r="H343" t="n">
        <v>1860000</v>
      </c>
      <c r="I343" t="n">
        <v>0</v>
      </c>
      <c r="J343" t="n">
        <v>1860000</v>
      </c>
    </row>
    <row r="344">
      <c r="A344" s="17" t="n">
        <v>46181</v>
      </c>
      <c r="B344" t="n">
        <v>96026</v>
      </c>
      <c r="C344" t="n">
        <v>30</v>
      </c>
      <c r="D344" t="n">
        <v>13</v>
      </c>
      <c r="E344" t="n">
        <v>1</v>
      </c>
      <c r="F344" t="n">
        <v>1</v>
      </c>
      <c r="G344" t="n">
        <v>510000</v>
      </c>
      <c r="H344" t="n">
        <v>480000</v>
      </c>
      <c r="I344" t="n">
        <v>0</v>
      </c>
      <c r="J344" t="n">
        <v>480000</v>
      </c>
    </row>
    <row r="345">
      <c r="A345" s="17" t="n">
        <v>46182</v>
      </c>
      <c r="B345" t="n">
        <v>105108</v>
      </c>
      <c r="C345" t="n">
        <v>47</v>
      </c>
      <c r="D345" t="n">
        <v>7</v>
      </c>
      <c r="E345" t="n">
        <v>6</v>
      </c>
      <c r="F345" t="n">
        <v>0</v>
      </c>
      <c r="G345" t="n">
        <v>0</v>
      </c>
      <c r="H345" t="n">
        <v>750000</v>
      </c>
      <c r="I345" t="n">
        <v>0</v>
      </c>
      <c r="J345" t="n">
        <v>750000</v>
      </c>
    </row>
    <row r="346">
      <c r="A346" s="17" t="n">
        <v>46183</v>
      </c>
      <c r="B346" t="n">
        <v>94978</v>
      </c>
      <c r="C346" t="n">
        <v>24</v>
      </c>
      <c r="D346" t="n">
        <v>6</v>
      </c>
      <c r="E346" t="n">
        <v>6</v>
      </c>
      <c r="F346" t="n">
        <v>0</v>
      </c>
      <c r="G346" t="n">
        <v>0</v>
      </c>
      <c r="H346" t="n">
        <v>920000</v>
      </c>
      <c r="I346" t="n">
        <v>0</v>
      </c>
      <c r="J346" t="n">
        <v>920000</v>
      </c>
    </row>
    <row r="347">
      <c r="A347" s="17" t="n">
        <v>46184</v>
      </c>
      <c r="B347" t="n">
        <v>99547</v>
      </c>
      <c r="C347" t="n">
        <v>47</v>
      </c>
      <c r="D347" t="n">
        <v>11</v>
      </c>
      <c r="E347" t="n">
        <v>6</v>
      </c>
      <c r="F347" t="n">
        <v>1</v>
      </c>
      <c r="G347" t="n">
        <v>1500000</v>
      </c>
      <c r="H347" t="n">
        <v>1500000</v>
      </c>
      <c r="I347" t="n">
        <v>240000</v>
      </c>
      <c r="J347" t="n">
        <v>1260000</v>
      </c>
    </row>
    <row r="348">
      <c r="A348" s="17" t="n">
        <v>46185</v>
      </c>
      <c r="B348" t="n">
        <v>102736</v>
      </c>
      <c r="C348" t="n">
        <v>30</v>
      </c>
      <c r="D348" t="n">
        <v>6</v>
      </c>
      <c r="E348" t="n">
        <v>2</v>
      </c>
      <c r="F348" t="n">
        <v>3</v>
      </c>
      <c r="G348" t="n">
        <v>1110000</v>
      </c>
      <c r="H348" t="n">
        <v>150000</v>
      </c>
      <c r="I348" t="n">
        <v>0</v>
      </c>
      <c r="J348" t="n">
        <v>150000</v>
      </c>
    </row>
    <row r="349">
      <c r="A349" s="17" t="n">
        <v>46186</v>
      </c>
      <c r="B349" t="n">
        <v>102845</v>
      </c>
      <c r="C349" t="n">
        <v>20</v>
      </c>
      <c r="D349" t="n">
        <v>10</v>
      </c>
      <c r="E349" t="n">
        <v>3</v>
      </c>
      <c r="F349" t="n">
        <v>2</v>
      </c>
      <c r="G349" t="n">
        <v>960000</v>
      </c>
      <c r="H349" t="n">
        <v>1470000</v>
      </c>
      <c r="I349" t="n">
        <v>0</v>
      </c>
      <c r="J349" t="n">
        <v>1470000</v>
      </c>
    </row>
    <row r="350">
      <c r="A350" s="17" t="n">
        <v>46187</v>
      </c>
      <c r="B350" t="n">
        <v>103337</v>
      </c>
      <c r="C350" t="n">
        <v>24</v>
      </c>
      <c r="D350" t="n">
        <v>5</v>
      </c>
      <c r="E350" t="n">
        <v>2</v>
      </c>
      <c r="F350" t="n">
        <v>0</v>
      </c>
      <c r="G350" t="n">
        <v>0</v>
      </c>
      <c r="H350" t="n">
        <v>480000</v>
      </c>
      <c r="I350" t="n">
        <v>0</v>
      </c>
      <c r="J350" t="n">
        <v>480000</v>
      </c>
    </row>
    <row r="351">
      <c r="A351" s="17" t="n">
        <v>46188</v>
      </c>
      <c r="B351" t="n">
        <v>99346</v>
      </c>
      <c r="C351" t="n">
        <v>47</v>
      </c>
      <c r="D351" t="n">
        <v>7</v>
      </c>
      <c r="E351" t="n">
        <v>4</v>
      </c>
      <c r="F351" t="n">
        <v>1</v>
      </c>
      <c r="G351" t="n">
        <v>150000</v>
      </c>
      <c r="H351" t="n">
        <v>150000</v>
      </c>
      <c r="I351" t="n">
        <v>0</v>
      </c>
      <c r="J351" t="n">
        <v>150000</v>
      </c>
    </row>
    <row r="352">
      <c r="A352" s="17" t="n">
        <v>46189</v>
      </c>
      <c r="B352" t="n">
        <v>100518</v>
      </c>
      <c r="C352" t="n">
        <v>46</v>
      </c>
      <c r="D352" t="n">
        <v>5</v>
      </c>
      <c r="E352" t="n">
        <v>3</v>
      </c>
      <c r="F352" t="n">
        <v>2</v>
      </c>
      <c r="G352" t="n">
        <v>300000</v>
      </c>
      <c r="H352" t="n">
        <v>640000</v>
      </c>
      <c r="I352" t="n">
        <v>0</v>
      </c>
      <c r="J352" t="n">
        <v>640000</v>
      </c>
    </row>
    <row r="353">
      <c r="A353" s="17" t="n">
        <v>46190</v>
      </c>
      <c r="B353" t="n">
        <v>98606</v>
      </c>
      <c r="C353" t="n">
        <v>35</v>
      </c>
      <c r="D353" t="n">
        <v>13</v>
      </c>
      <c r="E353" t="n">
        <v>2</v>
      </c>
      <c r="F353" t="n">
        <v>2</v>
      </c>
      <c r="G353" t="n">
        <v>990000</v>
      </c>
      <c r="H353" t="n">
        <v>0</v>
      </c>
      <c r="I353" t="n">
        <v>0</v>
      </c>
      <c r="J353" t="n">
        <v>0</v>
      </c>
    </row>
    <row r="354">
      <c r="A354" s="17" t="n">
        <v>46191</v>
      </c>
      <c r="B354" t="n">
        <v>95841</v>
      </c>
      <c r="C354" t="n">
        <v>25</v>
      </c>
      <c r="D354" t="n">
        <v>23</v>
      </c>
      <c r="E354" t="n">
        <v>5</v>
      </c>
      <c r="F354" t="n">
        <v>1</v>
      </c>
      <c r="G354" t="n">
        <v>480000</v>
      </c>
      <c r="H354" t="n">
        <v>650000</v>
      </c>
      <c r="I354" t="n">
        <v>0</v>
      </c>
      <c r="J354" t="n">
        <v>650000</v>
      </c>
    </row>
    <row r="355">
      <c r="A355" s="17" t="n">
        <v>46192</v>
      </c>
      <c r="B355" t="n">
        <v>99629</v>
      </c>
      <c r="C355" t="n">
        <v>30</v>
      </c>
      <c r="D355" t="n">
        <v>7</v>
      </c>
      <c r="E355" t="n">
        <v>5</v>
      </c>
      <c r="F355" t="n">
        <v>1</v>
      </c>
      <c r="G355" t="n">
        <v>1500000</v>
      </c>
      <c r="H355" t="n">
        <v>170000</v>
      </c>
      <c r="I355" t="n">
        <v>480000</v>
      </c>
      <c r="J355" t="n">
        <v>-310000</v>
      </c>
    </row>
    <row r="356">
      <c r="A356" s="17" t="n">
        <v>46193</v>
      </c>
      <c r="B356" t="n">
        <v>105109</v>
      </c>
      <c r="C356" t="n">
        <v>19</v>
      </c>
      <c r="D356" t="n">
        <v>11</v>
      </c>
      <c r="E356" t="n">
        <v>4</v>
      </c>
      <c r="F356" t="n">
        <v>2</v>
      </c>
      <c r="G356" t="n">
        <v>630000</v>
      </c>
      <c r="H356" t="n">
        <v>2470000</v>
      </c>
      <c r="I356" t="n">
        <v>0</v>
      </c>
      <c r="J356" t="n">
        <v>2470000</v>
      </c>
    </row>
    <row r="357">
      <c r="A357" s="17" t="n">
        <v>46194</v>
      </c>
      <c r="B357" t="n">
        <v>101769</v>
      </c>
      <c r="C357" t="n">
        <v>24</v>
      </c>
      <c r="D357" t="n">
        <v>8</v>
      </c>
      <c r="E357" t="n">
        <v>3</v>
      </c>
      <c r="F357" t="n">
        <v>0</v>
      </c>
      <c r="G357" t="n">
        <v>0</v>
      </c>
      <c r="H357" t="n">
        <v>480000</v>
      </c>
      <c r="I357" t="n">
        <v>0</v>
      </c>
      <c r="J357" t="n">
        <v>480000</v>
      </c>
    </row>
    <row r="358">
      <c r="A358" s="17" t="n">
        <v>46195</v>
      </c>
      <c r="B358" t="n">
        <v>97975</v>
      </c>
      <c r="C358" t="n">
        <v>31</v>
      </c>
      <c r="D358" t="n">
        <v>4</v>
      </c>
      <c r="E358" t="n">
        <v>7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</row>
    <row r="359">
      <c r="A359" s="17" t="n">
        <v>46196</v>
      </c>
      <c r="B359" t="n">
        <v>104034</v>
      </c>
      <c r="C359" t="n">
        <v>47</v>
      </c>
      <c r="D359" t="n">
        <v>8</v>
      </c>
      <c r="E359" t="n">
        <v>3</v>
      </c>
      <c r="F359" t="n">
        <v>1</v>
      </c>
      <c r="G359" t="n">
        <v>150000</v>
      </c>
      <c r="H359" t="n">
        <v>150000</v>
      </c>
      <c r="I359" t="n">
        <v>0</v>
      </c>
      <c r="J359" t="n">
        <v>150000</v>
      </c>
    </row>
    <row r="360">
      <c r="A360" s="17" t="n">
        <v>46197</v>
      </c>
      <c r="B360" t="n">
        <v>92012</v>
      </c>
      <c r="C360" t="n">
        <v>31</v>
      </c>
      <c r="D360" t="n">
        <v>8</v>
      </c>
      <c r="E360" t="n">
        <v>2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</row>
    <row r="361">
      <c r="A361" s="17" t="n">
        <v>46198</v>
      </c>
      <c r="B361" t="n">
        <v>100556</v>
      </c>
      <c r="C361" t="n">
        <v>50</v>
      </c>
      <c r="D361" t="n">
        <v>11</v>
      </c>
      <c r="E361" t="n">
        <v>3</v>
      </c>
      <c r="F361" t="n">
        <v>0</v>
      </c>
      <c r="G361" t="n">
        <v>0</v>
      </c>
      <c r="H361" t="n">
        <v>340000</v>
      </c>
      <c r="I361" t="n">
        <v>0</v>
      </c>
      <c r="J361" t="n">
        <v>340000</v>
      </c>
    </row>
    <row r="362">
      <c r="A362" s="17" t="n">
        <v>46199</v>
      </c>
      <c r="B362" t="n">
        <v>98943</v>
      </c>
      <c r="C362" t="n">
        <v>36</v>
      </c>
      <c r="D362" t="n">
        <v>11</v>
      </c>
      <c r="E362" t="n">
        <v>6</v>
      </c>
      <c r="F362" t="n">
        <v>2</v>
      </c>
      <c r="G362" t="n">
        <v>2010000</v>
      </c>
      <c r="H362" t="n">
        <v>170000</v>
      </c>
      <c r="I362" t="n">
        <v>0</v>
      </c>
      <c r="J362" t="n">
        <v>170000</v>
      </c>
    </row>
    <row r="363">
      <c r="A363" s="17" t="n">
        <v>46200</v>
      </c>
      <c r="B363" t="n">
        <v>100693</v>
      </c>
      <c r="C363" t="n">
        <v>17</v>
      </c>
      <c r="D363" t="n">
        <v>12</v>
      </c>
      <c r="E363" t="n">
        <v>2</v>
      </c>
      <c r="F363" t="n">
        <v>1</v>
      </c>
      <c r="G363" t="n">
        <v>480000</v>
      </c>
      <c r="H363" t="n">
        <v>920000</v>
      </c>
      <c r="I363" t="n">
        <v>0</v>
      </c>
      <c r="J363" t="n">
        <v>920000</v>
      </c>
    </row>
    <row r="364">
      <c r="A364" s="17" t="n">
        <v>46201</v>
      </c>
      <c r="B364" t="n">
        <v>96154</v>
      </c>
      <c r="C364" t="n">
        <v>21</v>
      </c>
      <c r="D364" t="n">
        <v>6</v>
      </c>
      <c r="E364" t="n">
        <v>6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</row>
    <row r="365">
      <c r="A365" s="17" t="n">
        <v>46202</v>
      </c>
      <c r="B365" t="n">
        <v>95738</v>
      </c>
      <c r="C365" t="n">
        <v>29</v>
      </c>
      <c r="D365" t="n">
        <v>7</v>
      </c>
      <c r="E365" t="n">
        <v>4</v>
      </c>
      <c r="F365" t="n">
        <v>2</v>
      </c>
      <c r="G365" t="n">
        <v>1980000</v>
      </c>
      <c r="H365" t="n">
        <v>650000</v>
      </c>
      <c r="I365" t="n">
        <v>0</v>
      </c>
      <c r="J365" t="n">
        <v>650000</v>
      </c>
    </row>
    <row r="366">
      <c r="A366" s="17" t="n">
        <v>46203</v>
      </c>
      <c r="B366" t="n">
        <v>95255</v>
      </c>
      <c r="C366" t="n">
        <v>35</v>
      </c>
      <c r="D366" t="n">
        <v>10</v>
      </c>
      <c r="E366" t="n">
        <v>4</v>
      </c>
      <c r="F366" t="n">
        <v>1</v>
      </c>
      <c r="G366" t="n">
        <v>510000</v>
      </c>
      <c r="H366" t="n">
        <v>2320000</v>
      </c>
      <c r="I366" t="n">
        <v>0</v>
      </c>
      <c r="J366" t="n">
        <v>2320000</v>
      </c>
    </row>
    <row r="367">
      <c r="A367" s="17" t="n">
        <v>46204</v>
      </c>
      <c r="B367" t="n">
        <v>95838</v>
      </c>
      <c r="C367" t="n">
        <v>30</v>
      </c>
      <c r="D367" t="n">
        <v>10</v>
      </c>
      <c r="E367" t="n">
        <v>1</v>
      </c>
      <c r="F367" t="n">
        <v>1</v>
      </c>
      <c r="G367" t="n">
        <v>510000</v>
      </c>
      <c r="H367" t="n">
        <v>510000</v>
      </c>
      <c r="I367" t="n">
        <v>0</v>
      </c>
      <c r="J367" t="n">
        <v>510000</v>
      </c>
    </row>
    <row r="368">
      <c r="A368" s="17" t="n">
        <v>46205</v>
      </c>
      <c r="B368" t="n">
        <v>101368</v>
      </c>
      <c r="C368" t="n">
        <v>30</v>
      </c>
      <c r="D368" t="n">
        <v>14</v>
      </c>
      <c r="E368" t="n">
        <v>5</v>
      </c>
      <c r="F368" t="n">
        <v>2</v>
      </c>
      <c r="G368" t="n">
        <v>990000</v>
      </c>
      <c r="H368" t="n">
        <v>0</v>
      </c>
      <c r="I368" t="n">
        <v>0</v>
      </c>
      <c r="J368" t="n">
        <v>0</v>
      </c>
    </row>
    <row r="369">
      <c r="A369" s="17" t="n">
        <v>46206</v>
      </c>
      <c r="B369" t="n">
        <v>98113</v>
      </c>
      <c r="C369" t="n">
        <v>30</v>
      </c>
      <c r="D369" t="n">
        <v>11</v>
      </c>
      <c r="E369" t="n">
        <v>3</v>
      </c>
      <c r="F369" t="n">
        <v>1</v>
      </c>
      <c r="G369" t="n">
        <v>510000</v>
      </c>
      <c r="H369" t="n">
        <v>650000</v>
      </c>
      <c r="I369" t="n">
        <v>0</v>
      </c>
      <c r="J369" t="n">
        <v>650000</v>
      </c>
    </row>
    <row r="370">
      <c r="A370" s="17" t="n">
        <v>46207</v>
      </c>
      <c r="B370" t="n">
        <v>102205</v>
      </c>
      <c r="C370" t="n">
        <v>23</v>
      </c>
      <c r="D370" t="n">
        <v>6</v>
      </c>
      <c r="E370" t="n">
        <v>2</v>
      </c>
      <c r="F370" t="n">
        <v>3</v>
      </c>
      <c r="G370" t="n">
        <v>3150000</v>
      </c>
      <c r="H370" t="n">
        <v>1240000</v>
      </c>
      <c r="I370" t="n">
        <v>0</v>
      </c>
      <c r="J370" t="n">
        <v>1240000</v>
      </c>
    </row>
    <row r="371">
      <c r="A371" s="17" t="n">
        <v>46208</v>
      </c>
      <c r="B371" t="n">
        <v>96076</v>
      </c>
      <c r="C371" t="n">
        <v>18</v>
      </c>
      <c r="D371" t="n">
        <v>10</v>
      </c>
      <c r="E371" t="n">
        <v>4</v>
      </c>
      <c r="F371" t="n">
        <v>2</v>
      </c>
      <c r="G371" t="n">
        <v>1650000</v>
      </c>
      <c r="H371" t="n">
        <v>1650000</v>
      </c>
      <c r="I371" t="n">
        <v>0</v>
      </c>
      <c r="J371" t="n">
        <v>1650000</v>
      </c>
    </row>
    <row r="372">
      <c r="A372" s="17" t="n">
        <v>46209</v>
      </c>
      <c r="B372" t="n">
        <v>99339</v>
      </c>
      <c r="C372" t="n">
        <v>35</v>
      </c>
      <c r="D372" t="n">
        <v>4</v>
      </c>
      <c r="E372" t="n">
        <v>6</v>
      </c>
      <c r="F372" t="n">
        <v>0</v>
      </c>
      <c r="G372" t="n">
        <v>0</v>
      </c>
      <c r="H372" t="n">
        <v>170000</v>
      </c>
      <c r="I372" t="n">
        <v>150000</v>
      </c>
      <c r="J372" t="n">
        <v>20000</v>
      </c>
    </row>
    <row r="373">
      <c r="A373" s="17" t="n">
        <v>46210</v>
      </c>
      <c r="B373" t="n">
        <v>104843</v>
      </c>
      <c r="C373" t="n">
        <v>50</v>
      </c>
      <c r="D373" t="n">
        <v>14</v>
      </c>
      <c r="E373" t="n">
        <v>6</v>
      </c>
      <c r="F373" t="n">
        <v>1</v>
      </c>
      <c r="G373" t="n">
        <v>510000</v>
      </c>
      <c r="H373" t="n">
        <v>2250000</v>
      </c>
      <c r="I373" t="n">
        <v>0</v>
      </c>
      <c r="J373" t="n">
        <v>2250000</v>
      </c>
    </row>
    <row r="374">
      <c r="A374" s="17" t="n">
        <v>46211</v>
      </c>
      <c r="B374" t="n">
        <v>103770</v>
      </c>
      <c r="C374" t="n">
        <v>30</v>
      </c>
      <c r="D374" t="n">
        <v>11</v>
      </c>
      <c r="E374" t="n">
        <v>4</v>
      </c>
      <c r="F374" t="n">
        <v>2</v>
      </c>
      <c r="G374" t="n">
        <v>300000</v>
      </c>
      <c r="H374" t="n">
        <v>470000</v>
      </c>
      <c r="I374" t="n">
        <v>0</v>
      </c>
      <c r="J374" t="n">
        <v>470000</v>
      </c>
    </row>
    <row r="375">
      <c r="A375" s="17" t="n">
        <v>46212</v>
      </c>
      <c r="B375" t="n">
        <v>96615</v>
      </c>
      <c r="C375" t="n">
        <v>41</v>
      </c>
      <c r="D375" t="n">
        <v>7</v>
      </c>
      <c r="E375" t="n">
        <v>12</v>
      </c>
      <c r="F375" t="n">
        <v>1</v>
      </c>
      <c r="G375" t="n">
        <v>510000</v>
      </c>
      <c r="H375" t="n">
        <v>0</v>
      </c>
      <c r="I375" t="n">
        <v>0</v>
      </c>
      <c r="J375" t="n">
        <v>0</v>
      </c>
    </row>
    <row r="376">
      <c r="A376" s="17" t="n">
        <v>46213</v>
      </c>
      <c r="B376" t="n">
        <v>101915</v>
      </c>
      <c r="C376" t="n">
        <v>30</v>
      </c>
      <c r="D376" t="n">
        <v>10</v>
      </c>
      <c r="E376" t="n">
        <v>2</v>
      </c>
      <c r="F376" t="n">
        <v>3</v>
      </c>
      <c r="G376" t="n">
        <v>2520000</v>
      </c>
      <c r="H376" t="n">
        <v>510000</v>
      </c>
      <c r="I376" t="n">
        <v>0</v>
      </c>
      <c r="J376" t="n">
        <v>510000</v>
      </c>
    </row>
    <row r="377">
      <c r="A377" s="17" t="n">
        <v>46214</v>
      </c>
      <c r="B377" t="n">
        <v>101088</v>
      </c>
      <c r="C377" t="n">
        <v>20</v>
      </c>
      <c r="D377" t="n">
        <v>10</v>
      </c>
      <c r="E377" t="n">
        <v>3</v>
      </c>
      <c r="F377" t="n">
        <v>1</v>
      </c>
      <c r="G377" t="n">
        <v>1500000</v>
      </c>
      <c r="H377" t="n">
        <v>0</v>
      </c>
      <c r="I377" t="n">
        <v>0</v>
      </c>
      <c r="J377" t="n">
        <v>0</v>
      </c>
    </row>
    <row r="378">
      <c r="A378" s="17" t="n">
        <v>46215</v>
      </c>
      <c r="B378" t="n">
        <v>99887</v>
      </c>
      <c r="C378" t="n">
        <v>23</v>
      </c>
      <c r="D378" t="n">
        <v>9</v>
      </c>
      <c r="E378" t="n">
        <v>2</v>
      </c>
      <c r="F378" t="n">
        <v>0</v>
      </c>
      <c r="G378" t="n">
        <v>0</v>
      </c>
      <c r="H378" t="n">
        <v>3000000</v>
      </c>
      <c r="I378" t="n">
        <v>0</v>
      </c>
      <c r="J378" t="n">
        <v>3000000</v>
      </c>
    </row>
    <row r="379">
      <c r="A379" s="17" t="n">
        <v>46216</v>
      </c>
      <c r="B379" t="n">
        <v>98635</v>
      </c>
      <c r="C379" t="n">
        <v>38</v>
      </c>
      <c r="D379" t="n">
        <v>10</v>
      </c>
      <c r="E379" t="n">
        <v>4</v>
      </c>
      <c r="F379" t="n">
        <v>0</v>
      </c>
      <c r="G379" t="n">
        <v>0</v>
      </c>
      <c r="H379" t="n">
        <v>510000</v>
      </c>
      <c r="I379" t="n">
        <v>0</v>
      </c>
      <c r="J379" t="n">
        <v>510000</v>
      </c>
    </row>
    <row r="380">
      <c r="A380" s="17" t="n">
        <v>46217</v>
      </c>
      <c r="B380" t="n">
        <v>101822</v>
      </c>
      <c r="C380" t="n">
        <v>54</v>
      </c>
      <c r="D380" t="n">
        <v>11</v>
      </c>
      <c r="E380" t="n">
        <v>6</v>
      </c>
      <c r="F380" t="n">
        <v>4</v>
      </c>
      <c r="G380" t="n">
        <v>2310000</v>
      </c>
      <c r="H380" t="n">
        <v>300000</v>
      </c>
      <c r="I380" t="n">
        <v>1500000</v>
      </c>
      <c r="J380" t="n">
        <v>-1200000</v>
      </c>
    </row>
    <row r="381">
      <c r="A381" s="17" t="n">
        <v>46218</v>
      </c>
      <c r="B381" t="n">
        <v>105058</v>
      </c>
      <c r="C381" t="n">
        <v>26</v>
      </c>
      <c r="D381" t="n">
        <v>9</v>
      </c>
      <c r="E381" t="n">
        <v>4</v>
      </c>
      <c r="F381" t="n">
        <v>0</v>
      </c>
      <c r="G381" t="n">
        <v>0</v>
      </c>
      <c r="H381" t="n">
        <v>1670000</v>
      </c>
      <c r="I381" t="n">
        <v>0</v>
      </c>
      <c r="J381" t="n">
        <v>1670000</v>
      </c>
    </row>
    <row r="382">
      <c r="A382" s="17" t="n">
        <v>46219</v>
      </c>
      <c r="B382" t="n">
        <v>102353</v>
      </c>
      <c r="C382" t="n">
        <v>33</v>
      </c>
      <c r="D382" t="n">
        <v>9</v>
      </c>
      <c r="E382" t="n">
        <v>4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</row>
    <row r="383">
      <c r="A383" s="17" t="n">
        <v>46220</v>
      </c>
      <c r="B383" t="n">
        <v>104208</v>
      </c>
      <c r="C383" t="n">
        <v>39</v>
      </c>
      <c r="D383" t="n">
        <v>13</v>
      </c>
      <c r="E383" t="n">
        <v>5</v>
      </c>
      <c r="F383" t="n">
        <v>1</v>
      </c>
      <c r="G383" t="n">
        <v>150000</v>
      </c>
      <c r="H383" t="n">
        <v>150000</v>
      </c>
      <c r="I383" t="n">
        <v>0</v>
      </c>
      <c r="J383" t="n">
        <v>150000</v>
      </c>
    </row>
    <row r="384">
      <c r="A384" s="17" t="n">
        <v>46221</v>
      </c>
      <c r="B384" t="n">
        <v>98103</v>
      </c>
      <c r="C384" t="n">
        <v>31</v>
      </c>
      <c r="D384" t="n">
        <v>12</v>
      </c>
      <c r="E384" t="n">
        <v>4</v>
      </c>
      <c r="F384" t="n">
        <v>0</v>
      </c>
      <c r="G384" t="n">
        <v>0</v>
      </c>
      <c r="H384" t="n">
        <v>170000</v>
      </c>
      <c r="I384" t="n">
        <v>0</v>
      </c>
      <c r="J384" t="n">
        <v>170000</v>
      </c>
    </row>
    <row r="385">
      <c r="A385" s="17" t="n">
        <v>46222</v>
      </c>
      <c r="B385" t="n">
        <v>97940</v>
      </c>
      <c r="C385" t="n">
        <v>24</v>
      </c>
      <c r="D385" t="n">
        <v>9</v>
      </c>
      <c r="E385" t="n">
        <v>8</v>
      </c>
      <c r="F385" t="n">
        <v>2</v>
      </c>
      <c r="G385" t="n">
        <v>990000</v>
      </c>
      <c r="H385" t="n">
        <v>480000</v>
      </c>
      <c r="I385" t="n">
        <v>0</v>
      </c>
      <c r="J385" t="n">
        <v>480000</v>
      </c>
    </row>
    <row r="386">
      <c r="A386" s="17" t="n">
        <v>46223</v>
      </c>
      <c r="B386" t="n">
        <v>95670</v>
      </c>
      <c r="C386" t="n">
        <v>27</v>
      </c>
      <c r="D386" t="n">
        <v>9</v>
      </c>
      <c r="E386" t="n">
        <v>5</v>
      </c>
      <c r="F386" t="n">
        <v>0</v>
      </c>
      <c r="G386" t="n">
        <v>0</v>
      </c>
      <c r="H386" t="n">
        <v>340000</v>
      </c>
      <c r="I386" t="n">
        <v>0</v>
      </c>
      <c r="J386" t="n">
        <v>340000</v>
      </c>
    </row>
    <row r="387">
      <c r="A387" s="17" t="n">
        <v>46224</v>
      </c>
      <c r="B387" t="n">
        <v>99154</v>
      </c>
      <c r="C387" t="n">
        <v>43</v>
      </c>
      <c r="D387" t="n">
        <v>8</v>
      </c>
      <c r="E387" t="n">
        <v>9</v>
      </c>
      <c r="F387" t="n">
        <v>2</v>
      </c>
      <c r="G387" t="n">
        <v>630000</v>
      </c>
      <c r="H387" t="n">
        <v>950000</v>
      </c>
      <c r="I387" t="n">
        <v>0</v>
      </c>
      <c r="J387" t="n">
        <v>950000</v>
      </c>
    </row>
    <row r="388">
      <c r="A388" s="17" t="n">
        <v>46225</v>
      </c>
      <c r="B388" t="n">
        <v>105142</v>
      </c>
      <c r="C388" t="n">
        <v>39</v>
      </c>
      <c r="D388" t="n">
        <v>8</v>
      </c>
      <c r="E388" t="n">
        <v>4</v>
      </c>
      <c r="F388" t="n">
        <v>1</v>
      </c>
      <c r="G388" t="n">
        <v>1500000</v>
      </c>
      <c r="H388" t="n">
        <v>0</v>
      </c>
      <c r="I388" t="n">
        <v>0</v>
      </c>
      <c r="J388" t="n">
        <v>0</v>
      </c>
    </row>
    <row r="389">
      <c r="A389" s="17" t="n">
        <v>46226</v>
      </c>
      <c r="B389" t="n">
        <v>102458</v>
      </c>
      <c r="C389" t="n">
        <v>36</v>
      </c>
      <c r="D389" t="n">
        <v>15</v>
      </c>
      <c r="E389" t="n">
        <v>7</v>
      </c>
      <c r="F389" t="n">
        <v>3</v>
      </c>
      <c r="G389" t="n">
        <v>2130000</v>
      </c>
      <c r="H389" t="n">
        <v>2400000</v>
      </c>
      <c r="I389" t="n">
        <v>0</v>
      </c>
      <c r="J389" t="n">
        <v>2400000</v>
      </c>
    </row>
    <row r="390">
      <c r="A390" s="17" t="n">
        <v>46227</v>
      </c>
      <c r="B390" t="n">
        <v>97362</v>
      </c>
      <c r="C390" t="n">
        <v>36</v>
      </c>
      <c r="D390" t="n">
        <v>9</v>
      </c>
      <c r="E390" t="n">
        <v>3</v>
      </c>
      <c r="F390" t="n">
        <v>3</v>
      </c>
      <c r="G390" t="n">
        <v>2520000</v>
      </c>
      <c r="H390" t="n">
        <v>650000</v>
      </c>
      <c r="I390" t="n">
        <v>0</v>
      </c>
      <c r="J390" t="n">
        <v>650000</v>
      </c>
    </row>
    <row r="391">
      <c r="A391" s="17" t="n">
        <v>46228</v>
      </c>
      <c r="B391" t="n">
        <v>100845</v>
      </c>
      <c r="C391" t="n">
        <v>29</v>
      </c>
      <c r="D391" t="n">
        <v>12</v>
      </c>
      <c r="E391" t="n">
        <v>6</v>
      </c>
      <c r="F391" t="n">
        <v>2</v>
      </c>
      <c r="G391" t="n">
        <v>630000</v>
      </c>
      <c r="H391" t="n">
        <v>1240000</v>
      </c>
      <c r="I391" t="n">
        <v>0</v>
      </c>
      <c r="J391" t="n">
        <v>1240000</v>
      </c>
    </row>
    <row r="392">
      <c r="A392" s="17" t="n">
        <v>46229</v>
      </c>
      <c r="B392" t="n">
        <v>99677</v>
      </c>
      <c r="C392" t="n">
        <v>23</v>
      </c>
      <c r="D392" t="n">
        <v>10</v>
      </c>
      <c r="E392" t="n">
        <v>7</v>
      </c>
      <c r="F392" t="n">
        <v>4</v>
      </c>
      <c r="G392" t="n">
        <v>3630000</v>
      </c>
      <c r="H392" t="n">
        <v>2300000</v>
      </c>
      <c r="I392" t="n">
        <v>0</v>
      </c>
      <c r="J392" t="n">
        <v>2300000</v>
      </c>
    </row>
    <row r="393">
      <c r="A393" s="17" t="n">
        <v>46230</v>
      </c>
      <c r="B393" t="n">
        <v>104501</v>
      </c>
      <c r="C393" t="n">
        <v>25</v>
      </c>
      <c r="D393" t="n">
        <v>13</v>
      </c>
      <c r="E393" t="n">
        <v>3</v>
      </c>
      <c r="F393" t="n">
        <v>1</v>
      </c>
      <c r="G393" t="n">
        <v>480000</v>
      </c>
      <c r="H393" t="n">
        <v>2300000</v>
      </c>
      <c r="I393" t="n">
        <v>0</v>
      </c>
      <c r="J393" t="n">
        <v>2300000</v>
      </c>
    </row>
    <row r="394">
      <c r="A394" s="17" t="n">
        <v>46231</v>
      </c>
      <c r="B394" t="n">
        <v>103082</v>
      </c>
      <c r="C394" t="n">
        <v>29</v>
      </c>
      <c r="D394" t="n">
        <v>7</v>
      </c>
      <c r="E394" t="n">
        <v>7</v>
      </c>
      <c r="F394" t="n">
        <v>0</v>
      </c>
      <c r="G394" t="n">
        <v>0</v>
      </c>
      <c r="H394" t="n">
        <v>480000</v>
      </c>
      <c r="I394" t="n">
        <v>0</v>
      </c>
      <c r="J394" t="n">
        <v>480000</v>
      </c>
    </row>
    <row r="395">
      <c r="A395" s="17" t="n">
        <v>46232</v>
      </c>
      <c r="B395" t="n">
        <v>105208</v>
      </c>
      <c r="C395" t="n">
        <v>25</v>
      </c>
      <c r="D395" t="n">
        <v>10</v>
      </c>
      <c r="E395" t="n">
        <v>4</v>
      </c>
      <c r="F395" t="n">
        <v>2</v>
      </c>
      <c r="G395" t="n">
        <v>660000</v>
      </c>
      <c r="H395" t="n">
        <v>470000</v>
      </c>
      <c r="I395" t="n">
        <v>0</v>
      </c>
      <c r="J395" t="n">
        <v>470000</v>
      </c>
    </row>
    <row r="396">
      <c r="A396" s="17" t="n">
        <v>46233</v>
      </c>
      <c r="B396" t="n">
        <v>104835</v>
      </c>
      <c r="C396" t="n">
        <v>32</v>
      </c>
      <c r="D396" t="n">
        <v>9</v>
      </c>
      <c r="E396" t="n">
        <v>2</v>
      </c>
      <c r="F396" t="n">
        <v>0</v>
      </c>
      <c r="G396" t="n">
        <v>0</v>
      </c>
      <c r="H396" t="n">
        <v>170000</v>
      </c>
      <c r="I396" t="n">
        <v>0</v>
      </c>
      <c r="J396" t="n">
        <v>170000</v>
      </c>
    </row>
    <row r="397">
      <c r="A397" s="17" t="n">
        <v>46234</v>
      </c>
      <c r="B397" t="n">
        <v>101081</v>
      </c>
      <c r="C397" t="n">
        <v>38</v>
      </c>
      <c r="D397" t="n">
        <v>6</v>
      </c>
      <c r="E397" t="n">
        <v>8</v>
      </c>
      <c r="F397" t="n">
        <v>0</v>
      </c>
      <c r="G397" t="n">
        <v>0</v>
      </c>
      <c r="H397" t="n">
        <v>340000</v>
      </c>
      <c r="I397" t="n">
        <v>0</v>
      </c>
      <c r="J397" t="n">
        <v>340000</v>
      </c>
    </row>
    <row r="398">
      <c r="A398" s="17" t="n">
        <v>46235</v>
      </c>
      <c r="B398" t="n">
        <v>97493</v>
      </c>
      <c r="C398" t="n">
        <v>21</v>
      </c>
      <c r="D398" t="n">
        <v>10</v>
      </c>
      <c r="E398" t="n">
        <v>4</v>
      </c>
      <c r="F398" t="n">
        <v>3</v>
      </c>
      <c r="G398" t="n">
        <v>2460000</v>
      </c>
      <c r="H398" t="n">
        <v>750000</v>
      </c>
      <c r="I398" t="n">
        <v>0</v>
      </c>
      <c r="J398" t="n">
        <v>750000</v>
      </c>
    </row>
    <row r="399">
      <c r="A399" s="17" t="n">
        <v>46236</v>
      </c>
      <c r="B399" t="n">
        <v>99570</v>
      </c>
      <c r="C399" t="n">
        <v>17</v>
      </c>
      <c r="D399" t="n">
        <v>14</v>
      </c>
      <c r="E399" t="n">
        <v>4</v>
      </c>
      <c r="F399" t="n">
        <v>1</v>
      </c>
      <c r="G399" t="n">
        <v>510000</v>
      </c>
      <c r="H399" t="n">
        <v>1450000</v>
      </c>
      <c r="I399" t="n">
        <v>0</v>
      </c>
      <c r="J399" t="n">
        <v>1450000</v>
      </c>
    </row>
    <row r="400">
      <c r="A400" s="17" t="n">
        <v>46237</v>
      </c>
      <c r="B400" t="n">
        <v>97208</v>
      </c>
      <c r="C400" t="n">
        <v>40</v>
      </c>
      <c r="D400" t="n">
        <v>5</v>
      </c>
      <c r="E400" t="n">
        <v>5</v>
      </c>
      <c r="F400" t="n">
        <v>3</v>
      </c>
      <c r="G400" t="n">
        <v>2160000</v>
      </c>
      <c r="H400" t="n">
        <v>2570000</v>
      </c>
      <c r="I400" t="n">
        <v>0</v>
      </c>
      <c r="J400" t="n">
        <v>2570000</v>
      </c>
    </row>
    <row r="401">
      <c r="A401" s="17" t="n">
        <v>46238</v>
      </c>
      <c r="B401" t="n">
        <v>96044</v>
      </c>
      <c r="C401" t="n">
        <v>33</v>
      </c>
      <c r="D401" t="n">
        <v>9</v>
      </c>
      <c r="E401" t="n">
        <v>1</v>
      </c>
      <c r="F401" t="n">
        <v>1</v>
      </c>
      <c r="G401" t="n">
        <v>510000</v>
      </c>
      <c r="H401" t="n">
        <v>0</v>
      </c>
      <c r="I401" t="n">
        <v>0</v>
      </c>
      <c r="J401" t="n">
        <v>0</v>
      </c>
    </row>
    <row r="402">
      <c r="A402" s="17" t="n">
        <v>46239</v>
      </c>
      <c r="B402" t="n">
        <v>104942</v>
      </c>
      <c r="C402" t="n">
        <v>39</v>
      </c>
      <c r="D402" t="n">
        <v>13</v>
      </c>
      <c r="E402" t="n">
        <v>5</v>
      </c>
      <c r="F402" t="n">
        <v>0</v>
      </c>
      <c r="G402" t="n">
        <v>0</v>
      </c>
      <c r="H402" t="n">
        <v>0</v>
      </c>
      <c r="I402" t="n">
        <v>240000</v>
      </c>
      <c r="J402" t="n">
        <v>-240000</v>
      </c>
    </row>
    <row r="403">
      <c r="A403" s="17" t="n">
        <v>46240</v>
      </c>
      <c r="B403" t="n">
        <v>96868</v>
      </c>
      <c r="C403" t="n">
        <v>30</v>
      </c>
      <c r="D403" t="n">
        <v>10</v>
      </c>
      <c r="E403" t="n">
        <v>4</v>
      </c>
      <c r="F403" t="n">
        <v>3</v>
      </c>
      <c r="G403" t="n">
        <v>1800000</v>
      </c>
      <c r="H403" t="n">
        <v>470000</v>
      </c>
      <c r="I403" t="n">
        <v>0</v>
      </c>
      <c r="J403" t="n">
        <v>470000</v>
      </c>
    </row>
    <row r="404">
      <c r="A404" s="17" t="n">
        <v>46241</v>
      </c>
      <c r="B404" t="n">
        <v>99633</v>
      </c>
      <c r="C404" t="n">
        <v>29</v>
      </c>
      <c r="D404" t="n">
        <v>7</v>
      </c>
      <c r="E404" t="n">
        <v>5</v>
      </c>
      <c r="F404" t="n">
        <v>0</v>
      </c>
      <c r="G404" t="n">
        <v>0</v>
      </c>
      <c r="H404" t="n">
        <v>1840000</v>
      </c>
      <c r="I404" t="n">
        <v>0</v>
      </c>
      <c r="J404" t="n">
        <v>1840000</v>
      </c>
    </row>
    <row r="405">
      <c r="A405" s="17" t="n">
        <v>46242</v>
      </c>
      <c r="B405" t="n">
        <v>104137</v>
      </c>
      <c r="C405" t="n">
        <v>17</v>
      </c>
      <c r="D405" t="n">
        <v>6</v>
      </c>
      <c r="E405" t="n">
        <v>10</v>
      </c>
      <c r="F405" t="n">
        <v>2</v>
      </c>
      <c r="G405" t="n">
        <v>630000</v>
      </c>
      <c r="H405" t="n">
        <v>150000</v>
      </c>
      <c r="I405" t="n">
        <v>0</v>
      </c>
      <c r="J405" t="n">
        <v>150000</v>
      </c>
    </row>
    <row r="406">
      <c r="A406" s="17" t="n">
        <v>46243</v>
      </c>
      <c r="B406" t="n">
        <v>96361</v>
      </c>
      <c r="C406" t="n">
        <v>25</v>
      </c>
      <c r="D406" t="n">
        <v>11</v>
      </c>
      <c r="E406" t="n">
        <v>3</v>
      </c>
      <c r="F406" t="n">
        <v>1</v>
      </c>
      <c r="G406" t="n">
        <v>510000</v>
      </c>
      <c r="H406" t="n">
        <v>820000</v>
      </c>
      <c r="I406" t="n">
        <v>750000</v>
      </c>
      <c r="J406" t="n">
        <v>70000</v>
      </c>
    </row>
    <row r="407">
      <c r="A407" s="17" t="n">
        <v>46244</v>
      </c>
      <c r="B407" t="n">
        <v>151704</v>
      </c>
      <c r="C407" t="n">
        <v>60</v>
      </c>
      <c r="D407" t="n">
        <v>7</v>
      </c>
      <c r="E407" t="n">
        <v>3</v>
      </c>
      <c r="F407" t="n">
        <v>1</v>
      </c>
      <c r="G407" t="n">
        <v>1500000</v>
      </c>
      <c r="H407" t="n">
        <v>170000</v>
      </c>
      <c r="I407" t="n">
        <v>0</v>
      </c>
      <c r="J407" t="n">
        <v>170000</v>
      </c>
    </row>
    <row r="408">
      <c r="A408" s="17" t="n">
        <v>46245</v>
      </c>
      <c r="B408" t="n">
        <v>143999</v>
      </c>
      <c r="C408" t="n">
        <v>61</v>
      </c>
      <c r="D408" t="n">
        <v>9</v>
      </c>
      <c r="E408" t="n">
        <v>6</v>
      </c>
      <c r="F408" t="n">
        <v>2</v>
      </c>
      <c r="G408" t="n">
        <v>3000000</v>
      </c>
      <c r="H408" t="n">
        <v>3000000</v>
      </c>
      <c r="I408" t="n">
        <v>0</v>
      </c>
      <c r="J408" t="n">
        <v>3000000</v>
      </c>
    </row>
    <row r="409">
      <c r="A409" s="17" t="n">
        <v>46246</v>
      </c>
      <c r="B409" t="n">
        <v>146624</v>
      </c>
      <c r="C409" t="n">
        <v>72</v>
      </c>
      <c r="D409" t="n">
        <v>17</v>
      </c>
      <c r="E409" t="n">
        <v>7</v>
      </c>
      <c r="F409" t="n">
        <v>4</v>
      </c>
      <c r="G409" t="n">
        <v>2010000</v>
      </c>
      <c r="H409" t="n">
        <v>2150000</v>
      </c>
      <c r="I409" t="n">
        <v>0</v>
      </c>
      <c r="J409" t="n">
        <v>2150000</v>
      </c>
    </row>
    <row r="410">
      <c r="A410" s="17" t="n">
        <v>46247</v>
      </c>
      <c r="B410" t="n">
        <v>147022</v>
      </c>
      <c r="C410" t="n">
        <v>74</v>
      </c>
      <c r="D410" t="n">
        <v>10</v>
      </c>
      <c r="E410" t="n">
        <v>3</v>
      </c>
      <c r="F410" t="n">
        <v>2</v>
      </c>
      <c r="G410" t="n">
        <v>630000</v>
      </c>
      <c r="H410" t="n">
        <v>1140000</v>
      </c>
      <c r="I410" t="n">
        <v>0</v>
      </c>
      <c r="J410" t="n">
        <v>1140000</v>
      </c>
    </row>
    <row r="411">
      <c r="A411" s="17" t="n">
        <v>46248</v>
      </c>
      <c r="B411" t="n">
        <v>145912</v>
      </c>
      <c r="C411" t="n">
        <v>48</v>
      </c>
      <c r="D411" t="n">
        <v>10</v>
      </c>
      <c r="E411" t="n">
        <v>7</v>
      </c>
      <c r="F411" t="n">
        <v>3</v>
      </c>
      <c r="G411" t="n">
        <v>1140000</v>
      </c>
      <c r="H411" t="n">
        <v>320000</v>
      </c>
      <c r="I411" t="n">
        <v>0</v>
      </c>
      <c r="J411" t="n">
        <v>320000</v>
      </c>
    </row>
    <row r="412">
      <c r="A412" s="17" t="n">
        <v>46249</v>
      </c>
      <c r="B412" t="n">
        <v>142003</v>
      </c>
      <c r="C412" t="n">
        <v>43</v>
      </c>
      <c r="D412" t="n">
        <v>17</v>
      </c>
      <c r="E412" t="n">
        <v>11</v>
      </c>
      <c r="F412" t="n">
        <v>1</v>
      </c>
      <c r="G412" t="n">
        <v>150000</v>
      </c>
      <c r="H412" t="n">
        <v>630000</v>
      </c>
      <c r="I412" t="n">
        <v>240000</v>
      </c>
      <c r="J412" t="n">
        <v>390000</v>
      </c>
    </row>
    <row r="413">
      <c r="A413" s="17" t="n">
        <v>46250</v>
      </c>
      <c r="B413" t="n">
        <v>152007</v>
      </c>
      <c r="C413" t="n">
        <v>47</v>
      </c>
      <c r="D413" t="n">
        <v>2</v>
      </c>
      <c r="E413" t="n">
        <v>4</v>
      </c>
      <c r="F413" t="n">
        <v>0</v>
      </c>
      <c r="G413" t="n">
        <v>0</v>
      </c>
      <c r="H413" t="n">
        <v>170000</v>
      </c>
      <c r="I413" t="n">
        <v>0</v>
      </c>
      <c r="J413" t="n">
        <v>170000</v>
      </c>
    </row>
    <row r="414">
      <c r="A414" s="17" t="n">
        <v>46251</v>
      </c>
      <c r="B414" t="n">
        <v>149606</v>
      </c>
      <c r="C414" t="n">
        <v>62</v>
      </c>
      <c r="D414" t="n">
        <v>8</v>
      </c>
      <c r="E414" t="n">
        <v>2</v>
      </c>
      <c r="F414" t="n">
        <v>2</v>
      </c>
      <c r="G414" t="n">
        <v>990000</v>
      </c>
      <c r="H414" t="n">
        <v>170000</v>
      </c>
      <c r="I414" t="n">
        <v>150000</v>
      </c>
      <c r="J414" t="n">
        <v>20000</v>
      </c>
    </row>
    <row r="415">
      <c r="A415" s="17" t="n">
        <v>46252</v>
      </c>
      <c r="B415" t="n">
        <v>151868</v>
      </c>
      <c r="C415" t="n">
        <v>73</v>
      </c>
      <c r="D415" t="n">
        <v>14</v>
      </c>
      <c r="E415" t="n">
        <v>2</v>
      </c>
      <c r="F415" t="n">
        <v>0</v>
      </c>
      <c r="G415" t="n">
        <v>0</v>
      </c>
      <c r="H415" t="n">
        <v>150000</v>
      </c>
      <c r="I415" t="n">
        <v>0</v>
      </c>
      <c r="J415" t="n">
        <v>150000</v>
      </c>
    </row>
    <row r="416">
      <c r="A416" s="17" t="n">
        <v>46253</v>
      </c>
      <c r="B416" t="n">
        <v>141157</v>
      </c>
      <c r="C416" t="n">
        <v>69</v>
      </c>
      <c r="D416" t="n">
        <v>13</v>
      </c>
      <c r="E416" t="n">
        <v>7</v>
      </c>
      <c r="F416" t="n">
        <v>3</v>
      </c>
      <c r="G416" t="n">
        <v>1140000</v>
      </c>
      <c r="H416" t="n">
        <v>950000</v>
      </c>
      <c r="I416" t="n">
        <v>0</v>
      </c>
      <c r="J416" t="n">
        <v>950000</v>
      </c>
    </row>
    <row r="417">
      <c r="A417" s="17" t="n">
        <v>46254</v>
      </c>
      <c r="B417" t="n">
        <v>152050</v>
      </c>
      <c r="C417" t="n">
        <v>48</v>
      </c>
      <c r="D417" t="n">
        <v>20</v>
      </c>
      <c r="E417" t="n">
        <v>1</v>
      </c>
      <c r="F417" t="n">
        <v>0</v>
      </c>
      <c r="G417" t="n">
        <v>0</v>
      </c>
      <c r="H417" t="n">
        <v>650000</v>
      </c>
      <c r="I417" t="n">
        <v>0</v>
      </c>
      <c r="J417" t="n">
        <v>650000</v>
      </c>
    </row>
    <row r="418">
      <c r="A418" s="17" t="n">
        <v>46255</v>
      </c>
      <c r="B418" t="n">
        <v>141257</v>
      </c>
      <c r="C418" t="n">
        <v>50</v>
      </c>
      <c r="D418" t="n">
        <v>13</v>
      </c>
      <c r="E418" t="n">
        <v>6</v>
      </c>
      <c r="F418" t="n">
        <v>3</v>
      </c>
      <c r="G418" t="n">
        <v>3480000</v>
      </c>
      <c r="H418" t="n">
        <v>750000</v>
      </c>
      <c r="I418" t="n">
        <v>0</v>
      </c>
      <c r="J418" t="n">
        <v>750000</v>
      </c>
    </row>
    <row r="419">
      <c r="A419" s="17" t="n">
        <v>46256</v>
      </c>
      <c r="B419" t="n">
        <v>143428</v>
      </c>
      <c r="C419" t="n">
        <v>33</v>
      </c>
      <c r="D419" t="n">
        <v>9</v>
      </c>
      <c r="E419" t="n">
        <v>11</v>
      </c>
      <c r="F419" t="n">
        <v>1</v>
      </c>
      <c r="G419" t="n">
        <v>1500000</v>
      </c>
      <c r="H419" t="n">
        <v>2730000</v>
      </c>
      <c r="I419" t="n">
        <v>0</v>
      </c>
      <c r="J419" t="n">
        <v>2730000</v>
      </c>
    </row>
    <row r="420">
      <c r="A420" s="17" t="n">
        <v>46257</v>
      </c>
      <c r="B420" t="n">
        <v>152844</v>
      </c>
      <c r="C420" t="n">
        <v>41</v>
      </c>
      <c r="D420" t="n">
        <v>10</v>
      </c>
      <c r="E420" t="n">
        <v>5</v>
      </c>
      <c r="F420" t="n">
        <v>2</v>
      </c>
      <c r="G420" t="n">
        <v>990000</v>
      </c>
      <c r="H420" t="n">
        <v>170000</v>
      </c>
      <c r="I420" t="n">
        <v>480000</v>
      </c>
      <c r="J420" t="n">
        <v>-310000</v>
      </c>
    </row>
    <row r="421">
      <c r="A421" s="17" t="n">
        <v>46258</v>
      </c>
      <c r="B421" t="n">
        <v>148489</v>
      </c>
      <c r="C421" t="n">
        <v>60</v>
      </c>
      <c r="D421" t="n">
        <v>5</v>
      </c>
      <c r="E421" t="n">
        <v>6</v>
      </c>
      <c r="F421" t="n">
        <v>1</v>
      </c>
      <c r="G421" t="n">
        <v>510000</v>
      </c>
      <c r="H421" t="n">
        <v>2590000</v>
      </c>
      <c r="I421" t="n">
        <v>0</v>
      </c>
      <c r="J421" t="n">
        <v>2590000</v>
      </c>
    </row>
    <row r="422">
      <c r="A422" s="17" t="n">
        <v>46259</v>
      </c>
      <c r="B422" t="n">
        <v>146646</v>
      </c>
      <c r="C422" t="n">
        <v>49</v>
      </c>
      <c r="D422" t="n">
        <v>14</v>
      </c>
      <c r="E422" t="n">
        <v>4</v>
      </c>
      <c r="F422" t="n">
        <v>1</v>
      </c>
      <c r="G422" t="n">
        <v>150000</v>
      </c>
      <c r="H422" t="n">
        <v>800000</v>
      </c>
      <c r="I422" t="n">
        <v>0</v>
      </c>
      <c r="J422" t="n">
        <v>800000</v>
      </c>
    </row>
    <row r="423">
      <c r="A423" s="17" t="n">
        <v>46260</v>
      </c>
      <c r="B423" t="n">
        <v>153570</v>
      </c>
      <c r="C423" t="n">
        <v>64</v>
      </c>
      <c r="D423" t="n">
        <v>12</v>
      </c>
      <c r="E423" t="n">
        <v>6</v>
      </c>
      <c r="F423" t="n">
        <v>1</v>
      </c>
      <c r="G423" t="n">
        <v>1500000</v>
      </c>
      <c r="H423" t="n">
        <v>1070000</v>
      </c>
      <c r="I423" t="n">
        <v>0</v>
      </c>
      <c r="J423" t="n">
        <v>1070000</v>
      </c>
    </row>
    <row r="424">
      <c r="A424" s="17" t="n">
        <v>46261</v>
      </c>
      <c r="B424" t="n">
        <v>151899</v>
      </c>
      <c r="C424" t="n">
        <v>53</v>
      </c>
      <c r="D424" t="n">
        <v>9</v>
      </c>
      <c r="E424" t="n">
        <v>3</v>
      </c>
      <c r="F424" t="n">
        <v>0</v>
      </c>
      <c r="G424" t="n">
        <v>0</v>
      </c>
      <c r="H424" t="n">
        <v>1650000</v>
      </c>
      <c r="I424" t="n">
        <v>0</v>
      </c>
      <c r="J424" t="n">
        <v>1650000</v>
      </c>
    </row>
    <row r="425">
      <c r="A425" s="17" t="n">
        <v>46262</v>
      </c>
      <c r="B425" t="n">
        <v>151970</v>
      </c>
      <c r="C425" t="n">
        <v>59</v>
      </c>
      <c r="D425" t="n">
        <v>12</v>
      </c>
      <c r="E425" t="n">
        <v>11</v>
      </c>
      <c r="F425" t="n">
        <v>1</v>
      </c>
      <c r="G425" t="n">
        <v>480000</v>
      </c>
      <c r="H425" t="n">
        <v>0</v>
      </c>
      <c r="I425" t="n">
        <v>0</v>
      </c>
      <c r="J425" t="n">
        <v>0</v>
      </c>
    </row>
    <row r="426">
      <c r="A426" s="17" t="n">
        <v>46263</v>
      </c>
      <c r="B426" t="n">
        <v>143777</v>
      </c>
      <c r="C426" t="n">
        <v>43</v>
      </c>
      <c r="D426" t="n">
        <v>12</v>
      </c>
      <c r="E426" t="n">
        <v>5</v>
      </c>
      <c r="F426" t="n">
        <v>3</v>
      </c>
      <c r="G426" t="n">
        <v>2130000</v>
      </c>
      <c r="H426" t="n">
        <v>800000</v>
      </c>
      <c r="I426" t="n">
        <v>0</v>
      </c>
      <c r="J426" t="n">
        <v>800000</v>
      </c>
    </row>
    <row r="427">
      <c r="A427" s="17" t="n">
        <v>46264</v>
      </c>
      <c r="B427" t="n">
        <v>143557</v>
      </c>
      <c r="C427" t="n">
        <v>41</v>
      </c>
      <c r="D427" t="n">
        <v>12</v>
      </c>
      <c r="E427" t="n">
        <v>5</v>
      </c>
      <c r="F427" t="n">
        <v>2</v>
      </c>
      <c r="G427" t="n">
        <v>630000</v>
      </c>
      <c r="H427" t="n">
        <v>2470000</v>
      </c>
      <c r="I427" t="n">
        <v>0</v>
      </c>
      <c r="J427" t="n">
        <v>2470000</v>
      </c>
    </row>
    <row r="428">
      <c r="A428" s="17" t="n">
        <v>46265</v>
      </c>
      <c r="B428" t="n">
        <v>145477</v>
      </c>
      <c r="C428" t="n">
        <v>59</v>
      </c>
      <c r="D428" t="n">
        <v>14</v>
      </c>
      <c r="E428" t="n">
        <v>2</v>
      </c>
      <c r="F428" t="n">
        <v>1</v>
      </c>
      <c r="G428" t="n">
        <v>510000</v>
      </c>
      <c r="H428" t="n">
        <v>750000</v>
      </c>
      <c r="I428" t="n">
        <v>0</v>
      </c>
      <c r="J428" t="n">
        <v>750000</v>
      </c>
    </row>
    <row r="429">
      <c r="A429" s="17" t="n">
        <v>46266</v>
      </c>
      <c r="B429" t="n">
        <v>149910</v>
      </c>
      <c r="C429" t="n">
        <v>70</v>
      </c>
      <c r="D429" t="n">
        <v>9</v>
      </c>
      <c r="E429" t="n">
        <v>5</v>
      </c>
      <c r="F429" t="n">
        <v>0</v>
      </c>
      <c r="G429" t="n">
        <v>0</v>
      </c>
      <c r="H429" t="n">
        <v>510000</v>
      </c>
      <c r="I429" t="n">
        <v>0</v>
      </c>
      <c r="J429" t="n">
        <v>510000</v>
      </c>
    </row>
    <row r="430">
      <c r="A430" s="17" t="n">
        <v>46267</v>
      </c>
      <c r="B430" t="n">
        <v>147177</v>
      </c>
      <c r="C430" t="n">
        <v>59</v>
      </c>
      <c r="D430" t="n">
        <v>10</v>
      </c>
      <c r="E430" t="n">
        <v>6</v>
      </c>
      <c r="F430" t="n">
        <v>2</v>
      </c>
      <c r="G430" t="n">
        <v>990000</v>
      </c>
      <c r="H430" t="n">
        <v>800000</v>
      </c>
      <c r="I430" t="n">
        <v>0</v>
      </c>
      <c r="J430" t="n">
        <v>800000</v>
      </c>
    </row>
    <row r="431">
      <c r="A431" s="17" t="n">
        <v>46268</v>
      </c>
      <c r="B431" t="n">
        <v>155886</v>
      </c>
      <c r="C431" t="n">
        <v>45</v>
      </c>
      <c r="D431" t="n">
        <v>16</v>
      </c>
      <c r="E431" t="n">
        <v>7</v>
      </c>
      <c r="F431" t="n">
        <v>1</v>
      </c>
      <c r="G431" t="n">
        <v>480000</v>
      </c>
      <c r="H431" t="n">
        <v>170000</v>
      </c>
      <c r="I431" t="n">
        <v>0</v>
      </c>
      <c r="J431" t="n">
        <v>170000</v>
      </c>
    </row>
    <row r="432">
      <c r="A432" s="17" t="n">
        <v>46269</v>
      </c>
      <c r="B432" t="n">
        <v>148064</v>
      </c>
      <c r="C432" t="n">
        <v>55</v>
      </c>
      <c r="D432" t="n">
        <v>7</v>
      </c>
      <c r="E432" t="n">
        <v>3</v>
      </c>
      <c r="F432" t="n">
        <v>1</v>
      </c>
      <c r="G432" t="n">
        <v>510000</v>
      </c>
      <c r="H432" t="n">
        <v>480000</v>
      </c>
      <c r="I432" t="n">
        <v>0</v>
      </c>
      <c r="J432" t="n">
        <v>480000</v>
      </c>
    </row>
    <row r="433">
      <c r="A433" s="17" t="n">
        <v>46270</v>
      </c>
      <c r="B433" t="n">
        <v>147108</v>
      </c>
      <c r="C433" t="n">
        <v>50</v>
      </c>
      <c r="D433" t="n">
        <v>9</v>
      </c>
      <c r="E433" t="n">
        <v>8</v>
      </c>
      <c r="F433" t="n">
        <v>2</v>
      </c>
      <c r="G433" t="n">
        <v>2010000</v>
      </c>
      <c r="H433" t="n">
        <v>490000</v>
      </c>
      <c r="I433" t="n">
        <v>0</v>
      </c>
      <c r="J433" t="n">
        <v>490000</v>
      </c>
    </row>
    <row r="434">
      <c r="A434" s="17" t="n">
        <v>46271</v>
      </c>
      <c r="B434" t="n">
        <v>143357</v>
      </c>
      <c r="C434" t="n">
        <v>32</v>
      </c>
      <c r="D434" t="n">
        <v>8</v>
      </c>
      <c r="E434" t="n">
        <v>2</v>
      </c>
      <c r="F434" t="n">
        <v>4</v>
      </c>
      <c r="G434" t="n">
        <v>2310000</v>
      </c>
      <c r="H434" t="n">
        <v>2310000</v>
      </c>
      <c r="I434" t="n">
        <v>0</v>
      </c>
      <c r="J434" t="n">
        <v>2310000</v>
      </c>
    </row>
    <row r="435">
      <c r="A435" s="17" t="n">
        <v>46272</v>
      </c>
      <c r="B435" t="n">
        <v>146697</v>
      </c>
      <c r="C435" t="n">
        <v>48</v>
      </c>
      <c r="D435" t="n">
        <v>16</v>
      </c>
      <c r="E435" t="n">
        <v>6</v>
      </c>
      <c r="F435" t="n">
        <v>2</v>
      </c>
      <c r="G435" t="n">
        <v>630000</v>
      </c>
      <c r="H435" t="n">
        <v>2130000</v>
      </c>
      <c r="I435" t="n">
        <v>0</v>
      </c>
      <c r="J435" t="n">
        <v>2130000</v>
      </c>
    </row>
    <row r="436">
      <c r="A436" s="17" t="n">
        <v>46273</v>
      </c>
      <c r="B436" t="n">
        <v>147510</v>
      </c>
      <c r="C436" t="n">
        <v>64</v>
      </c>
      <c r="D436" t="n">
        <v>11</v>
      </c>
      <c r="E436" t="n">
        <v>4</v>
      </c>
      <c r="F436" t="n">
        <v>1</v>
      </c>
      <c r="G436" t="n">
        <v>150000</v>
      </c>
      <c r="H436" t="n">
        <v>320000</v>
      </c>
      <c r="I436" t="n">
        <v>0</v>
      </c>
      <c r="J436" t="n">
        <v>320000</v>
      </c>
    </row>
    <row r="437">
      <c r="A437" s="17" t="n">
        <v>46274</v>
      </c>
      <c r="B437" t="n">
        <v>140348</v>
      </c>
      <c r="C437" t="n">
        <v>46</v>
      </c>
      <c r="D437" t="n">
        <v>8</v>
      </c>
      <c r="E437" t="n">
        <v>4</v>
      </c>
      <c r="F437" t="n">
        <v>2</v>
      </c>
      <c r="G437" t="n">
        <v>960000</v>
      </c>
      <c r="H437" t="n">
        <v>650000</v>
      </c>
      <c r="I437" t="n">
        <v>0</v>
      </c>
      <c r="J437" t="n">
        <v>650000</v>
      </c>
    </row>
    <row r="438">
      <c r="A438" s="17" t="n">
        <v>46275</v>
      </c>
      <c r="B438" t="n">
        <v>146240</v>
      </c>
      <c r="C438" t="n">
        <v>64</v>
      </c>
      <c r="D438" t="n">
        <v>13</v>
      </c>
      <c r="E438" t="n">
        <v>5</v>
      </c>
      <c r="F438" t="n">
        <v>0</v>
      </c>
      <c r="G438" t="n">
        <v>0</v>
      </c>
      <c r="H438" t="n">
        <v>150000</v>
      </c>
      <c r="I438" t="n">
        <v>0</v>
      </c>
      <c r="J438" t="n">
        <v>150000</v>
      </c>
    </row>
    <row r="439">
      <c r="A439" s="17" t="n">
        <v>46276</v>
      </c>
      <c r="B439" t="n">
        <v>145452</v>
      </c>
      <c r="C439" t="n">
        <v>43</v>
      </c>
      <c r="D439" t="n">
        <v>10</v>
      </c>
      <c r="E439" t="n">
        <v>7</v>
      </c>
      <c r="F439" t="n">
        <v>2</v>
      </c>
      <c r="G439" t="n">
        <v>990000</v>
      </c>
      <c r="H439" t="n">
        <v>480000</v>
      </c>
      <c r="I439" t="n">
        <v>0</v>
      </c>
      <c r="J439" t="n">
        <v>480000</v>
      </c>
    </row>
    <row r="440">
      <c r="A440" s="17" t="n">
        <v>46277</v>
      </c>
      <c r="B440" t="n">
        <v>147043</v>
      </c>
      <c r="C440" t="n">
        <v>28</v>
      </c>
      <c r="D440" t="n">
        <v>10</v>
      </c>
      <c r="E440" t="n">
        <v>7</v>
      </c>
      <c r="F440" t="n">
        <v>2</v>
      </c>
      <c r="G440" t="n">
        <v>660000</v>
      </c>
      <c r="H440" t="n">
        <v>1310000</v>
      </c>
      <c r="I440" t="n">
        <v>0</v>
      </c>
      <c r="J440" t="n">
        <v>1310000</v>
      </c>
    </row>
    <row r="441">
      <c r="A441" s="17" t="n">
        <v>46278</v>
      </c>
      <c r="B441" t="n">
        <v>152504</v>
      </c>
      <c r="C441" t="n">
        <v>33</v>
      </c>
      <c r="D441" t="n">
        <v>8</v>
      </c>
      <c r="E441" t="n">
        <v>3</v>
      </c>
      <c r="F441" t="n">
        <v>0</v>
      </c>
      <c r="G441" t="n">
        <v>0</v>
      </c>
      <c r="H441" t="n">
        <v>490000</v>
      </c>
      <c r="I441" t="n">
        <v>0</v>
      </c>
      <c r="J441" t="n">
        <v>490000</v>
      </c>
    </row>
    <row r="442">
      <c r="A442" s="17" t="n">
        <v>46279</v>
      </c>
      <c r="B442" t="n">
        <v>144902</v>
      </c>
      <c r="C442" t="n">
        <v>47</v>
      </c>
      <c r="D442" t="n">
        <v>4</v>
      </c>
      <c r="E442" t="n">
        <v>6</v>
      </c>
      <c r="F442" t="n">
        <v>1</v>
      </c>
      <c r="G442" t="n">
        <v>480000</v>
      </c>
      <c r="H442" t="n">
        <v>0</v>
      </c>
      <c r="I442" t="n">
        <v>0</v>
      </c>
      <c r="J442" t="n">
        <v>0</v>
      </c>
    </row>
    <row r="443">
      <c r="A443" s="17" t="n">
        <v>46280</v>
      </c>
      <c r="B443" t="n">
        <v>151614</v>
      </c>
      <c r="C443" t="n">
        <v>64</v>
      </c>
      <c r="D443" t="n">
        <v>7</v>
      </c>
      <c r="E443" t="n">
        <v>10</v>
      </c>
      <c r="F443" t="n">
        <v>2</v>
      </c>
      <c r="G443" t="n">
        <v>630000</v>
      </c>
      <c r="H443" t="n">
        <v>1120000</v>
      </c>
      <c r="I443" t="n">
        <v>0</v>
      </c>
      <c r="J443" t="n">
        <v>1120000</v>
      </c>
    </row>
    <row r="444">
      <c r="A444" s="17" t="n">
        <v>46281</v>
      </c>
      <c r="B444" t="n">
        <v>139355</v>
      </c>
      <c r="C444" t="n">
        <v>44</v>
      </c>
      <c r="D444" t="n">
        <v>6</v>
      </c>
      <c r="E444" t="n">
        <v>4</v>
      </c>
      <c r="F444" t="n">
        <v>1</v>
      </c>
      <c r="G444" t="n">
        <v>1500000</v>
      </c>
      <c r="H444" t="n">
        <v>2130000</v>
      </c>
      <c r="I444" t="n">
        <v>170000</v>
      </c>
      <c r="J444" t="n">
        <v>1960000</v>
      </c>
    </row>
    <row r="445">
      <c r="A445" s="17" t="n">
        <v>46282</v>
      </c>
      <c r="B445" t="n">
        <v>145124</v>
      </c>
      <c r="C445" t="n">
        <v>47</v>
      </c>
      <c r="D445" t="n">
        <v>14</v>
      </c>
      <c r="E445" t="n">
        <v>3</v>
      </c>
      <c r="F445" t="n">
        <v>2</v>
      </c>
      <c r="G445" t="n">
        <v>630000</v>
      </c>
      <c r="H445" t="n">
        <v>150000</v>
      </c>
      <c r="I445" t="n">
        <v>0</v>
      </c>
      <c r="J445" t="n">
        <v>150000</v>
      </c>
    </row>
    <row r="446">
      <c r="A446" s="17" t="n">
        <v>46283</v>
      </c>
      <c r="B446" t="n">
        <v>151272</v>
      </c>
      <c r="C446" t="n">
        <v>45</v>
      </c>
      <c r="D446" t="n">
        <v>9</v>
      </c>
      <c r="E446" t="n">
        <v>2</v>
      </c>
      <c r="F446" t="n">
        <v>20</v>
      </c>
      <c r="G446" t="n">
        <v>11790000</v>
      </c>
      <c r="H446" t="n">
        <v>10740000</v>
      </c>
      <c r="I446" t="n">
        <v>0</v>
      </c>
      <c r="J446" t="n">
        <v>10740000</v>
      </c>
    </row>
    <row r="447">
      <c r="A447" s="17" t="n">
        <v>46284</v>
      </c>
      <c r="B447" t="n">
        <v>151353</v>
      </c>
      <c r="C447" t="n">
        <v>33</v>
      </c>
      <c r="D447" t="n">
        <v>13</v>
      </c>
      <c r="E447" t="n">
        <v>6</v>
      </c>
      <c r="F447" t="n">
        <v>1</v>
      </c>
      <c r="G447" t="n">
        <v>150000</v>
      </c>
      <c r="H447" t="n">
        <v>470000</v>
      </c>
      <c r="I447" t="n">
        <v>0</v>
      </c>
      <c r="J447" t="n">
        <v>470000</v>
      </c>
    </row>
    <row r="448">
      <c r="A448" s="17" t="n">
        <v>46285</v>
      </c>
      <c r="B448" t="n">
        <v>148850</v>
      </c>
      <c r="C448" t="n">
        <v>36</v>
      </c>
      <c r="D448" t="n">
        <v>15</v>
      </c>
      <c r="E448" t="n">
        <v>3</v>
      </c>
      <c r="F448" t="n">
        <v>1</v>
      </c>
      <c r="G448" t="n">
        <v>510000</v>
      </c>
      <c r="H448" t="n">
        <v>750000</v>
      </c>
      <c r="I448" t="n">
        <v>0</v>
      </c>
      <c r="J448" t="n">
        <v>750000</v>
      </c>
    </row>
    <row r="449">
      <c r="A449" s="17" t="n">
        <v>46286</v>
      </c>
      <c r="B449" t="n">
        <v>149294</v>
      </c>
      <c r="C449" t="n">
        <v>42</v>
      </c>
      <c r="D449" t="n">
        <v>8</v>
      </c>
      <c r="E449" t="n">
        <v>5</v>
      </c>
      <c r="F449" t="n">
        <v>0</v>
      </c>
      <c r="G449" t="n">
        <v>0</v>
      </c>
      <c r="H449" t="n">
        <v>470000</v>
      </c>
      <c r="I449" t="n">
        <v>0</v>
      </c>
      <c r="J449" t="n">
        <v>470000</v>
      </c>
    </row>
    <row r="450">
      <c r="A450" s="17" t="n">
        <v>46287</v>
      </c>
      <c r="B450" t="n">
        <v>148015</v>
      </c>
      <c r="C450" t="n">
        <v>68</v>
      </c>
      <c r="D450" t="n">
        <v>9</v>
      </c>
      <c r="E450" t="n">
        <v>6</v>
      </c>
      <c r="F450" t="n">
        <v>2</v>
      </c>
      <c r="G450" t="n">
        <v>300000</v>
      </c>
      <c r="H450" t="n">
        <v>470000</v>
      </c>
      <c r="I450" t="n">
        <v>240000</v>
      </c>
      <c r="J450" t="n">
        <v>230000</v>
      </c>
    </row>
    <row r="451">
      <c r="A451" s="17" t="n">
        <v>46288</v>
      </c>
      <c r="B451" t="n">
        <v>149237</v>
      </c>
      <c r="C451" t="n">
        <v>57</v>
      </c>
      <c r="D451" t="n">
        <v>15</v>
      </c>
      <c r="E451" t="n">
        <v>3</v>
      </c>
      <c r="F451" t="n">
        <v>1</v>
      </c>
      <c r="G451" t="n">
        <v>150000</v>
      </c>
      <c r="H451" t="n">
        <v>320000</v>
      </c>
      <c r="I451" t="n">
        <v>0</v>
      </c>
      <c r="J451" t="n">
        <v>320000</v>
      </c>
    </row>
    <row r="452">
      <c r="A452" s="17" t="n">
        <v>46289</v>
      </c>
      <c r="B452" t="n">
        <v>143844</v>
      </c>
      <c r="C452" t="n">
        <v>58</v>
      </c>
      <c r="D452" t="n">
        <v>13</v>
      </c>
      <c r="E452" t="n">
        <v>5</v>
      </c>
      <c r="F452" t="n">
        <v>1</v>
      </c>
      <c r="G452" t="n">
        <v>510000</v>
      </c>
      <c r="H452" t="n">
        <v>300000</v>
      </c>
      <c r="I452" t="n">
        <v>0</v>
      </c>
      <c r="J452" t="n">
        <v>300000</v>
      </c>
    </row>
    <row r="453">
      <c r="A453" s="17" t="n">
        <v>46290</v>
      </c>
      <c r="B453" t="n">
        <v>143399</v>
      </c>
      <c r="C453" t="n">
        <v>38</v>
      </c>
      <c r="D453" t="n">
        <v>9</v>
      </c>
      <c r="E453" t="n">
        <v>2</v>
      </c>
      <c r="F453" t="n">
        <v>0</v>
      </c>
      <c r="G453" t="n">
        <v>0</v>
      </c>
      <c r="H453" t="n">
        <v>170000</v>
      </c>
      <c r="I453" t="n">
        <v>0</v>
      </c>
      <c r="J453" t="n">
        <v>170000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>
      <c r="A1" s="15" t="inlineStr">
        <is>
          <t>campaign_id</t>
        </is>
      </c>
      <c r="B1" s="15" t="inlineStr">
        <is>
          <t>source</t>
        </is>
      </c>
      <c r="C1" s="15" t="inlineStr">
        <is>
          <t>medium</t>
        </is>
      </c>
      <c r="D1" s="15" t="inlineStr">
        <is>
          <t>spend_cents</t>
        </is>
      </c>
      <c r="E1" s="15" t="inlineStr">
        <is>
          <t>leads</t>
        </is>
      </c>
      <c r="F1" s="15" t="inlineStr">
        <is>
          <t>mqls</t>
        </is>
      </c>
      <c r="G1" s="15" t="inlineStr">
        <is>
          <t>customers</t>
        </is>
      </c>
      <c r="H1" s="15" t="inlineStr">
        <is>
          <t>net_cash_cents</t>
        </is>
      </c>
    </row>
    <row r="2">
      <c r="A2" s="2" t="inlineStr">
        <is>
          <t>linkedin_ceo_abm</t>
        </is>
      </c>
      <c r="B2" s="2" t="inlineStr">
        <is>
          <t>linkedin</t>
        </is>
      </c>
      <c r="C2" s="2" t="inlineStr">
        <is>
          <t>paid_social</t>
        </is>
      </c>
      <c r="D2" s="2" t="n">
        <v>9197296</v>
      </c>
      <c r="E2" s="2" t="n">
        <v>581</v>
      </c>
      <c r="F2" s="2" t="n">
        <v>256</v>
      </c>
      <c r="G2" s="2" t="n">
        <v>53</v>
      </c>
      <c r="H2" s="2" t="n">
        <v>54820000</v>
      </c>
    </row>
    <row r="3">
      <c r="A3" t="inlineStr">
        <is>
          <t>google_brand_search</t>
        </is>
      </c>
      <c r="B3" t="inlineStr">
        <is>
          <t>google</t>
        </is>
      </c>
      <c r="C3" t="inlineStr">
        <is>
          <t>paid_search</t>
        </is>
      </c>
      <c r="D3" t="n">
        <v>3095072</v>
      </c>
      <c r="E3" t="n">
        <v>1210</v>
      </c>
      <c r="F3" t="n">
        <v>611</v>
      </c>
      <c r="G3" t="n">
        <v>68</v>
      </c>
      <c r="H3" t="n">
        <v>51265000</v>
      </c>
    </row>
    <row r="4">
      <c r="A4" t="inlineStr">
        <is>
          <t>meta_prospecting_founder</t>
        </is>
      </c>
      <c r="B4" t="inlineStr">
        <is>
          <t>meta</t>
        </is>
      </c>
      <c r="C4" t="inlineStr">
        <is>
          <t>paid_social</t>
        </is>
      </c>
      <c r="D4" t="n">
        <v>15857171</v>
      </c>
      <c r="E4" t="n">
        <v>3773</v>
      </c>
      <c r="F4" t="n">
        <v>872</v>
      </c>
      <c r="G4" t="n">
        <v>75</v>
      </c>
      <c r="H4" t="n">
        <v>47425000</v>
      </c>
    </row>
    <row r="5">
      <c r="A5" t="inlineStr">
        <is>
          <t>youtube_founder_guide</t>
        </is>
      </c>
      <c r="B5" t="inlineStr">
        <is>
          <t>youtube</t>
        </is>
      </c>
      <c r="C5" t="inlineStr">
        <is>
          <t>organic_video</t>
        </is>
      </c>
      <c r="D5" t="n">
        <v>0</v>
      </c>
      <c r="E5" t="n">
        <v>1885</v>
      </c>
      <c r="F5" t="n">
        <v>451</v>
      </c>
      <c r="G5" t="n">
        <v>44</v>
      </c>
      <c r="H5" t="n">
        <v>32690000</v>
      </c>
    </row>
    <row r="6">
      <c r="A6" t="inlineStr">
        <is>
          <t>meta_retargeting_webinar</t>
        </is>
      </c>
      <c r="B6" t="inlineStr">
        <is>
          <t>meta</t>
        </is>
      </c>
      <c r="C6" t="inlineStr">
        <is>
          <t>paid_social</t>
        </is>
      </c>
      <c r="D6" t="n">
        <v>4208155</v>
      </c>
      <c r="E6" t="n">
        <v>1297</v>
      </c>
      <c r="F6" t="n">
        <v>465</v>
      </c>
      <c r="G6" t="n">
        <v>43</v>
      </c>
      <c r="H6" t="n">
        <v>26005000</v>
      </c>
    </row>
    <row r="7">
      <c r="A7" t="inlineStr">
        <is>
          <t>google_nonbrand_growth</t>
        </is>
      </c>
      <c r="B7" t="inlineStr">
        <is>
          <t>google</t>
        </is>
      </c>
      <c r="C7" t="inlineStr">
        <is>
          <t>paid_search</t>
        </is>
      </c>
      <c r="D7" t="n">
        <v>9394809</v>
      </c>
      <c r="E7" t="n">
        <v>1309</v>
      </c>
      <c r="F7" t="n">
        <v>359</v>
      </c>
      <c r="G7" t="n">
        <v>36</v>
      </c>
      <c r="H7" t="n">
        <v>20910000</v>
      </c>
    </row>
    <row r="8">
      <c r="A8" t="inlineStr">
        <is>
          <t>newsletter_weekly</t>
        </is>
      </c>
      <c r="B8" t="inlineStr">
        <is>
          <t>newsletter</t>
        </is>
      </c>
      <c r="C8" t="inlineStr">
        <is>
          <t>owned_email</t>
        </is>
      </c>
      <c r="D8" t="n">
        <v>0</v>
      </c>
      <c r="E8" t="n">
        <v>1094</v>
      </c>
      <c r="F8" t="n">
        <v>348</v>
      </c>
      <c r="G8" t="n">
        <v>26</v>
      </c>
      <c r="H8" t="n">
        <v>17190000</v>
      </c>
    </row>
    <row r="9">
      <c r="A9" t="inlineStr">
        <is>
          <t>webinar_growth_os</t>
        </is>
      </c>
      <c r="B9" t="inlineStr">
        <is>
          <t>webinar</t>
        </is>
      </c>
      <c r="C9" t="inlineStr">
        <is>
          <t>event</t>
        </is>
      </c>
      <c r="D9" t="n">
        <v>0</v>
      </c>
      <c r="E9" t="n">
        <v>368</v>
      </c>
      <c r="F9" t="n">
        <v>153</v>
      </c>
      <c r="G9" t="n">
        <v>23</v>
      </c>
      <c r="H9" t="n">
        <v>14760000</v>
      </c>
    </row>
    <row r="10">
      <c r="A10" t="inlineStr">
        <is>
          <t>partner_podcast</t>
        </is>
      </c>
      <c r="B10" t="inlineStr">
        <is>
          <t>partner</t>
        </is>
      </c>
      <c r="C10" t="inlineStr">
        <is>
          <t>referral</t>
        </is>
      </c>
      <c r="D10" t="n">
        <v>0</v>
      </c>
      <c r="E10" t="n">
        <v>335</v>
      </c>
      <c r="F10" t="n">
        <v>132</v>
      </c>
      <c r="G10" t="n">
        <v>16</v>
      </c>
      <c r="H10" t="n">
        <v>13810000</v>
      </c>
    </row>
    <row r="11">
      <c r="A11" t="inlineStr">
        <is>
          <t>FB-Broad</t>
        </is>
      </c>
      <c r="B11" t="inlineStr">
        <is>
          <t>FB</t>
        </is>
      </c>
      <c r="C11" t="inlineStr">
        <is>
          <t>paid_social</t>
        </is>
      </c>
      <c r="D11" t="n">
        <v>4281152</v>
      </c>
      <c r="E11" t="n">
        <v>1017</v>
      </c>
      <c r="F11" t="n">
        <v>209</v>
      </c>
      <c r="G11" t="n">
        <v>22</v>
      </c>
      <c r="H11" t="n">
        <v>12660000</v>
      </c>
    </row>
    <row r="12">
      <c r="A12" t="inlineStr">
        <is>
          <t>direct</t>
        </is>
      </c>
      <c r="B12" t="inlineStr">
        <is>
          <t>direct</t>
        </is>
      </c>
      <c r="C12" t="inlineStr">
        <is>
          <t>none</t>
        </is>
      </c>
      <c r="D12" t="n">
        <v>0</v>
      </c>
      <c r="E12" t="n">
        <v>380</v>
      </c>
      <c r="F12" t="n">
        <v>103</v>
      </c>
      <c r="G12" t="n">
        <v>13</v>
      </c>
      <c r="H12" t="n">
        <v>9630000</v>
      </c>
    </row>
    <row r="13">
      <c r="A13" t="inlineStr">
        <is>
          <t>meta_broad_v17</t>
        </is>
      </c>
      <c r="B13" t="inlineStr">
        <is>
          <t>meta</t>
        </is>
      </c>
      <c r="C13" t="inlineStr">
        <is>
          <t>paid_social</t>
        </is>
      </c>
      <c r="D13" t="n">
        <v>2205650</v>
      </c>
      <c r="E13" t="n">
        <v>965</v>
      </c>
      <c r="F13" t="n">
        <v>77</v>
      </c>
      <c r="G13" t="n">
        <v>2</v>
      </c>
      <c r="H13" t="n">
        <v>340000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15" t="inlineStr">
        <is>
          <t>stage</t>
        </is>
      </c>
      <c r="B1" s="15" t="inlineStr">
        <is>
          <t>ordinal</t>
        </is>
      </c>
      <c r="C1" s="15" t="inlineStr">
        <is>
          <t>people</t>
        </is>
      </c>
      <c r="D1" s="15" t="inlineStr">
        <is>
          <t>from_previous_rate</t>
        </is>
      </c>
    </row>
    <row r="2">
      <c r="A2" s="2" t="inlineStr">
        <is>
          <t>lead</t>
        </is>
      </c>
      <c r="B2" s="2" t="n">
        <v>1</v>
      </c>
      <c r="C2" s="2" t="n">
        <v>14693</v>
      </c>
      <c r="D2" s="2" t="n"/>
    </row>
    <row r="3">
      <c r="A3" t="inlineStr">
        <is>
          <t>mql</t>
        </is>
      </c>
      <c r="B3" t="n">
        <v>2</v>
      </c>
      <c r="C3" t="n">
        <v>4115</v>
      </c>
      <c r="D3" t="n">
        <v>0.2801</v>
      </c>
    </row>
    <row r="4">
      <c r="A4" t="inlineStr">
        <is>
          <t>call_booked</t>
        </is>
      </c>
      <c r="B4" t="n">
        <v>3</v>
      </c>
      <c r="C4" t="n">
        <v>1896</v>
      </c>
      <c r="D4" t="n">
        <v>0.4608</v>
      </c>
    </row>
    <row r="5">
      <c r="A5" t="inlineStr">
        <is>
          <t>call_attended</t>
        </is>
      </c>
      <c r="B5" t="n">
        <v>4</v>
      </c>
      <c r="C5" t="n">
        <v>1420</v>
      </c>
      <c r="D5" t="n">
        <v>0.7489</v>
      </c>
    </row>
    <row r="6">
      <c r="A6" t="inlineStr">
        <is>
          <t>opportunity</t>
        </is>
      </c>
      <c r="B6" t="n">
        <v>5</v>
      </c>
      <c r="C6" t="n">
        <v>1199</v>
      </c>
      <c r="D6" t="n">
        <v>0.8444</v>
      </c>
    </row>
    <row r="7">
      <c r="A7" t="inlineStr">
        <is>
          <t>closed_won</t>
        </is>
      </c>
      <c r="B7" t="n">
        <v>6</v>
      </c>
      <c r="C7" t="n">
        <v>438</v>
      </c>
      <c r="D7" t="n">
        <v>0.3578</v>
      </c>
    </row>
    <row r="8">
      <c r="A8" t="inlineStr">
        <is>
          <t>paid</t>
        </is>
      </c>
      <c r="B8" t="n">
        <v>7</v>
      </c>
      <c r="C8" t="n">
        <v>427</v>
      </c>
      <c r="D8" t="n">
        <v>0.9749</v>
      </c>
    </row>
    <row r="9">
      <c r="A9" t="inlineStr">
        <is>
          <t>activated</t>
        </is>
      </c>
      <c r="B9" t="n">
        <v>8</v>
      </c>
      <c r="C9" t="n">
        <v>418</v>
      </c>
      <c r="D9" t="n">
        <v>0.9789</v>
      </c>
    </row>
    <row r="10">
      <c r="A10" t="inlineStr">
        <is>
          <t>renewed</t>
        </is>
      </c>
      <c r="B10" t="n">
        <v>9</v>
      </c>
      <c r="C10" t="n">
        <v>19</v>
      </c>
      <c r="D10" t="n">
        <v>0.0455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15" customWidth="1" min="3" max="3"/>
    <col width="21" customWidth="1" min="4" max="4"/>
  </cols>
  <sheetData>
    <row r="1">
      <c r="A1" s="15" t="inlineStr">
        <is>
          <t>booked_cents</t>
        </is>
      </c>
      <c r="B1" s="15" t="inlineStr">
        <is>
          <t>gross_collected_cents</t>
        </is>
      </c>
      <c r="C1" s="15" t="inlineStr">
        <is>
          <t>refunds_cents</t>
        </is>
      </c>
      <c r="D1" s="15" t="inlineStr">
        <is>
          <t>net_collected_cents</t>
        </is>
      </c>
    </row>
    <row r="2">
      <c r="A2" s="2" t="n">
        <v>332340000</v>
      </c>
      <c r="B2" s="2" t="n">
        <v>319080000</v>
      </c>
      <c r="C2" s="2" t="n">
        <v>13345000</v>
      </c>
      <c r="D2" s="2" t="n">
        <v>305735000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5" t="inlineStr">
        <is>
          <t>ordinal</t>
        </is>
      </c>
      <c r="B1" s="15" t="inlineStr">
        <is>
          <t>step</t>
        </is>
      </c>
      <c r="C1" s="15" t="inlineStr">
        <is>
          <t>kind</t>
        </is>
      </c>
      <c r="D1" s="15" t="inlineStr">
        <is>
          <t>cents</t>
        </is>
      </c>
    </row>
    <row r="2">
      <c r="A2" s="2" t="n">
        <v>1</v>
      </c>
      <c r="B2" s="2" t="inlineStr">
        <is>
          <t>crm_booked</t>
        </is>
      </c>
      <c r="C2" s="2" t="inlineStr">
        <is>
          <t>total</t>
        </is>
      </c>
      <c r="D2" s="2" t="n">
        <v>332340000</v>
      </c>
    </row>
    <row r="3">
      <c r="A3" t="n">
        <v>2</v>
      </c>
      <c r="B3" t="inlineStr">
        <is>
          <t>duplicate_deals</t>
        </is>
      </c>
      <c r="C3" t="inlineStr">
        <is>
          <t>delta</t>
        </is>
      </c>
      <c r="D3" t="n">
        <v>-480000</v>
      </c>
    </row>
    <row r="4">
      <c r="A4" t="n">
        <v>3</v>
      </c>
      <c r="B4" t="inlineStr">
        <is>
          <t>not_yet_collected</t>
        </is>
      </c>
      <c r="C4" t="inlineStr">
        <is>
          <t>delta</t>
        </is>
      </c>
      <c r="D4" t="n">
        <v>-18960000</v>
      </c>
    </row>
    <row r="5">
      <c r="A5" t="n">
        <v>4</v>
      </c>
      <c r="B5" t="inlineStr">
        <is>
          <t>unlinked_payments</t>
        </is>
      </c>
      <c r="C5" t="inlineStr">
        <is>
          <t>delta</t>
        </is>
      </c>
      <c r="D5" t="n">
        <v>3330000</v>
      </c>
    </row>
    <row r="6">
      <c r="A6" t="n">
        <v>5</v>
      </c>
      <c r="B6" t="inlineStr">
        <is>
          <t>renewals</t>
        </is>
      </c>
      <c r="C6" t="inlineStr">
        <is>
          <t>delta</t>
        </is>
      </c>
      <c r="D6" t="n">
        <v>2850000</v>
      </c>
    </row>
    <row r="7">
      <c r="A7" t="n">
        <v>6</v>
      </c>
      <c r="B7" t="inlineStr">
        <is>
          <t>gross_collected</t>
        </is>
      </c>
      <c r="C7" t="inlineStr">
        <is>
          <t>total</t>
        </is>
      </c>
      <c r="D7" t="n">
        <v>319080000</v>
      </c>
    </row>
    <row r="8">
      <c r="A8" t="n">
        <v>7</v>
      </c>
      <c r="B8" t="inlineStr">
        <is>
          <t>refunds</t>
        </is>
      </c>
      <c r="C8" t="inlineStr">
        <is>
          <t>delta</t>
        </is>
      </c>
      <c r="D8" t="n">
        <v>-13345000</v>
      </c>
    </row>
    <row r="9">
      <c r="A9" t="n">
        <v>8</v>
      </c>
      <c r="B9" t="inlineStr">
        <is>
          <t>net_collected</t>
        </is>
      </c>
      <c r="C9" t="inlineStr">
        <is>
          <t>total</t>
        </is>
      </c>
      <c r="D9" t="n">
        <v>305735000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22" customWidth="1" min="4" max="4"/>
    <col width="26" customWidth="1" min="5" max="5"/>
  </cols>
  <sheetData>
    <row r="1">
      <c r="A1" s="15" t="inlineStr">
        <is>
          <t>platform</t>
        </is>
      </c>
      <c r="B1" s="15" t="inlineStr">
        <is>
          <t>spend_cents</t>
        </is>
      </c>
      <c r="C1" s="15" t="inlineStr">
        <is>
          <t>reported_conversions</t>
        </is>
      </c>
      <c r="D1" s="15" t="inlineStr">
        <is>
          <t>reported_value_cents</t>
        </is>
      </c>
      <c r="E1" s="15" t="inlineStr">
        <is>
          <t>warehouse_net_cash_cents</t>
        </is>
      </c>
    </row>
    <row r="2">
      <c r="A2" s="2" t="inlineStr">
        <is>
          <t>google</t>
        </is>
      </c>
      <c r="B2" s="2" t="n">
        <v>12489881</v>
      </c>
      <c r="C2" s="2" t="n">
        <v>157</v>
      </c>
      <c r="D2" s="2" t="n">
        <v>108360000</v>
      </c>
      <c r="E2" s="2" t="n">
        <v>72175000</v>
      </c>
    </row>
    <row r="3">
      <c r="A3" t="inlineStr">
        <is>
          <t>linkedin</t>
        </is>
      </c>
      <c r="B3" t="n">
        <v>9197296</v>
      </c>
      <c r="C3" t="n">
        <v>79</v>
      </c>
      <c r="D3" t="n">
        <v>71100000</v>
      </c>
      <c r="E3" t="n">
        <v>54820000</v>
      </c>
    </row>
    <row r="4">
      <c r="A4" t="inlineStr">
        <is>
          <t>meta</t>
        </is>
      </c>
      <c r="B4" t="n">
        <v>26552128</v>
      </c>
      <c r="C4" t="n">
        <v>280</v>
      </c>
      <c r="D4" t="n">
        <v>192960000</v>
      </c>
      <c r="E4" t="n">
        <v>86430000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2" customWidth="1" min="8" max="8"/>
    <col width="14" customWidth="1" min="9" max="9"/>
    <col width="12" customWidth="1" min="10" max="10"/>
    <col width="27" customWidth="1" min="11" max="11"/>
  </cols>
  <sheetData>
    <row r="1">
      <c r="A1" s="15" t="inlineStr">
        <is>
          <t>content_id</t>
        </is>
      </c>
      <c r="B1" s="15" t="inlineStr">
        <is>
          <t>title</t>
        </is>
      </c>
      <c r="C1" s="15" t="inlineStr">
        <is>
          <t>platform</t>
        </is>
      </c>
      <c r="D1" s="15" t="inlineStr">
        <is>
          <t>topic</t>
        </is>
      </c>
      <c r="E1" s="15" t="inlineStr">
        <is>
          <t>views</t>
        </is>
      </c>
      <c r="F1" s="15" t="inlineStr">
        <is>
          <t>clicks</t>
        </is>
      </c>
      <c r="G1" s="15" t="inlineStr">
        <is>
          <t>engaged_leads</t>
        </is>
      </c>
      <c r="H1" s="15" t="inlineStr">
        <is>
          <t>mqls</t>
        </is>
      </c>
      <c r="I1" s="15" t="inlineStr">
        <is>
          <t>calls_booked</t>
        </is>
      </c>
      <c r="J1" s="15" t="inlineStr">
        <is>
          <t>customers</t>
        </is>
      </c>
      <c r="K1" s="15" t="inlineStr">
        <is>
          <t>influenced_net_cash_cents</t>
        </is>
      </c>
    </row>
    <row r="2">
      <c r="A2" s="2" t="inlineStr">
        <is>
          <t>video-01</t>
        </is>
      </c>
      <c r="B2" s="2" t="inlineStr">
        <is>
          <t>Why founders burn out (ep. 1)</t>
        </is>
      </c>
      <c r="C2" s="2" t="inlineStr">
        <is>
          <t>youtube</t>
        </is>
      </c>
      <c r="D2" s="2" t="inlineStr">
        <is>
          <t>mindset</t>
        </is>
      </c>
      <c r="E2" s="2" t="n">
        <v>44650</v>
      </c>
      <c r="F2" s="2" t="n">
        <v>556</v>
      </c>
      <c r="G2" s="2" t="n">
        <v>1122</v>
      </c>
      <c r="H2" s="2" t="n">
        <v>232</v>
      </c>
      <c r="I2" s="2" t="n">
        <v>104</v>
      </c>
      <c r="J2" s="2" t="n">
        <v>16</v>
      </c>
      <c r="K2" s="2" t="n">
        <v>13500000</v>
      </c>
    </row>
    <row r="3">
      <c r="A3" t="inlineStr">
        <is>
          <t>video-07</t>
        </is>
      </c>
      <c r="B3" t="inlineStr">
        <is>
          <t>The discovery call script (ep. 7)</t>
        </is>
      </c>
      <c r="C3" t="inlineStr">
        <is>
          <t>youtube</t>
        </is>
      </c>
      <c r="D3" t="inlineStr">
        <is>
          <t>sales</t>
        </is>
      </c>
      <c r="E3" t="n">
        <v>11740</v>
      </c>
      <c r="F3" t="n">
        <v>324</v>
      </c>
      <c r="G3" t="n">
        <v>246</v>
      </c>
      <c r="H3" t="n">
        <v>82</v>
      </c>
      <c r="I3" t="n">
        <v>40</v>
      </c>
      <c r="J3" t="n">
        <v>15</v>
      </c>
      <c r="K3" t="n">
        <v>12070000</v>
      </c>
    </row>
    <row r="4">
      <c r="A4" t="inlineStr">
        <is>
          <t>video-05</t>
        </is>
      </c>
      <c r="B4" t="inlineStr">
        <is>
          <t>Morning routine of a CEO (ep. 5)</t>
        </is>
      </c>
      <c r="C4" t="inlineStr">
        <is>
          <t>youtube</t>
        </is>
      </c>
      <c r="D4" t="inlineStr">
        <is>
          <t>mindset</t>
        </is>
      </c>
      <c r="E4" t="n">
        <v>24910</v>
      </c>
      <c r="F4" t="n">
        <v>252</v>
      </c>
      <c r="G4" t="n">
        <v>604</v>
      </c>
      <c r="H4" t="n">
        <v>130</v>
      </c>
      <c r="I4" t="n">
        <v>50</v>
      </c>
      <c r="J4" t="n">
        <v>15</v>
      </c>
      <c r="K4" t="n">
        <v>10460000</v>
      </c>
    </row>
    <row r="5">
      <c r="A5" t="inlineStr">
        <is>
          <t>video-03</t>
        </is>
      </c>
      <c r="B5" t="inlineStr">
        <is>
          <t>Delegating the inbox (ep. 3)</t>
        </is>
      </c>
      <c r="C5" t="inlineStr">
        <is>
          <t>youtube</t>
        </is>
      </c>
      <c r="D5" t="inlineStr">
        <is>
          <t>systems</t>
        </is>
      </c>
      <c r="E5" t="n">
        <v>11177</v>
      </c>
      <c r="F5" t="n">
        <v>297</v>
      </c>
      <c r="G5" t="n">
        <v>270</v>
      </c>
      <c r="H5" t="n">
        <v>88</v>
      </c>
      <c r="I5" t="n">
        <v>37</v>
      </c>
      <c r="J5" t="n">
        <v>8</v>
      </c>
      <c r="K5" t="n">
        <v>5790000</v>
      </c>
    </row>
    <row r="6">
      <c r="A6" t="inlineStr">
        <is>
          <t>video-13</t>
        </is>
      </c>
      <c r="B6" t="inlineStr">
        <is>
          <t>Founder operating system (ep. 13)</t>
        </is>
      </c>
      <c r="C6" t="inlineStr">
        <is>
          <t>youtube</t>
        </is>
      </c>
      <c r="D6" t="inlineStr">
        <is>
          <t>systems</t>
        </is>
      </c>
      <c r="E6" t="n">
        <v>12532</v>
      </c>
      <c r="F6" t="n">
        <v>249</v>
      </c>
      <c r="G6" t="n">
        <v>166</v>
      </c>
      <c r="H6" t="n">
        <v>42</v>
      </c>
      <c r="I6" t="n">
        <v>23</v>
      </c>
      <c r="J6" t="n">
        <v>7</v>
      </c>
      <c r="K6" t="n">
        <v>5260000</v>
      </c>
    </row>
    <row r="7">
      <c r="A7" t="inlineStr">
        <is>
          <t>video-06</t>
        </is>
      </c>
      <c r="B7" t="inlineStr">
        <is>
          <t>Value-based pricing teardown (ep. 6)</t>
        </is>
      </c>
      <c r="C7" t="inlineStr">
        <is>
          <t>youtube</t>
        </is>
      </c>
      <c r="D7" t="inlineStr">
        <is>
          <t>pricing</t>
        </is>
      </c>
      <c r="E7" t="n">
        <v>5936</v>
      </c>
      <c r="F7" t="n">
        <v>256</v>
      </c>
      <c r="G7" t="n">
        <v>165</v>
      </c>
      <c r="H7" t="n">
        <v>71</v>
      </c>
      <c r="I7" t="n">
        <v>37</v>
      </c>
      <c r="J7" t="n">
        <v>7</v>
      </c>
      <c r="K7" t="n">
        <v>4890000</v>
      </c>
    </row>
    <row r="8">
      <c r="A8" t="inlineStr">
        <is>
          <t>video-02</t>
        </is>
      </c>
      <c r="B8" t="inlineStr">
        <is>
          <t>Handling the budget objection (ep. 2)</t>
        </is>
      </c>
      <c r="C8" t="inlineStr">
        <is>
          <t>youtube</t>
        </is>
      </c>
      <c r="D8" t="inlineStr">
        <is>
          <t>sales</t>
        </is>
      </c>
      <c r="E8" t="n">
        <v>8300</v>
      </c>
      <c r="F8" t="n">
        <v>324</v>
      </c>
      <c r="G8" t="n">
        <v>221</v>
      </c>
      <c r="H8" t="n">
        <v>73</v>
      </c>
      <c r="I8" t="n">
        <v>36</v>
      </c>
      <c r="J8" t="n">
        <v>8</v>
      </c>
      <c r="K8" t="n">
        <v>4830000</v>
      </c>
    </row>
    <row r="9">
      <c r="A9" t="inlineStr">
        <is>
          <t>video-15</t>
        </is>
      </c>
      <c r="B9" t="inlineStr">
        <is>
          <t>Value-based pricing teardown (ep. 15)</t>
        </is>
      </c>
      <c r="C9" t="inlineStr">
        <is>
          <t>youtube</t>
        </is>
      </c>
      <c r="D9" t="inlineStr">
        <is>
          <t>pricing</t>
        </is>
      </c>
      <c r="E9" t="n">
        <v>7182</v>
      </c>
      <c r="F9" t="n">
        <v>160</v>
      </c>
      <c r="G9" t="n">
        <v>73</v>
      </c>
      <c r="H9" t="n">
        <v>27</v>
      </c>
      <c r="I9" t="n">
        <v>18</v>
      </c>
      <c r="J9" t="n">
        <v>6</v>
      </c>
      <c r="K9" t="n">
        <v>4380000</v>
      </c>
    </row>
    <row r="10">
      <c r="A10" t="inlineStr">
        <is>
          <t>video-08</t>
        </is>
      </c>
      <c r="B10" t="inlineStr">
        <is>
          <t>Handling the budget objection (ep. 8)</t>
        </is>
      </c>
      <c r="C10" t="inlineStr">
        <is>
          <t>youtube</t>
        </is>
      </c>
      <c r="D10" t="inlineStr">
        <is>
          <t>sales</t>
        </is>
      </c>
      <c r="E10" t="n">
        <v>5805</v>
      </c>
      <c r="F10" t="n">
        <v>195</v>
      </c>
      <c r="G10" t="n">
        <v>112</v>
      </c>
      <c r="H10" t="n">
        <v>41</v>
      </c>
      <c r="I10" t="n">
        <v>18</v>
      </c>
      <c r="J10" t="n">
        <v>5</v>
      </c>
      <c r="K10" t="n">
        <v>4200000</v>
      </c>
    </row>
    <row r="11">
      <c r="A11" t="inlineStr">
        <is>
          <t>video-12</t>
        </is>
      </c>
      <c r="B11" t="inlineStr">
        <is>
          <t>Closing without pressure (ep. 12)</t>
        </is>
      </c>
      <c r="C11" t="inlineStr">
        <is>
          <t>youtube</t>
        </is>
      </c>
      <c r="D11" t="inlineStr">
        <is>
          <t>sales</t>
        </is>
      </c>
      <c r="E11" t="n">
        <v>7187</v>
      </c>
      <c r="F11" t="n">
        <v>227</v>
      </c>
      <c r="G11" t="n">
        <v>114</v>
      </c>
      <c r="H11" t="n">
        <v>34</v>
      </c>
      <c r="I11" t="n">
        <v>14</v>
      </c>
      <c r="J11" t="n">
        <v>2</v>
      </c>
      <c r="K11" t="n">
        <v>3150000</v>
      </c>
    </row>
    <row r="12">
      <c r="A12" t="inlineStr">
        <is>
          <t>video-04</t>
        </is>
      </c>
      <c r="B12" t="inlineStr">
        <is>
          <t>Your first operations hire (ep. 4)</t>
        </is>
      </c>
      <c r="C12" t="inlineStr">
        <is>
          <t>youtube</t>
        </is>
      </c>
      <c r="D12" t="inlineStr">
        <is>
          <t>hiring</t>
        </is>
      </c>
      <c r="E12" t="n">
        <v>17570</v>
      </c>
      <c r="F12" t="n">
        <v>440</v>
      </c>
      <c r="G12" t="n">
        <v>455</v>
      </c>
      <c r="H12" t="n">
        <v>137</v>
      </c>
      <c r="I12" t="n">
        <v>60</v>
      </c>
      <c r="J12" t="n">
        <v>7</v>
      </c>
      <c r="K12" t="n">
        <v>3120000</v>
      </c>
    </row>
    <row r="13">
      <c r="A13" t="inlineStr">
        <is>
          <t>video-16</t>
        </is>
      </c>
      <c r="B13" t="inlineStr">
        <is>
          <t>Raise prices without losing clients (ep. 16)</t>
        </is>
      </c>
      <c r="C13" t="inlineStr">
        <is>
          <t>youtube</t>
        </is>
      </c>
      <c r="D13" t="inlineStr">
        <is>
          <t>pricing</t>
        </is>
      </c>
      <c r="E13" t="n">
        <v>9707</v>
      </c>
      <c r="F13" t="n">
        <v>360</v>
      </c>
      <c r="G13" t="n">
        <v>118</v>
      </c>
      <c r="H13" t="n">
        <v>44</v>
      </c>
      <c r="I13" t="n">
        <v>16</v>
      </c>
      <c r="J13" t="n">
        <v>4</v>
      </c>
      <c r="K13" t="n">
        <v>3120000</v>
      </c>
    </row>
    <row r="14">
      <c r="A14" t="inlineStr">
        <is>
          <t>video-18</t>
        </is>
      </c>
      <c r="B14" t="inlineStr">
        <is>
          <t>Delegating the inbox (ep. 18)</t>
        </is>
      </c>
      <c r="C14" t="inlineStr">
        <is>
          <t>youtube</t>
        </is>
      </c>
      <c r="D14" t="inlineStr">
        <is>
          <t>systems</t>
        </is>
      </c>
      <c r="E14" t="n">
        <v>5354</v>
      </c>
      <c r="F14" t="n">
        <v>161</v>
      </c>
      <c r="G14" t="n">
        <v>55</v>
      </c>
      <c r="H14" t="n">
        <v>20</v>
      </c>
      <c r="I14" t="n">
        <v>6</v>
      </c>
      <c r="J14" t="n">
        <v>2</v>
      </c>
      <c r="K14" t="n">
        <v>3000000</v>
      </c>
    </row>
    <row r="15">
      <c r="A15" t="inlineStr">
        <is>
          <t>video-19</t>
        </is>
      </c>
      <c r="B15" t="inlineStr">
        <is>
          <t>Your first operations hire (ep. 19)</t>
        </is>
      </c>
      <c r="C15" t="inlineStr">
        <is>
          <t>youtube</t>
        </is>
      </c>
      <c r="D15" t="inlineStr">
        <is>
          <t>hiring</t>
        </is>
      </c>
      <c r="E15" t="n">
        <v>8009</v>
      </c>
      <c r="F15" t="n">
        <v>231</v>
      </c>
      <c r="G15" t="n">
        <v>69</v>
      </c>
      <c r="H15" t="n">
        <v>19</v>
      </c>
      <c r="I15" t="n">
        <v>10</v>
      </c>
      <c r="J15" t="n">
        <v>4</v>
      </c>
      <c r="K15" t="n">
        <v>2820000</v>
      </c>
    </row>
    <row r="16">
      <c r="A16" t="inlineStr">
        <is>
          <t>video-23</t>
        </is>
      </c>
      <c r="B16" t="inlineStr">
        <is>
          <t>Weekly metrics that matter (ep. 23)</t>
        </is>
      </c>
      <c r="C16" t="inlineStr">
        <is>
          <t>youtube</t>
        </is>
      </c>
      <c r="D16" t="inlineStr">
        <is>
          <t>systems</t>
        </is>
      </c>
      <c r="E16" t="n">
        <v>30204</v>
      </c>
      <c r="F16" t="n">
        <v>835</v>
      </c>
      <c r="G16" t="n">
        <v>182</v>
      </c>
      <c r="H16" t="n">
        <v>41</v>
      </c>
      <c r="I16" t="n">
        <v>19</v>
      </c>
      <c r="J16" t="n">
        <v>4</v>
      </c>
      <c r="K16" t="n">
        <v>2800000</v>
      </c>
    </row>
    <row r="17">
      <c r="A17" t="inlineStr">
        <is>
          <t>video-10</t>
        </is>
      </c>
      <c r="B17" t="inlineStr">
        <is>
          <t>Why founders burn out (ep. 10)</t>
        </is>
      </c>
      <c r="C17" t="inlineStr">
        <is>
          <t>youtube</t>
        </is>
      </c>
      <c r="D17" t="inlineStr">
        <is>
          <t>mindset</t>
        </is>
      </c>
      <c r="E17" t="n">
        <v>18652</v>
      </c>
      <c r="F17" t="n">
        <v>176</v>
      </c>
      <c r="G17" t="n">
        <v>366</v>
      </c>
      <c r="H17" t="n">
        <v>90</v>
      </c>
      <c r="I17" t="n">
        <v>42</v>
      </c>
      <c r="J17" t="n">
        <v>4</v>
      </c>
      <c r="K17" t="n">
        <v>2670000</v>
      </c>
    </row>
    <row r="18">
      <c r="A18" t="inlineStr">
        <is>
          <t>video-25</t>
        </is>
      </c>
      <c r="B18" t="inlineStr">
        <is>
          <t>Why founders burn out (ep. 25)</t>
        </is>
      </c>
      <c r="C18" t="inlineStr">
        <is>
          <t>youtube</t>
        </is>
      </c>
      <c r="D18" t="inlineStr">
        <is>
          <t>mindset</t>
        </is>
      </c>
      <c r="E18" t="n">
        <v>45088</v>
      </c>
      <c r="F18" t="n">
        <v>448</v>
      </c>
      <c r="G18" t="n">
        <v>223</v>
      </c>
      <c r="H18" t="n">
        <v>39</v>
      </c>
      <c r="I18" t="n">
        <v>18</v>
      </c>
      <c r="J18" t="n">
        <v>3</v>
      </c>
      <c r="K18" t="n">
        <v>2500000</v>
      </c>
    </row>
    <row r="19">
      <c r="A19" t="inlineStr">
        <is>
          <t>video-09</t>
        </is>
      </c>
      <c r="B19" t="inlineStr">
        <is>
          <t>Scorecards for new hires (ep. 9)</t>
        </is>
      </c>
      <c r="C19" t="inlineStr">
        <is>
          <t>youtube</t>
        </is>
      </c>
      <c r="D19" t="inlineStr">
        <is>
          <t>hiring</t>
        </is>
      </c>
      <c r="E19" t="n">
        <v>8342</v>
      </c>
      <c r="F19" t="n">
        <v>146</v>
      </c>
      <c r="G19" t="n">
        <v>165</v>
      </c>
      <c r="H19" t="n">
        <v>50</v>
      </c>
      <c r="I19" t="n">
        <v>26</v>
      </c>
      <c r="J19" t="n">
        <v>4</v>
      </c>
      <c r="K19" t="n">
        <v>1920000</v>
      </c>
    </row>
    <row r="20">
      <c r="A20" t="inlineStr">
        <is>
          <t>video-21</t>
        </is>
      </c>
      <c r="B20" t="inlineStr">
        <is>
          <t>Value-based pricing teardown (ep. 21)</t>
        </is>
      </c>
      <c r="C20" t="inlineStr">
        <is>
          <t>youtube</t>
        </is>
      </c>
      <c r="D20" t="inlineStr">
        <is>
          <t>pricing</t>
        </is>
      </c>
      <c r="E20" t="n">
        <v>14524</v>
      </c>
      <c r="F20" t="n">
        <v>470</v>
      </c>
      <c r="G20" t="n">
        <v>123</v>
      </c>
      <c r="H20" t="n">
        <v>47</v>
      </c>
      <c r="I20" t="n">
        <v>22</v>
      </c>
      <c r="J20" t="n">
        <v>4</v>
      </c>
      <c r="K20" t="n">
        <v>1510000</v>
      </c>
    </row>
    <row r="21">
      <c r="A21" t="inlineStr">
        <is>
          <t>video-11</t>
        </is>
      </c>
      <c r="B21" t="inlineStr">
        <is>
          <t>Pricing a high-ticket offer (ep. 11)</t>
        </is>
      </c>
      <c r="C21" t="inlineStr">
        <is>
          <t>youtube</t>
        </is>
      </c>
      <c r="D21" t="inlineStr">
        <is>
          <t>pricing</t>
        </is>
      </c>
      <c r="E21" t="n">
        <v>8531</v>
      </c>
      <c r="F21" t="n">
        <v>200</v>
      </c>
      <c r="G21" t="n">
        <v>117</v>
      </c>
      <c r="H21" t="n">
        <v>39</v>
      </c>
      <c r="I21" t="n">
        <v>16</v>
      </c>
      <c r="J21" t="n">
        <v>1</v>
      </c>
      <c r="K21" t="n">
        <v>1500000</v>
      </c>
    </row>
    <row r="22">
      <c r="A22" t="inlineStr">
        <is>
          <t>video-17</t>
        </is>
      </c>
      <c r="B22" t="inlineStr">
        <is>
          <t>Handling the budget objection (ep. 17)</t>
        </is>
      </c>
      <c r="C22" t="inlineStr">
        <is>
          <t>youtube</t>
        </is>
      </c>
      <c r="D22" t="inlineStr">
        <is>
          <t>sales</t>
        </is>
      </c>
      <c r="E22" t="n">
        <v>11006</v>
      </c>
      <c r="F22" t="n">
        <v>268</v>
      </c>
      <c r="G22" t="n">
        <v>114</v>
      </c>
      <c r="H22" t="n">
        <v>43</v>
      </c>
      <c r="I22" t="n">
        <v>21</v>
      </c>
      <c r="J22" t="n">
        <v>3</v>
      </c>
      <c r="K22" t="n">
        <v>1470000</v>
      </c>
    </row>
    <row r="23">
      <c r="A23" t="inlineStr">
        <is>
          <t>video-14</t>
        </is>
      </c>
      <c r="B23" t="inlineStr">
        <is>
          <t>Hiring an integrator (ep. 14)</t>
        </is>
      </c>
      <c r="C23" t="inlineStr">
        <is>
          <t>youtube</t>
        </is>
      </c>
      <c r="D23" t="inlineStr">
        <is>
          <t>hiring</t>
        </is>
      </c>
      <c r="E23" t="n">
        <v>4007</v>
      </c>
      <c r="F23" t="n">
        <v>94</v>
      </c>
      <c r="G23" t="n">
        <v>51</v>
      </c>
      <c r="H23" t="n">
        <v>16</v>
      </c>
      <c r="I23" t="n">
        <v>10</v>
      </c>
      <c r="J23" t="n">
        <v>2</v>
      </c>
      <c r="K23" t="n">
        <v>1110000</v>
      </c>
    </row>
    <row r="24">
      <c r="A24" t="inlineStr">
        <is>
          <t>video-26</t>
        </is>
      </c>
      <c r="B24" t="inlineStr">
        <is>
          <t>Pricing a high-ticket offer (ep. 26)</t>
        </is>
      </c>
      <c r="C24" t="inlineStr">
        <is>
          <t>youtube</t>
        </is>
      </c>
      <c r="D24" t="inlineStr">
        <is>
          <t>pricing</t>
        </is>
      </c>
      <c r="E24" t="n">
        <v>11615</v>
      </c>
      <c r="F24" t="n">
        <v>423</v>
      </c>
      <c r="G24" t="n">
        <v>60</v>
      </c>
      <c r="H24" t="n">
        <v>19</v>
      </c>
      <c r="I24" t="n">
        <v>10</v>
      </c>
      <c r="J24" t="n">
        <v>2</v>
      </c>
      <c r="K24" t="n">
        <v>650000</v>
      </c>
    </row>
    <row r="25">
      <c r="A25" t="inlineStr">
        <is>
          <t>video-28</t>
        </is>
      </c>
      <c r="B25" t="inlineStr">
        <is>
          <t>Founder operating system (ep. 28)</t>
        </is>
      </c>
      <c r="C25" t="inlineStr">
        <is>
          <t>youtube</t>
        </is>
      </c>
      <c r="D25" t="inlineStr">
        <is>
          <t>systems</t>
        </is>
      </c>
      <c r="E25" t="n">
        <v>13319</v>
      </c>
      <c r="F25" t="n">
        <v>321</v>
      </c>
      <c r="G25" t="n">
        <v>57</v>
      </c>
      <c r="H25" t="n">
        <v>7</v>
      </c>
      <c r="I25" t="n">
        <v>5</v>
      </c>
      <c r="J25" t="n">
        <v>1</v>
      </c>
      <c r="K25" t="n">
        <v>630000</v>
      </c>
    </row>
    <row r="26">
      <c r="A26" t="inlineStr">
        <is>
          <t>video-27</t>
        </is>
      </c>
      <c r="B26" t="inlineStr">
        <is>
          <t>Closing without pressure (ep. 27)</t>
        </is>
      </c>
      <c r="C26" t="inlineStr">
        <is>
          <t>youtube</t>
        </is>
      </c>
      <c r="D26" t="inlineStr">
        <is>
          <t>sales</t>
        </is>
      </c>
      <c r="E26" t="n">
        <v>12822</v>
      </c>
      <c r="F26" t="n">
        <v>402</v>
      </c>
      <c r="G26" t="n">
        <v>56</v>
      </c>
      <c r="H26" t="n">
        <v>17</v>
      </c>
      <c r="I26" t="n">
        <v>7</v>
      </c>
      <c r="J26" t="n">
        <v>1</v>
      </c>
      <c r="K26" t="n">
        <v>480000</v>
      </c>
    </row>
    <row r="27">
      <c r="A27" t="inlineStr">
        <is>
          <t>video-20</t>
        </is>
      </c>
      <c r="B27" t="inlineStr">
        <is>
          <t>Morning routine of a CEO (ep. 20)</t>
        </is>
      </c>
      <c r="C27" t="inlineStr">
        <is>
          <t>youtube</t>
        </is>
      </c>
      <c r="D27" t="inlineStr">
        <is>
          <t>mindset</t>
        </is>
      </c>
      <c r="E27" t="n">
        <v>11724</v>
      </c>
      <c r="F27" t="n">
        <v>186</v>
      </c>
      <c r="G27" t="n">
        <v>120</v>
      </c>
      <c r="H27" t="n">
        <v>17</v>
      </c>
      <c r="I27" t="n">
        <v>11</v>
      </c>
      <c r="J27" t="n">
        <v>2</v>
      </c>
      <c r="K27" t="n">
        <v>410000</v>
      </c>
    </row>
    <row r="28">
      <c r="A28" t="inlineStr">
        <is>
          <t>video-22</t>
        </is>
      </c>
      <c r="B28" t="inlineStr">
        <is>
          <t>The discovery call script (ep. 22)</t>
        </is>
      </c>
      <c r="C28" t="inlineStr">
        <is>
          <t>youtube</t>
        </is>
      </c>
      <c r="D28" t="inlineStr">
        <is>
          <t>sales</t>
        </is>
      </c>
      <c r="E28" t="n">
        <v>7034</v>
      </c>
      <c r="F28" t="n">
        <v>211</v>
      </c>
      <c r="G28" t="n">
        <v>42</v>
      </c>
      <c r="H28" t="n">
        <v>12</v>
      </c>
      <c r="I28" t="n">
        <v>6</v>
      </c>
      <c r="J28" t="n">
        <v>0</v>
      </c>
      <c r="K28" t="n">
        <v>0</v>
      </c>
    </row>
    <row r="29">
      <c r="A29" t="inlineStr">
        <is>
          <t>video-24</t>
        </is>
      </c>
      <c r="B29" t="inlineStr">
        <is>
          <t>Scorecards for new hires (ep. 24)</t>
        </is>
      </c>
      <c r="C29" t="inlineStr">
        <is>
          <t>youtube</t>
        </is>
      </c>
      <c r="D29" t="inlineStr">
        <is>
          <t>hiring</t>
        </is>
      </c>
      <c r="E29" t="n">
        <v>9286</v>
      </c>
      <c r="F29" t="n">
        <v>222</v>
      </c>
      <c r="G29" t="n">
        <v>46</v>
      </c>
      <c r="H29" t="n">
        <v>10</v>
      </c>
      <c r="I29" t="n">
        <v>3</v>
      </c>
      <c r="J29" t="n">
        <v>0</v>
      </c>
      <c r="K29" t="n">
        <v>0</v>
      </c>
    </row>
    <row r="30">
      <c r="A30" t="inlineStr">
        <is>
          <t>video-29</t>
        </is>
      </c>
      <c r="B30" t="inlineStr">
        <is>
          <t>Handling the budget objection (ep. 29)</t>
        </is>
      </c>
      <c r="C30" t="inlineStr">
        <is>
          <t>youtube</t>
        </is>
      </c>
      <c r="D30" t="inlineStr">
        <is>
          <t>sales</t>
        </is>
      </c>
      <c r="E30" t="n">
        <v>7179</v>
      </c>
      <c r="F30" t="n">
        <v>270</v>
      </c>
      <c r="G30" t="n">
        <v>21</v>
      </c>
      <c r="H30" t="n">
        <v>3</v>
      </c>
      <c r="I30" t="n">
        <v>1</v>
      </c>
      <c r="J30" t="n">
        <v>0</v>
      </c>
      <c r="K30" t="n">
        <v>0</v>
      </c>
    </row>
    <row r="31">
      <c r="A31" t="inlineStr">
        <is>
          <t>video-30</t>
        </is>
      </c>
      <c r="B31" t="inlineStr">
        <is>
          <t>Thinking in decades (ep. 30)</t>
        </is>
      </c>
      <c r="C31" t="inlineStr">
        <is>
          <t>youtube</t>
        </is>
      </c>
      <c r="D31" t="inlineStr">
        <is>
          <t>mindset</t>
        </is>
      </c>
      <c r="E31" t="n">
        <v>27937</v>
      </c>
      <c r="F31" t="n">
        <v>350</v>
      </c>
      <c r="G31" t="n">
        <v>59</v>
      </c>
      <c r="H31" t="n">
        <v>10</v>
      </c>
      <c r="I31" t="n">
        <v>4</v>
      </c>
      <c r="J31" t="n">
        <v>0</v>
      </c>
      <c r="K3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0" customWidth="1" min="3" max="3"/>
    <col width="16" customWidth="1" min="4" max="4"/>
    <col width="12" customWidth="1" min="5" max="5"/>
    <col width="24" customWidth="1" min="6" max="6"/>
    <col width="20" customWidth="1" min="7" max="7"/>
    <col width="12" customWidth="1" min="8" max="8"/>
    <col width="20" customWidth="1" min="9" max="9"/>
    <col width="21" customWidth="1" min="10" max="10"/>
  </cols>
  <sheetData>
    <row r="1">
      <c r="A1" s="15" t="inlineStr">
        <is>
          <t>eligible_touches</t>
        </is>
      </c>
      <c r="B1" s="15" t="inlineStr">
        <is>
          <t>touches_with_utm</t>
        </is>
      </c>
      <c r="C1" s="15" t="inlineStr">
        <is>
          <t>registered_touches</t>
        </is>
      </c>
      <c r="D1" s="15" t="inlineStr">
        <is>
          <t>owned_contacts</t>
        </is>
      </c>
      <c r="E1" s="15" t="inlineStr">
        <is>
          <t>contacts</t>
        </is>
      </c>
      <c r="F1" s="15" t="inlineStr">
        <is>
          <t>duplicate_contact_rows</t>
        </is>
      </c>
      <c r="G1" s="15" t="inlineStr">
        <is>
          <t>unmatched_payments</t>
        </is>
      </c>
      <c r="H1" s="15" t="inlineStr">
        <is>
          <t>payments</t>
        </is>
      </c>
      <c r="I1" s="15" t="inlineStr">
        <is>
          <t>paid_contact_count</t>
        </is>
      </c>
      <c r="J1" s="15" t="inlineStr">
        <is>
          <t>valid_paid_journeys</t>
        </is>
      </c>
    </row>
    <row r="2">
      <c r="A2" s="2" t="n">
        <v>19855</v>
      </c>
      <c r="B2" s="2" t="n">
        <v>19360</v>
      </c>
      <c r="C2" s="2" t="n">
        <v>18343</v>
      </c>
      <c r="D2" s="2" t="n">
        <v>14103</v>
      </c>
      <c r="E2" s="2" t="n">
        <v>14693</v>
      </c>
      <c r="F2" s="2" t="n">
        <v>138</v>
      </c>
      <c r="G2" s="2" t="n">
        <v>9</v>
      </c>
      <c r="H2" s="2" t="n">
        <v>809</v>
      </c>
      <c r="I2" s="2" t="n">
        <v>427</v>
      </c>
      <c r="J2" s="2" t="n">
        <v>417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8" customWidth="1" min="3" max="3"/>
    <col width="18" customWidth="1" min="4" max="4"/>
    <col width="19" customWidth="1" min="5" max="5"/>
    <col width="18" customWidth="1" min="6" max="6"/>
    <col width="20" customWidth="1" min="7" max="7"/>
  </cols>
  <sheetData>
    <row r="1">
      <c r="A1" s="15" t="inlineStr">
        <is>
          <t>legacy_contacts</t>
        </is>
      </c>
      <c r="B1" s="15" t="inlineStr">
        <is>
          <t>migrated_contacts</t>
        </is>
      </c>
      <c r="C1" s="15" t="inlineStr">
        <is>
          <t>missing_contacts</t>
        </is>
      </c>
      <c r="D1" s="15" t="inlineStr">
        <is>
          <t>owner_match_rate</t>
        </is>
      </c>
      <c r="E1" s="15" t="inlineStr">
        <is>
          <t>source_match_rate</t>
        </is>
      </c>
      <c r="F1" s="15" t="inlineStr">
        <is>
          <t>stage_match_rate</t>
        </is>
      </c>
      <c r="G1" s="15" t="inlineStr">
        <is>
          <t>duplicate_crm_rows</t>
        </is>
      </c>
    </row>
    <row r="2">
      <c r="A2" s="2" t="n">
        <v>7638</v>
      </c>
      <c r="B2" s="2" t="n">
        <v>7600</v>
      </c>
      <c r="C2" s="2" t="n">
        <v>38</v>
      </c>
      <c r="D2" s="2" t="n">
        <v>0.9526</v>
      </c>
      <c r="E2" s="2" t="n">
        <v>0.9222</v>
      </c>
      <c r="F2" s="2" t="n">
        <v>0.9871</v>
      </c>
      <c r="G2" s="2" t="n">
        <v>138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2" customWidth="1" min="10" max="10"/>
    <col width="14" customWidth="1" min="11" max="11"/>
    <col width="28" customWidth="1" min="12" max="12"/>
  </cols>
  <sheetData>
    <row r="1">
      <c r="A1" s="15" t="inlineStr">
        <is>
          <t>experiment_id</t>
        </is>
      </c>
      <c r="B1" s="15" t="inlineStr">
        <is>
          <t>variant_id</t>
        </is>
      </c>
      <c r="C1" s="15" t="inlineStr">
        <is>
          <t>label</t>
        </is>
      </c>
      <c r="D1" s="15" t="inlineStr">
        <is>
          <t>cta_text</t>
        </is>
      </c>
      <c r="E1" s="15" t="inlineStr">
        <is>
          <t>visitors</t>
        </is>
      </c>
      <c r="F1" s="15" t="inlineStr">
        <is>
          <t>leads</t>
        </is>
      </c>
      <c r="G1" s="15" t="inlineStr">
        <is>
          <t>mqls</t>
        </is>
      </c>
      <c r="H1" s="15" t="inlineStr">
        <is>
          <t>customers</t>
        </is>
      </c>
      <c r="I1" s="15" t="inlineStr">
        <is>
          <t>net_cash_cents</t>
        </is>
      </c>
      <c r="J1" s="15" t="inlineStr">
        <is>
          <t>lead_rate</t>
        </is>
      </c>
      <c r="K1" s="15" t="inlineStr">
        <is>
          <t>mql_per_lead</t>
        </is>
      </c>
      <c r="L1" s="15" t="inlineStr">
        <is>
          <t>net_cash_per_visitor_cents</t>
        </is>
      </c>
    </row>
    <row r="2">
      <c r="A2" s="2" t="inlineStr">
        <is>
          <t>cta_growth_plan</t>
        </is>
      </c>
      <c r="B2" s="2" t="inlineStr">
        <is>
          <t>cta_a</t>
        </is>
      </c>
      <c r="C2" s="2" t="inlineStr">
        <is>
          <t>Control: Book a strategy call</t>
        </is>
      </c>
      <c r="D2" s="2" t="inlineStr">
        <is>
          <t>Book a strategy call</t>
        </is>
      </c>
      <c r="E2" s="2" t="n">
        <v>7951</v>
      </c>
      <c r="F2" s="2" t="n">
        <v>524</v>
      </c>
      <c r="G2" s="2" t="n">
        <v>120</v>
      </c>
      <c r="H2" s="2" t="n">
        <v>6</v>
      </c>
      <c r="I2" s="2" t="n">
        <v>5130000</v>
      </c>
      <c r="J2" s="2" t="n">
        <v>0.0659</v>
      </c>
      <c r="K2" s="2" t="n">
        <v>0.229</v>
      </c>
      <c r="L2" s="2" t="n">
        <v>645.2</v>
      </c>
    </row>
    <row r="3">
      <c r="A3" t="inlineStr">
        <is>
          <t>cta_growth_plan</t>
        </is>
      </c>
      <c r="B3" t="inlineStr">
        <is>
          <t>cta_b</t>
        </is>
      </c>
      <c r="C3" t="inlineStr">
        <is>
          <t>Variant: Get my growth plan</t>
        </is>
      </c>
      <c r="D3" t="inlineStr">
        <is>
          <t>Get my growth plan</t>
        </is>
      </c>
      <c r="E3" t="n">
        <v>7940</v>
      </c>
      <c r="F3" t="n">
        <v>787</v>
      </c>
      <c r="G3" t="n">
        <v>155</v>
      </c>
      <c r="H3" t="n">
        <v>9</v>
      </c>
      <c r="I3" t="n">
        <v>4440000</v>
      </c>
      <c r="J3" t="n">
        <v>0.09909999999999999</v>
      </c>
      <c r="K3" t="n">
        <v>0.197</v>
      </c>
      <c r="L3" t="n">
        <v>559.1900000000001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2" customWidth="1" min="3" max="3"/>
    <col width="12" customWidth="1" min="4" max="4"/>
    <col width="17" customWidth="1" min="5" max="5"/>
    <col width="12" customWidth="1" min="6" max="6"/>
  </cols>
  <sheetData>
    <row r="1">
      <c r="A1" s="15" t="inlineStr">
        <is>
          <t>subscription_id</t>
        </is>
      </c>
      <c r="B1" s="15" t="inlineStr">
        <is>
          <t>customer_id</t>
        </is>
      </c>
      <c r="C1" s="15" t="inlineStr">
        <is>
          <t>plan_id</t>
        </is>
      </c>
      <c r="D1" s="15" t="inlineStr">
        <is>
          <t>due_date</t>
        </is>
      </c>
      <c r="E1" s="15" t="inlineStr">
        <is>
          <t>failed_attempts</t>
        </is>
      </c>
      <c r="F1" s="15" t="inlineStr">
        <is>
          <t>risk_level</t>
        </is>
      </c>
    </row>
    <row r="2">
      <c r="A2" s="2" t="inlineStr">
        <is>
          <t>sub-000170</t>
        </is>
      </c>
      <c r="B2" s="2" t="inlineStr">
        <is>
          <t>c-001776</t>
        </is>
      </c>
      <c r="C2" s="2" t="inlineStr">
        <is>
          <t>founder_community</t>
        </is>
      </c>
      <c r="D2" s="16" t="n">
        <v>46288</v>
      </c>
      <c r="E2" s="2" t="n">
        <v>1</v>
      </c>
      <c r="F2" s="2" t="inlineStr">
        <is>
          <t>high</t>
        </is>
      </c>
    </row>
    <row r="3">
      <c r="A3" t="inlineStr">
        <is>
          <t>sub-000179</t>
        </is>
      </c>
      <c r="B3" t="inlineStr">
        <is>
          <t>c-001888</t>
        </is>
      </c>
      <c r="C3" t="inlineStr">
        <is>
          <t>founder_community</t>
        </is>
      </c>
      <c r="D3" s="17" t="n">
        <v>46294</v>
      </c>
      <c r="E3" t="n">
        <v>0</v>
      </c>
      <c r="F3" t="inlineStr">
        <is>
          <t>medium</t>
        </is>
      </c>
    </row>
    <row r="4">
      <c r="A4" t="inlineStr">
        <is>
          <t>sub-000202</t>
        </is>
      </c>
      <c r="B4" t="inlineStr">
        <is>
          <t>c-002142</t>
        </is>
      </c>
      <c r="C4" t="inlineStr">
        <is>
          <t>founder_community</t>
        </is>
      </c>
      <c r="D4" s="17" t="n">
        <v>46300</v>
      </c>
      <c r="E4" t="n">
        <v>0</v>
      </c>
      <c r="F4" t="inlineStr">
        <is>
          <t>medium</t>
        </is>
      </c>
    </row>
    <row r="5">
      <c r="A5" t="inlineStr">
        <is>
          <t>sub-000221</t>
        </is>
      </c>
      <c r="B5" t="inlineStr">
        <is>
          <t>c-002398</t>
        </is>
      </c>
      <c r="C5" t="inlineStr">
        <is>
          <t>founder_community</t>
        </is>
      </c>
      <c r="D5" s="17" t="n">
        <v>46305</v>
      </c>
      <c r="E5" t="n">
        <v>0</v>
      </c>
      <c r="F5" t="inlineStr">
        <is>
          <t>not_due</t>
        </is>
      </c>
    </row>
    <row r="6">
      <c r="A6" t="inlineStr">
        <is>
          <t>sub-000190</t>
        </is>
      </c>
      <c r="B6" t="inlineStr">
        <is>
          <t>c-002016</t>
        </is>
      </c>
      <c r="C6" t="inlineStr">
        <is>
          <t>founder_community</t>
        </is>
      </c>
      <c r="D6" s="17" t="n">
        <v>46308</v>
      </c>
      <c r="E6" t="n">
        <v>0</v>
      </c>
      <c r="F6" t="inlineStr">
        <is>
          <t>not_due</t>
        </is>
      </c>
    </row>
    <row r="7">
      <c r="A7" t="inlineStr">
        <is>
          <t>sub-000224</t>
        </is>
      </c>
      <c r="B7" t="inlineStr">
        <is>
          <t>c-002426</t>
        </is>
      </c>
      <c r="C7" t="inlineStr">
        <is>
          <t>founder_community</t>
        </is>
      </c>
      <c r="D7" s="17" t="n">
        <v>46308</v>
      </c>
      <c r="E7" t="n">
        <v>0</v>
      </c>
      <c r="F7" t="inlineStr">
        <is>
          <t>not_due</t>
        </is>
      </c>
    </row>
    <row r="8">
      <c r="A8" t="inlineStr">
        <is>
          <t>sub-000273</t>
        </is>
      </c>
      <c r="B8" t="inlineStr">
        <is>
          <t>c-003004</t>
        </is>
      </c>
      <c r="C8" t="inlineStr">
        <is>
          <t>founder_community</t>
        </is>
      </c>
      <c r="D8" s="17" t="n">
        <v>46321</v>
      </c>
      <c r="E8" t="n">
        <v>0</v>
      </c>
      <c r="F8" t="inlineStr">
        <is>
          <t>not_due</t>
        </is>
      </c>
    </row>
    <row r="9">
      <c r="A9" t="inlineStr">
        <is>
          <t>sub-000292</t>
        </is>
      </c>
      <c r="B9" t="inlineStr">
        <is>
          <t>c-003135</t>
        </is>
      </c>
      <c r="C9" t="inlineStr">
        <is>
          <t>founder_community</t>
        </is>
      </c>
      <c r="D9" s="17" t="n">
        <v>46323</v>
      </c>
      <c r="E9" t="n">
        <v>0</v>
      </c>
      <c r="F9" t="inlineStr">
        <is>
          <t>not_due</t>
        </is>
      </c>
    </row>
    <row r="10">
      <c r="A10" t="inlineStr">
        <is>
          <t>sub-000303</t>
        </is>
      </c>
      <c r="B10" t="inlineStr">
        <is>
          <t>c-003195</t>
        </is>
      </c>
      <c r="C10" t="inlineStr">
        <is>
          <t>founder_community</t>
        </is>
      </c>
      <c r="D10" s="17" t="n">
        <v>46324</v>
      </c>
      <c r="E10" t="n">
        <v>0</v>
      </c>
      <c r="F10" t="inlineStr">
        <is>
          <t>not_due</t>
        </is>
      </c>
    </row>
    <row r="11">
      <c r="A11" t="inlineStr">
        <is>
          <t>sub-000259</t>
        </is>
      </c>
      <c r="B11" t="inlineStr">
        <is>
          <t>c-002819</t>
        </is>
      </c>
      <c r="C11" t="inlineStr">
        <is>
          <t>founder_community</t>
        </is>
      </c>
      <c r="D11" s="17" t="n">
        <v>46326</v>
      </c>
      <c r="E11" t="n">
        <v>0</v>
      </c>
      <c r="F11" t="inlineStr">
        <is>
          <t>not_due</t>
        </is>
      </c>
    </row>
    <row r="12">
      <c r="A12" t="inlineStr">
        <is>
          <t>sub-000314</t>
        </is>
      </c>
      <c r="B12" t="inlineStr">
        <is>
          <t>c-003371</t>
        </is>
      </c>
      <c r="C12" t="inlineStr">
        <is>
          <t>founder_community</t>
        </is>
      </c>
      <c r="D12" s="17" t="n">
        <v>46334</v>
      </c>
      <c r="E12" t="n">
        <v>0</v>
      </c>
      <c r="F12" t="inlineStr">
        <is>
          <t>not_due</t>
        </is>
      </c>
    </row>
    <row r="13">
      <c r="A13" t="inlineStr">
        <is>
          <t>sub-000327</t>
        </is>
      </c>
      <c r="B13" t="inlineStr">
        <is>
          <t>c-003466</t>
        </is>
      </c>
      <c r="C13" t="inlineStr">
        <is>
          <t>founder_community</t>
        </is>
      </c>
      <c r="D13" s="17" t="n">
        <v>46339</v>
      </c>
      <c r="E13" t="n">
        <v>0</v>
      </c>
      <c r="F13" t="inlineStr">
        <is>
          <t>not_due</t>
        </is>
      </c>
    </row>
    <row r="14">
      <c r="A14" t="inlineStr">
        <is>
          <t>sub-000294</t>
        </is>
      </c>
      <c r="B14" t="inlineStr">
        <is>
          <t>c-003150</t>
        </is>
      </c>
      <c r="C14" t="inlineStr">
        <is>
          <t>founder_community</t>
        </is>
      </c>
      <c r="D14" s="17" t="n">
        <v>46340</v>
      </c>
      <c r="E14" t="n">
        <v>0</v>
      </c>
      <c r="F14" t="inlineStr">
        <is>
          <t>not_due</t>
        </is>
      </c>
    </row>
    <row r="15">
      <c r="A15" t="inlineStr">
        <is>
          <t>sub-000334</t>
        </is>
      </c>
      <c r="B15" t="inlineStr">
        <is>
          <t>c-003553</t>
        </is>
      </c>
      <c r="C15" t="inlineStr">
        <is>
          <t>founder_community</t>
        </is>
      </c>
      <c r="D15" s="17" t="n">
        <v>46340</v>
      </c>
      <c r="E15" t="n">
        <v>0</v>
      </c>
      <c r="F15" t="inlineStr">
        <is>
          <t>not_due</t>
        </is>
      </c>
    </row>
    <row r="16">
      <c r="A16" t="inlineStr">
        <is>
          <t>sub-000338</t>
        </is>
      </c>
      <c r="B16" t="inlineStr">
        <is>
          <t>c-003566</t>
        </is>
      </c>
      <c r="C16" t="inlineStr">
        <is>
          <t>founder_community</t>
        </is>
      </c>
      <c r="D16" s="17" t="n">
        <v>46340</v>
      </c>
      <c r="E16" t="n">
        <v>0</v>
      </c>
      <c r="F16" t="inlineStr">
        <is>
          <t>not_due</t>
        </is>
      </c>
    </row>
    <row r="17">
      <c r="A17" t="inlineStr">
        <is>
          <t>sub-000284</t>
        </is>
      </c>
      <c r="B17" t="inlineStr">
        <is>
          <t>c-003090</t>
        </is>
      </c>
      <c r="C17" t="inlineStr">
        <is>
          <t>founder_community</t>
        </is>
      </c>
      <c r="D17" s="17" t="n">
        <v>46341</v>
      </c>
      <c r="E17" t="n">
        <v>0</v>
      </c>
      <c r="F17" t="inlineStr">
        <is>
          <t>not_due</t>
        </is>
      </c>
    </row>
    <row r="18">
      <c r="A18" t="inlineStr">
        <is>
          <t>sub-000319</t>
        </is>
      </c>
      <c r="B18" t="inlineStr">
        <is>
          <t>c-003399</t>
        </is>
      </c>
      <c r="C18" t="inlineStr">
        <is>
          <t>founder_community</t>
        </is>
      </c>
      <c r="D18" s="17" t="n">
        <v>46348</v>
      </c>
      <c r="E18" t="n">
        <v>0</v>
      </c>
      <c r="F18" t="inlineStr">
        <is>
          <t>not_due</t>
        </is>
      </c>
    </row>
    <row r="19">
      <c r="A19" t="inlineStr">
        <is>
          <t>sub-000359</t>
        </is>
      </c>
      <c r="B19" t="inlineStr">
        <is>
          <t>c-003779</t>
        </is>
      </c>
      <c r="C19" t="inlineStr">
        <is>
          <t>founder_community</t>
        </is>
      </c>
      <c r="D19" s="17" t="n">
        <v>46351</v>
      </c>
      <c r="E19" t="n">
        <v>0</v>
      </c>
      <c r="F19" t="inlineStr">
        <is>
          <t>not_due</t>
        </is>
      </c>
    </row>
    <row r="20">
      <c r="A20" t="inlineStr">
        <is>
          <t>sub-000345</t>
        </is>
      </c>
      <c r="B20" t="inlineStr">
        <is>
          <t>c-003642</t>
        </is>
      </c>
      <c r="C20" t="inlineStr">
        <is>
          <t>founder_community</t>
        </is>
      </c>
      <c r="D20" s="17" t="n">
        <v>46355</v>
      </c>
      <c r="E20" t="n">
        <v>0</v>
      </c>
      <c r="F20" t="inlineStr">
        <is>
          <t>not_due</t>
        </is>
      </c>
    </row>
    <row r="21">
      <c r="A21" t="inlineStr">
        <is>
          <t>sub-000354</t>
        </is>
      </c>
      <c r="B21" t="inlineStr">
        <is>
          <t>c-003726</t>
        </is>
      </c>
      <c r="C21" t="inlineStr">
        <is>
          <t>founder_community</t>
        </is>
      </c>
      <c r="D21" s="17" t="n">
        <v>46355</v>
      </c>
      <c r="E21" t="n">
        <v>0</v>
      </c>
      <c r="F21" t="inlineStr">
        <is>
          <t>not_due</t>
        </is>
      </c>
    </row>
    <row r="22">
      <c r="A22" t="inlineStr">
        <is>
          <t>sub-000382</t>
        </is>
      </c>
      <c r="B22" t="inlineStr">
        <is>
          <t>c-004010</t>
        </is>
      </c>
      <c r="C22" t="inlineStr">
        <is>
          <t>founder_community</t>
        </is>
      </c>
      <c r="D22" s="17" t="n">
        <v>46369</v>
      </c>
      <c r="E22" t="n">
        <v>0</v>
      </c>
      <c r="F22" t="inlineStr">
        <is>
          <t>not_due</t>
        </is>
      </c>
    </row>
    <row r="23">
      <c r="A23" t="inlineStr">
        <is>
          <t>sub-000388</t>
        </is>
      </c>
      <c r="B23" t="inlineStr">
        <is>
          <t>c-004118</t>
        </is>
      </c>
      <c r="C23" t="inlineStr">
        <is>
          <t>founder_community</t>
        </is>
      </c>
      <c r="D23" s="17" t="n">
        <v>46370</v>
      </c>
      <c r="E23" t="n">
        <v>0</v>
      </c>
      <c r="F23" t="inlineStr">
        <is>
          <t>not_due</t>
        </is>
      </c>
    </row>
    <row r="24">
      <c r="A24" t="inlineStr">
        <is>
          <t>sub-000406</t>
        </is>
      </c>
      <c r="B24" t="inlineStr">
        <is>
          <t>c-004334</t>
        </is>
      </c>
      <c r="C24" t="inlineStr">
        <is>
          <t>founder_community</t>
        </is>
      </c>
      <c r="D24" s="17" t="n">
        <v>46373</v>
      </c>
      <c r="E24" t="n">
        <v>0</v>
      </c>
      <c r="F24" t="inlineStr">
        <is>
          <t>not_due</t>
        </is>
      </c>
    </row>
    <row r="25">
      <c r="A25" t="inlineStr">
        <is>
          <t>sub-000414</t>
        </is>
      </c>
      <c r="B25" t="inlineStr">
        <is>
          <t>c-004417</t>
        </is>
      </c>
      <c r="C25" t="inlineStr">
        <is>
          <t>founder_community</t>
        </is>
      </c>
      <c r="D25" s="17" t="n">
        <v>46373</v>
      </c>
      <c r="E25" t="n">
        <v>0</v>
      </c>
      <c r="F25" t="inlineStr">
        <is>
          <t>not_due</t>
        </is>
      </c>
    </row>
    <row r="26">
      <c r="A26" t="inlineStr">
        <is>
          <t>sub-000412</t>
        </is>
      </c>
      <c r="B26" t="inlineStr">
        <is>
          <t>c-004405</t>
        </is>
      </c>
      <c r="C26" t="inlineStr">
        <is>
          <t>founder_community</t>
        </is>
      </c>
      <c r="D26" s="17" t="n">
        <v>46378</v>
      </c>
      <c r="E26" t="n">
        <v>0</v>
      </c>
      <c r="F26" t="inlineStr">
        <is>
          <t>not_due</t>
        </is>
      </c>
    </row>
    <row r="27">
      <c r="A27" t="inlineStr">
        <is>
          <t>sub-000417</t>
        </is>
      </c>
      <c r="B27" t="inlineStr">
        <is>
          <t>c-004461</t>
        </is>
      </c>
      <c r="C27" t="inlineStr">
        <is>
          <t>founder_community</t>
        </is>
      </c>
      <c r="D27" s="17" t="n">
        <v>46381</v>
      </c>
      <c r="E27" t="n">
        <v>0</v>
      </c>
      <c r="F27" t="inlineStr">
        <is>
          <t>not_due</t>
        </is>
      </c>
    </row>
    <row r="28">
      <c r="A28" t="inlineStr">
        <is>
          <t>sub-000362</t>
        </is>
      </c>
      <c r="B28" t="inlineStr">
        <is>
          <t>c-003788</t>
        </is>
      </c>
      <c r="C28" t="inlineStr">
        <is>
          <t>founder_community</t>
        </is>
      </c>
      <c r="D28" s="17" t="n">
        <v>46385</v>
      </c>
      <c r="E28" t="n">
        <v>0</v>
      </c>
      <c r="F28" t="inlineStr">
        <is>
          <t>not_due</t>
        </is>
      </c>
    </row>
    <row r="29">
      <c r="A29" t="inlineStr">
        <is>
          <t>sub-000435</t>
        </is>
      </c>
      <c r="B29" t="inlineStr">
        <is>
          <t>c-004624</t>
        </is>
      </c>
      <c r="C29" t="inlineStr">
        <is>
          <t>founder_community</t>
        </is>
      </c>
      <c r="D29" s="17" t="n">
        <v>46390</v>
      </c>
      <c r="E29" t="n">
        <v>0</v>
      </c>
      <c r="F29" t="inlineStr">
        <is>
          <t>not_due</t>
        </is>
      </c>
    </row>
    <row r="30">
      <c r="A30" t="inlineStr">
        <is>
          <t>sub-000455</t>
        </is>
      </c>
      <c r="B30" t="inlineStr">
        <is>
          <t>c-004800</t>
        </is>
      </c>
      <c r="C30" t="inlineStr">
        <is>
          <t>founder_community</t>
        </is>
      </c>
      <c r="D30" s="17" t="n">
        <v>46390</v>
      </c>
      <c r="E30" t="n">
        <v>0</v>
      </c>
      <c r="F30" t="inlineStr">
        <is>
          <t>not_due</t>
        </is>
      </c>
    </row>
    <row r="31">
      <c r="A31" t="inlineStr">
        <is>
          <t>sub-000486</t>
        </is>
      </c>
      <c r="B31" t="inlineStr">
        <is>
          <t>c-005006</t>
        </is>
      </c>
      <c r="C31" t="inlineStr">
        <is>
          <t>founder_community</t>
        </is>
      </c>
      <c r="D31" s="17" t="n">
        <v>46391</v>
      </c>
      <c r="E31" t="n">
        <v>0</v>
      </c>
      <c r="F31" t="inlineStr">
        <is>
          <t>not_due</t>
        </is>
      </c>
    </row>
    <row r="32">
      <c r="A32" t="inlineStr">
        <is>
          <t>sub-000504</t>
        </is>
      </c>
      <c r="B32" t="inlineStr">
        <is>
          <t>c-005187</t>
        </is>
      </c>
      <c r="C32" t="inlineStr">
        <is>
          <t>founder_community</t>
        </is>
      </c>
      <c r="D32" s="17" t="n">
        <v>46402</v>
      </c>
      <c r="E32" t="n">
        <v>0</v>
      </c>
      <c r="F32" t="inlineStr">
        <is>
          <t>not_due</t>
        </is>
      </c>
    </row>
    <row r="33">
      <c r="A33" t="inlineStr">
        <is>
          <t>sub-000519</t>
        </is>
      </c>
      <c r="B33" t="inlineStr">
        <is>
          <t>c-005330</t>
        </is>
      </c>
      <c r="C33" t="inlineStr">
        <is>
          <t>founder_community</t>
        </is>
      </c>
      <c r="D33" s="17" t="n">
        <v>46404</v>
      </c>
      <c r="E33" t="n">
        <v>0</v>
      </c>
      <c r="F33" t="inlineStr">
        <is>
          <t>not_due</t>
        </is>
      </c>
    </row>
    <row r="34">
      <c r="A34" t="inlineStr">
        <is>
          <t>sub-000480</t>
        </is>
      </c>
      <c r="B34" t="inlineStr">
        <is>
          <t>c-004969</t>
        </is>
      </c>
      <c r="C34" t="inlineStr">
        <is>
          <t>founder_community</t>
        </is>
      </c>
      <c r="D34" s="17" t="n">
        <v>46405</v>
      </c>
      <c r="E34" t="n">
        <v>0</v>
      </c>
      <c r="F34" t="inlineStr">
        <is>
          <t>not_due</t>
        </is>
      </c>
    </row>
    <row r="35">
      <c r="A35" t="inlineStr">
        <is>
          <t>sub-000535</t>
        </is>
      </c>
      <c r="B35" t="inlineStr">
        <is>
          <t>c-005471</t>
        </is>
      </c>
      <c r="C35" t="inlineStr">
        <is>
          <t>founder_community</t>
        </is>
      </c>
      <c r="D35" s="17" t="n">
        <v>46416</v>
      </c>
      <c r="E35" t="n">
        <v>0</v>
      </c>
      <c r="F35" t="inlineStr">
        <is>
          <t>not_due</t>
        </is>
      </c>
    </row>
    <row r="36">
      <c r="A36" t="inlineStr">
        <is>
          <t>sub-000514</t>
        </is>
      </c>
      <c r="B36" t="inlineStr">
        <is>
          <t>c-005302</t>
        </is>
      </c>
      <c r="C36" t="inlineStr">
        <is>
          <t>founder_community</t>
        </is>
      </c>
      <c r="D36" s="17" t="n">
        <v>46421</v>
      </c>
      <c r="E36" t="n">
        <v>0</v>
      </c>
      <c r="F36" t="inlineStr">
        <is>
          <t>not_due</t>
        </is>
      </c>
    </row>
    <row r="37">
      <c r="A37" t="inlineStr">
        <is>
          <t>sub-000529</t>
        </is>
      </c>
      <c r="B37" t="inlineStr">
        <is>
          <t>c-005412</t>
        </is>
      </c>
      <c r="C37" t="inlineStr">
        <is>
          <t>founder_community</t>
        </is>
      </c>
      <c r="D37" s="17" t="n">
        <v>46421</v>
      </c>
      <c r="E37" t="n">
        <v>0</v>
      </c>
      <c r="F37" t="inlineStr">
        <is>
          <t>not_due</t>
        </is>
      </c>
    </row>
    <row r="38">
      <c r="A38" t="inlineStr">
        <is>
          <t>sub-000540</t>
        </is>
      </c>
      <c r="B38" t="inlineStr">
        <is>
          <t>c-005550</t>
        </is>
      </c>
      <c r="C38" t="inlineStr">
        <is>
          <t>founder_community</t>
        </is>
      </c>
      <c r="D38" s="17" t="n">
        <v>46422</v>
      </c>
      <c r="E38" t="n">
        <v>0</v>
      </c>
      <c r="F38" t="inlineStr">
        <is>
          <t>not_due</t>
        </is>
      </c>
    </row>
    <row r="39">
      <c r="A39" t="inlineStr">
        <is>
          <t>sub-000576</t>
        </is>
      </c>
      <c r="B39" t="inlineStr">
        <is>
          <t>c-005962</t>
        </is>
      </c>
      <c r="C39" t="inlineStr">
        <is>
          <t>founder_community</t>
        </is>
      </c>
      <c r="D39" s="17" t="n">
        <v>46422</v>
      </c>
      <c r="E39" t="n">
        <v>0</v>
      </c>
      <c r="F39" t="inlineStr">
        <is>
          <t>not_due</t>
        </is>
      </c>
    </row>
    <row r="40">
      <c r="A40" t="inlineStr">
        <is>
          <t>sub-000565</t>
        </is>
      </c>
      <c r="B40" t="inlineStr">
        <is>
          <t>c-005774</t>
        </is>
      </c>
      <c r="C40" t="inlineStr">
        <is>
          <t>founder_community</t>
        </is>
      </c>
      <c r="D40" s="17" t="n">
        <v>46425</v>
      </c>
      <c r="E40" t="n">
        <v>0</v>
      </c>
      <c r="F40" t="inlineStr">
        <is>
          <t>not_due</t>
        </is>
      </c>
    </row>
    <row r="41">
      <c r="A41" t="inlineStr">
        <is>
          <t>sub-000548</t>
        </is>
      </c>
      <c r="B41" t="inlineStr">
        <is>
          <t>c-005615</t>
        </is>
      </c>
      <c r="C41" t="inlineStr">
        <is>
          <t>founder_community</t>
        </is>
      </c>
      <c r="D41" s="17" t="n">
        <v>46426</v>
      </c>
      <c r="E41" t="n">
        <v>0</v>
      </c>
      <c r="F41" t="inlineStr">
        <is>
          <t>not_due</t>
        </is>
      </c>
    </row>
    <row r="42">
      <c r="A42" t="inlineStr">
        <is>
          <t>sub-000578</t>
        </is>
      </c>
      <c r="B42" t="inlineStr">
        <is>
          <t>c-005967</t>
        </is>
      </c>
      <c r="C42" t="inlineStr">
        <is>
          <t>founder_community</t>
        </is>
      </c>
      <c r="D42" s="17" t="n">
        <v>46427</v>
      </c>
      <c r="E42" t="n">
        <v>0</v>
      </c>
      <c r="F42" t="inlineStr">
        <is>
          <t>not_due</t>
        </is>
      </c>
    </row>
    <row r="43">
      <c r="A43" t="inlineStr">
        <is>
          <t>sub-000599</t>
        </is>
      </c>
      <c r="B43" t="inlineStr">
        <is>
          <t>c-006252</t>
        </is>
      </c>
      <c r="C43" t="inlineStr">
        <is>
          <t>founder_community</t>
        </is>
      </c>
      <c r="D43" s="17" t="n">
        <v>46437</v>
      </c>
      <c r="E43" t="n">
        <v>0</v>
      </c>
      <c r="F43" t="inlineStr">
        <is>
          <t>not_due</t>
        </is>
      </c>
    </row>
    <row r="44">
      <c r="A44" t="inlineStr">
        <is>
          <t>sub-000591</t>
        </is>
      </c>
      <c r="B44" t="inlineStr">
        <is>
          <t>c-006188</t>
        </is>
      </c>
      <c r="C44" t="inlineStr">
        <is>
          <t>founder_community</t>
        </is>
      </c>
      <c r="D44" s="17" t="n">
        <v>46438</v>
      </c>
      <c r="E44" t="n">
        <v>0</v>
      </c>
      <c r="F44" t="inlineStr">
        <is>
          <t>not_due</t>
        </is>
      </c>
    </row>
    <row r="45">
      <c r="A45" t="inlineStr">
        <is>
          <t>sub-000640</t>
        </is>
      </c>
      <c r="B45" t="inlineStr">
        <is>
          <t>c-006659</t>
        </is>
      </c>
      <c r="C45" t="inlineStr">
        <is>
          <t>founder_community</t>
        </is>
      </c>
      <c r="D45" s="17" t="n">
        <v>46449</v>
      </c>
      <c r="E45" t="n">
        <v>0</v>
      </c>
      <c r="F45" t="inlineStr">
        <is>
          <t>not_due</t>
        </is>
      </c>
    </row>
    <row r="46">
      <c r="A46" t="inlineStr">
        <is>
          <t>sub-000657</t>
        </is>
      </c>
      <c r="B46" t="inlineStr">
        <is>
          <t>c-006768</t>
        </is>
      </c>
      <c r="C46" t="inlineStr">
        <is>
          <t>founder_community</t>
        </is>
      </c>
      <c r="D46" s="17" t="n">
        <v>46453</v>
      </c>
      <c r="E46" t="n">
        <v>0</v>
      </c>
      <c r="F46" t="inlineStr">
        <is>
          <t>not_due</t>
        </is>
      </c>
    </row>
    <row r="47">
      <c r="A47" t="inlineStr">
        <is>
          <t>sub-000659</t>
        </is>
      </c>
      <c r="B47" t="inlineStr">
        <is>
          <t>c-006771</t>
        </is>
      </c>
      <c r="C47" t="inlineStr">
        <is>
          <t>founder_community</t>
        </is>
      </c>
      <c r="D47" s="17" t="n">
        <v>46455</v>
      </c>
      <c r="E47" t="n">
        <v>0</v>
      </c>
      <c r="F47" t="inlineStr">
        <is>
          <t>not_due</t>
        </is>
      </c>
    </row>
    <row r="48">
      <c r="A48" t="inlineStr">
        <is>
          <t>sub-000635</t>
        </is>
      </c>
      <c r="B48" t="inlineStr">
        <is>
          <t>c-006651</t>
        </is>
      </c>
      <c r="C48" t="inlineStr">
        <is>
          <t>founder_community</t>
        </is>
      </c>
      <c r="D48" s="17" t="n">
        <v>46458</v>
      </c>
      <c r="E48" t="n">
        <v>0</v>
      </c>
      <c r="F48" t="inlineStr">
        <is>
          <t>not_due</t>
        </is>
      </c>
    </row>
    <row r="49">
      <c r="A49" t="inlineStr">
        <is>
          <t>sub-000703</t>
        </is>
      </c>
      <c r="B49" t="inlineStr">
        <is>
          <t>c-007162</t>
        </is>
      </c>
      <c r="C49" t="inlineStr">
        <is>
          <t>founder_community</t>
        </is>
      </c>
      <c r="D49" s="17" t="n">
        <v>46461</v>
      </c>
      <c r="E49" t="n">
        <v>0</v>
      </c>
      <c r="F49" t="inlineStr">
        <is>
          <t>not_due</t>
        </is>
      </c>
    </row>
    <row r="50">
      <c r="A50" t="inlineStr">
        <is>
          <t>sub-000676</t>
        </is>
      </c>
      <c r="B50" t="inlineStr">
        <is>
          <t>c-006993</t>
        </is>
      </c>
      <c r="C50" t="inlineStr">
        <is>
          <t>founder_community</t>
        </is>
      </c>
      <c r="D50" s="17" t="n">
        <v>46463</v>
      </c>
      <c r="E50" t="n">
        <v>0</v>
      </c>
      <c r="F50" t="inlineStr">
        <is>
          <t>not_due</t>
        </is>
      </c>
    </row>
    <row r="51">
      <c r="A51" t="inlineStr">
        <is>
          <t>sub-000691</t>
        </is>
      </c>
      <c r="B51" t="inlineStr">
        <is>
          <t>c-007072</t>
        </is>
      </c>
      <c r="C51" t="inlineStr">
        <is>
          <t>founder_community</t>
        </is>
      </c>
      <c r="D51" s="17" t="n">
        <v>46464</v>
      </c>
      <c r="E51" t="n">
        <v>0</v>
      </c>
      <c r="F51" t="inlineStr">
        <is>
          <t>not_due</t>
        </is>
      </c>
    </row>
    <row r="52">
      <c r="A52" t="inlineStr">
        <is>
          <t>sub-000683</t>
        </is>
      </c>
      <c r="B52" t="inlineStr">
        <is>
          <t>c-007014</t>
        </is>
      </c>
      <c r="C52" t="inlineStr">
        <is>
          <t>founder_community</t>
        </is>
      </c>
      <c r="D52" s="17" t="n">
        <v>46471</v>
      </c>
      <c r="E52" t="n">
        <v>0</v>
      </c>
      <c r="F52" t="inlineStr">
        <is>
          <t>not_due</t>
        </is>
      </c>
    </row>
    <row r="53">
      <c r="A53" t="inlineStr">
        <is>
          <t>sub-000730</t>
        </is>
      </c>
      <c r="B53" t="inlineStr">
        <is>
          <t>c-007399</t>
        </is>
      </c>
      <c r="C53" t="inlineStr">
        <is>
          <t>founder_community</t>
        </is>
      </c>
      <c r="D53" s="17" t="n">
        <v>46476</v>
      </c>
      <c r="E53" t="n">
        <v>0</v>
      </c>
      <c r="F53" t="inlineStr">
        <is>
          <t>not_due</t>
        </is>
      </c>
    </row>
    <row r="54">
      <c r="A54" t="inlineStr">
        <is>
          <t>sub-000711</t>
        </is>
      </c>
      <c r="B54" t="inlineStr">
        <is>
          <t>c-007202</t>
        </is>
      </c>
      <c r="C54" t="inlineStr">
        <is>
          <t>founder_community</t>
        </is>
      </c>
      <c r="D54" s="17" t="n">
        <v>46479</v>
      </c>
      <c r="E54" t="n">
        <v>0</v>
      </c>
      <c r="F54" t="inlineStr">
        <is>
          <t>not_due</t>
        </is>
      </c>
    </row>
    <row r="55">
      <c r="A55" t="inlineStr">
        <is>
          <t>sub-000716</t>
        </is>
      </c>
      <c r="B55" t="inlineStr">
        <is>
          <t>c-007263</t>
        </is>
      </c>
      <c r="C55" t="inlineStr">
        <is>
          <t>founder_community</t>
        </is>
      </c>
      <c r="D55" s="17" t="n">
        <v>46479</v>
      </c>
      <c r="E55" t="n">
        <v>0</v>
      </c>
      <c r="F55" t="inlineStr">
        <is>
          <t>not_due</t>
        </is>
      </c>
    </row>
    <row r="56">
      <c r="A56" t="inlineStr">
        <is>
          <t>sub-000681</t>
        </is>
      </c>
      <c r="B56" t="inlineStr">
        <is>
          <t>c-007013</t>
        </is>
      </c>
      <c r="C56" t="inlineStr">
        <is>
          <t>founder_community</t>
        </is>
      </c>
      <c r="D56" s="17" t="n">
        <v>46481</v>
      </c>
      <c r="E56" t="n">
        <v>0</v>
      </c>
      <c r="F56" t="inlineStr">
        <is>
          <t>not_due</t>
        </is>
      </c>
    </row>
    <row r="57">
      <c r="A57" t="inlineStr">
        <is>
          <t>sub-000743</t>
        </is>
      </c>
      <c r="B57" t="inlineStr">
        <is>
          <t>c-007526</t>
        </is>
      </c>
      <c r="C57" t="inlineStr">
        <is>
          <t>founder_community</t>
        </is>
      </c>
      <c r="D57" s="17" t="n">
        <v>46485</v>
      </c>
      <c r="E57" t="n">
        <v>0</v>
      </c>
      <c r="F57" t="inlineStr">
        <is>
          <t>not_due</t>
        </is>
      </c>
    </row>
    <row r="58">
      <c r="A58" t="inlineStr">
        <is>
          <t>sub-000751</t>
        </is>
      </c>
      <c r="B58" t="inlineStr">
        <is>
          <t>c-007614</t>
        </is>
      </c>
      <c r="C58" t="inlineStr">
        <is>
          <t>founder_community</t>
        </is>
      </c>
      <c r="D58" s="17" t="n">
        <v>46485</v>
      </c>
      <c r="E58" t="n">
        <v>0</v>
      </c>
      <c r="F58" t="inlineStr">
        <is>
          <t>not_due</t>
        </is>
      </c>
    </row>
    <row r="59">
      <c r="A59" t="inlineStr">
        <is>
          <t>sub-000754</t>
        </is>
      </c>
      <c r="B59" t="inlineStr">
        <is>
          <t>c-007650</t>
        </is>
      </c>
      <c r="C59" t="inlineStr">
        <is>
          <t>founder_community</t>
        </is>
      </c>
      <c r="D59" s="17" t="n">
        <v>46490</v>
      </c>
      <c r="E59" t="n">
        <v>0</v>
      </c>
      <c r="F59" t="inlineStr">
        <is>
          <t>not_due</t>
        </is>
      </c>
    </row>
    <row r="60">
      <c r="A60" t="inlineStr">
        <is>
          <t>sub-000784</t>
        </is>
      </c>
      <c r="B60" t="inlineStr">
        <is>
          <t>c-007937</t>
        </is>
      </c>
      <c r="C60" t="inlineStr">
        <is>
          <t>founder_community</t>
        </is>
      </c>
      <c r="D60" s="17" t="n">
        <v>46490</v>
      </c>
      <c r="E60" t="n">
        <v>0</v>
      </c>
      <c r="F60" t="inlineStr">
        <is>
          <t>not_due</t>
        </is>
      </c>
    </row>
    <row r="61">
      <c r="A61" t="inlineStr">
        <is>
          <t>sub-000736</t>
        </is>
      </c>
      <c r="B61" t="inlineStr">
        <is>
          <t>c-007488</t>
        </is>
      </c>
      <c r="C61" t="inlineStr">
        <is>
          <t>founder_community</t>
        </is>
      </c>
      <c r="D61" s="17" t="n">
        <v>46491</v>
      </c>
      <c r="E61" t="n">
        <v>0</v>
      </c>
      <c r="F61" t="inlineStr">
        <is>
          <t>not_due</t>
        </is>
      </c>
    </row>
    <row r="62">
      <c r="A62" t="inlineStr">
        <is>
          <t>sub-000738</t>
        </is>
      </c>
      <c r="B62" t="inlineStr">
        <is>
          <t>c-007499</t>
        </is>
      </c>
      <c r="C62" t="inlineStr">
        <is>
          <t>founder_community</t>
        </is>
      </c>
      <c r="D62" s="17" t="n">
        <v>46492</v>
      </c>
      <c r="E62" t="n">
        <v>0</v>
      </c>
      <c r="F62" t="inlineStr">
        <is>
          <t>not_due</t>
        </is>
      </c>
    </row>
    <row r="63">
      <c r="A63" t="inlineStr">
        <is>
          <t>sub-000798</t>
        </is>
      </c>
      <c r="B63" t="inlineStr">
        <is>
          <t>c-008049</t>
        </is>
      </c>
      <c r="C63" t="inlineStr">
        <is>
          <t>founder_community</t>
        </is>
      </c>
      <c r="D63" s="17" t="n">
        <v>46501</v>
      </c>
      <c r="E63" t="n">
        <v>0</v>
      </c>
      <c r="F63" t="inlineStr">
        <is>
          <t>not_due</t>
        </is>
      </c>
    </row>
    <row r="64">
      <c r="A64" t="inlineStr">
        <is>
          <t>sub-000795</t>
        </is>
      </c>
      <c r="B64" t="inlineStr">
        <is>
          <t>c-008040</t>
        </is>
      </c>
      <c r="C64" t="inlineStr">
        <is>
          <t>founder_community</t>
        </is>
      </c>
      <c r="D64" s="17" t="n">
        <v>46502</v>
      </c>
      <c r="E64" t="n">
        <v>0</v>
      </c>
      <c r="F64" t="inlineStr">
        <is>
          <t>not_due</t>
        </is>
      </c>
    </row>
    <row r="65">
      <c r="A65" t="inlineStr">
        <is>
          <t>sub-000808</t>
        </is>
      </c>
      <c r="B65" t="inlineStr">
        <is>
          <t>c-008154</t>
        </is>
      </c>
      <c r="C65" t="inlineStr">
        <is>
          <t>founder_community</t>
        </is>
      </c>
      <c r="D65" s="17" t="n">
        <v>46505</v>
      </c>
      <c r="E65" t="n">
        <v>0</v>
      </c>
      <c r="F65" t="inlineStr">
        <is>
          <t>not_due</t>
        </is>
      </c>
    </row>
    <row r="66">
      <c r="A66" t="inlineStr">
        <is>
          <t>sub-000792</t>
        </is>
      </c>
      <c r="B66" t="inlineStr">
        <is>
          <t>c-008034</t>
        </is>
      </c>
      <c r="C66" t="inlineStr">
        <is>
          <t>founder_community</t>
        </is>
      </c>
      <c r="D66" s="17" t="n">
        <v>46506</v>
      </c>
      <c r="E66" t="n">
        <v>0</v>
      </c>
      <c r="F66" t="inlineStr">
        <is>
          <t>not_due</t>
        </is>
      </c>
    </row>
    <row r="67">
      <c r="A67" t="inlineStr">
        <is>
          <t>sub-000877</t>
        </is>
      </c>
      <c r="B67" t="inlineStr">
        <is>
          <t>c-008682</t>
        </is>
      </c>
      <c r="C67" t="inlineStr">
        <is>
          <t>founder_community</t>
        </is>
      </c>
      <c r="D67" s="17" t="n">
        <v>46510</v>
      </c>
      <c r="E67" t="n">
        <v>0</v>
      </c>
      <c r="F67" t="inlineStr">
        <is>
          <t>not_due</t>
        </is>
      </c>
    </row>
    <row r="68">
      <c r="A68" t="inlineStr">
        <is>
          <t>sub-000840</t>
        </is>
      </c>
      <c r="B68" t="inlineStr">
        <is>
          <t>c-008501</t>
        </is>
      </c>
      <c r="C68" t="inlineStr">
        <is>
          <t>founder_community</t>
        </is>
      </c>
      <c r="D68" s="17" t="n">
        <v>46514</v>
      </c>
      <c r="E68" t="n">
        <v>0</v>
      </c>
      <c r="F68" t="inlineStr">
        <is>
          <t>not_due</t>
        </is>
      </c>
    </row>
    <row r="69">
      <c r="A69" t="inlineStr">
        <is>
          <t>sub-000857</t>
        </is>
      </c>
      <c r="B69" t="inlineStr">
        <is>
          <t>c-008588</t>
        </is>
      </c>
      <c r="C69" t="inlineStr">
        <is>
          <t>founder_community</t>
        </is>
      </c>
      <c r="D69" s="17" t="n">
        <v>46516</v>
      </c>
      <c r="E69" t="n">
        <v>0</v>
      </c>
      <c r="F69" t="inlineStr">
        <is>
          <t>not_due</t>
        </is>
      </c>
    </row>
    <row r="70">
      <c r="A70" t="inlineStr">
        <is>
          <t>sub-000843</t>
        </is>
      </c>
      <c r="B70" t="inlineStr">
        <is>
          <t>c-008506</t>
        </is>
      </c>
      <c r="C70" t="inlineStr">
        <is>
          <t>founder_community</t>
        </is>
      </c>
      <c r="D70" s="17" t="n">
        <v>46518</v>
      </c>
      <c r="E70" t="n">
        <v>0</v>
      </c>
      <c r="F70" t="inlineStr">
        <is>
          <t>not_due</t>
        </is>
      </c>
    </row>
    <row r="71">
      <c r="A71" t="inlineStr">
        <is>
          <t>sub-000826</t>
        </is>
      </c>
      <c r="B71" t="inlineStr">
        <is>
          <t>c-008365</t>
        </is>
      </c>
      <c r="C71" t="inlineStr">
        <is>
          <t>founder_community</t>
        </is>
      </c>
      <c r="D71" s="17" t="n">
        <v>46519</v>
      </c>
      <c r="E71" t="n">
        <v>0</v>
      </c>
      <c r="F71" t="inlineStr">
        <is>
          <t>not_due</t>
        </is>
      </c>
    </row>
    <row r="72">
      <c r="A72" t="inlineStr">
        <is>
          <t>sub-000879</t>
        </is>
      </c>
      <c r="B72" t="inlineStr">
        <is>
          <t>c-008683</t>
        </is>
      </c>
      <c r="C72" t="inlineStr">
        <is>
          <t>founder_community</t>
        </is>
      </c>
      <c r="D72" s="17" t="n">
        <v>46521</v>
      </c>
      <c r="E72" t="n">
        <v>0</v>
      </c>
      <c r="F72" t="inlineStr">
        <is>
          <t>not_due</t>
        </is>
      </c>
    </row>
    <row r="73">
      <c r="A73" t="inlineStr">
        <is>
          <t>sub-000869</t>
        </is>
      </c>
      <c r="B73" t="inlineStr">
        <is>
          <t>c-008645</t>
        </is>
      </c>
      <c r="C73" t="inlineStr">
        <is>
          <t>founder_community</t>
        </is>
      </c>
      <c r="D73" s="17" t="n">
        <v>46522</v>
      </c>
      <c r="E73" t="n">
        <v>0</v>
      </c>
      <c r="F73" t="inlineStr">
        <is>
          <t>not_due</t>
        </is>
      </c>
    </row>
    <row r="74">
      <c r="A74" t="inlineStr">
        <is>
          <t>sub-000873</t>
        </is>
      </c>
      <c r="B74" t="inlineStr">
        <is>
          <t>c-008668</t>
        </is>
      </c>
      <c r="C74" t="inlineStr">
        <is>
          <t>founder_community</t>
        </is>
      </c>
      <c r="D74" s="17" t="n">
        <v>46522</v>
      </c>
      <c r="E74" t="n">
        <v>0</v>
      </c>
      <c r="F74" t="inlineStr">
        <is>
          <t>not_due</t>
        </is>
      </c>
    </row>
    <row r="75">
      <c r="A75" t="inlineStr">
        <is>
          <t>sub-000850</t>
        </is>
      </c>
      <c r="B75" t="inlineStr">
        <is>
          <t>c-008548</t>
        </is>
      </c>
      <c r="C75" t="inlineStr">
        <is>
          <t>founder_community</t>
        </is>
      </c>
      <c r="D75" s="17" t="n">
        <v>46527</v>
      </c>
      <c r="E75" t="n">
        <v>0</v>
      </c>
      <c r="F75" t="inlineStr">
        <is>
          <t>not_due</t>
        </is>
      </c>
    </row>
    <row r="76">
      <c r="A76" t="inlineStr">
        <is>
          <t>sub-000861</t>
        </is>
      </c>
      <c r="B76" t="inlineStr">
        <is>
          <t>c-008597</t>
        </is>
      </c>
      <c r="C76" t="inlineStr">
        <is>
          <t>founder_community</t>
        </is>
      </c>
      <c r="D76" s="17" t="n">
        <v>46527</v>
      </c>
      <c r="E76" t="n">
        <v>0</v>
      </c>
      <c r="F76" t="inlineStr">
        <is>
          <t>not_due</t>
        </is>
      </c>
    </row>
    <row r="77">
      <c r="A77" t="inlineStr">
        <is>
          <t>sub-000881</t>
        </is>
      </c>
      <c r="B77" t="inlineStr">
        <is>
          <t>c-008694</t>
        </is>
      </c>
      <c r="C77" t="inlineStr">
        <is>
          <t>founder_community</t>
        </is>
      </c>
      <c r="D77" s="17" t="n">
        <v>46527</v>
      </c>
      <c r="E77" t="n">
        <v>0</v>
      </c>
      <c r="F77" t="inlineStr">
        <is>
          <t>not_due</t>
        </is>
      </c>
    </row>
    <row r="78">
      <c r="A78" t="inlineStr">
        <is>
          <t>sub-000883</t>
        </is>
      </c>
      <c r="B78" t="inlineStr">
        <is>
          <t>c-008730</t>
        </is>
      </c>
      <c r="C78" t="inlineStr">
        <is>
          <t>founder_community</t>
        </is>
      </c>
      <c r="D78" s="17" t="n">
        <v>46528</v>
      </c>
      <c r="E78" t="n">
        <v>0</v>
      </c>
      <c r="F78" t="inlineStr">
        <is>
          <t>not_due</t>
        </is>
      </c>
    </row>
    <row r="79">
      <c r="A79" t="inlineStr">
        <is>
          <t>sub-000904</t>
        </is>
      </c>
      <c r="B79" t="inlineStr">
        <is>
          <t>c-008914</t>
        </is>
      </c>
      <c r="C79" t="inlineStr">
        <is>
          <t>founder_community</t>
        </is>
      </c>
      <c r="D79" s="17" t="n">
        <v>46530</v>
      </c>
      <c r="E79" t="n">
        <v>0</v>
      </c>
      <c r="F79" t="inlineStr">
        <is>
          <t>not_due</t>
        </is>
      </c>
    </row>
    <row r="80">
      <c r="A80" t="inlineStr">
        <is>
          <t>sub-000923</t>
        </is>
      </c>
      <c r="B80" t="inlineStr">
        <is>
          <t>c-009052</t>
        </is>
      </c>
      <c r="C80" t="inlineStr">
        <is>
          <t>founder_community</t>
        </is>
      </c>
      <c r="D80" s="17" t="n">
        <v>46533</v>
      </c>
      <c r="E80" t="n">
        <v>0</v>
      </c>
      <c r="F80" t="inlineStr">
        <is>
          <t>not_due</t>
        </is>
      </c>
    </row>
    <row r="81">
      <c r="A81" t="inlineStr">
        <is>
          <t>sub-000928</t>
        </is>
      </c>
      <c r="B81" t="inlineStr">
        <is>
          <t>c-009098</t>
        </is>
      </c>
      <c r="C81" t="inlineStr">
        <is>
          <t>founder_community</t>
        </is>
      </c>
      <c r="D81" s="17" t="n">
        <v>46533</v>
      </c>
      <c r="E81" t="n">
        <v>0</v>
      </c>
      <c r="F81" t="inlineStr">
        <is>
          <t>not_due</t>
        </is>
      </c>
    </row>
    <row r="82">
      <c r="A82" t="inlineStr">
        <is>
          <t>sub-000947</t>
        </is>
      </c>
      <c r="B82" t="inlineStr">
        <is>
          <t>c-009272</t>
        </is>
      </c>
      <c r="C82" t="inlineStr">
        <is>
          <t>founder_community</t>
        </is>
      </c>
      <c r="D82" s="17" t="n">
        <v>46534</v>
      </c>
      <c r="E82" t="n">
        <v>0</v>
      </c>
      <c r="F82" t="inlineStr">
        <is>
          <t>not_due</t>
        </is>
      </c>
    </row>
    <row r="83">
      <c r="A83" t="inlineStr">
        <is>
          <t>sub-000911</t>
        </is>
      </c>
      <c r="B83" t="inlineStr">
        <is>
          <t>c-008959</t>
        </is>
      </c>
      <c r="C83" t="inlineStr">
        <is>
          <t>founder_community</t>
        </is>
      </c>
      <c r="D83" s="17" t="n">
        <v>46536</v>
      </c>
      <c r="E83" t="n">
        <v>0</v>
      </c>
      <c r="F83" t="inlineStr">
        <is>
          <t>not_due</t>
        </is>
      </c>
    </row>
    <row r="84">
      <c r="A84" t="inlineStr">
        <is>
          <t>sub-000916</t>
        </is>
      </c>
      <c r="B84" t="inlineStr">
        <is>
          <t>c-008986</t>
        </is>
      </c>
      <c r="C84" t="inlineStr">
        <is>
          <t>founder_community</t>
        </is>
      </c>
      <c r="D84" s="17" t="n">
        <v>46543</v>
      </c>
      <c r="E84" t="n">
        <v>0</v>
      </c>
      <c r="F84" t="inlineStr">
        <is>
          <t>not_due</t>
        </is>
      </c>
    </row>
    <row r="85">
      <c r="A85" t="inlineStr">
        <is>
          <t>sub-000942</t>
        </is>
      </c>
      <c r="B85" t="inlineStr">
        <is>
          <t>c-009256</t>
        </is>
      </c>
      <c r="C85" t="inlineStr">
        <is>
          <t>founder_community</t>
        </is>
      </c>
      <c r="D85" s="17" t="n">
        <v>46543</v>
      </c>
      <c r="E85" t="n">
        <v>0</v>
      </c>
      <c r="F85" t="inlineStr">
        <is>
          <t>not_due</t>
        </is>
      </c>
    </row>
    <row r="86">
      <c r="A86" t="inlineStr">
        <is>
          <t>sub-000949</t>
        </is>
      </c>
      <c r="B86" t="inlineStr">
        <is>
          <t>c-009290</t>
        </is>
      </c>
      <c r="C86" t="inlineStr">
        <is>
          <t>founder_community</t>
        </is>
      </c>
      <c r="D86" s="17" t="n">
        <v>46545</v>
      </c>
      <c r="E86" t="n">
        <v>0</v>
      </c>
      <c r="F86" t="inlineStr">
        <is>
          <t>not_due</t>
        </is>
      </c>
    </row>
    <row r="87">
      <c r="A87" t="inlineStr">
        <is>
          <t>sub-000996</t>
        </is>
      </c>
      <c r="B87" t="inlineStr">
        <is>
          <t>c-009712</t>
        </is>
      </c>
      <c r="C87" t="inlineStr">
        <is>
          <t>founder_community</t>
        </is>
      </c>
      <c r="D87" s="17" t="n">
        <v>46550</v>
      </c>
      <c r="E87" t="n">
        <v>0</v>
      </c>
      <c r="F87" t="inlineStr">
        <is>
          <t>not_due</t>
        </is>
      </c>
    </row>
    <row r="88">
      <c r="A88" t="inlineStr">
        <is>
          <t>sub-000952</t>
        </is>
      </c>
      <c r="B88" t="inlineStr">
        <is>
          <t>c-009294</t>
        </is>
      </c>
      <c r="C88" t="inlineStr">
        <is>
          <t>founder_community</t>
        </is>
      </c>
      <c r="D88" s="17" t="n">
        <v>46553</v>
      </c>
      <c r="E88" t="n">
        <v>0</v>
      </c>
      <c r="F88" t="inlineStr">
        <is>
          <t>not_due</t>
        </is>
      </c>
    </row>
    <row r="89">
      <c r="A89" t="inlineStr">
        <is>
          <t>sub-000969</t>
        </is>
      </c>
      <c r="B89" t="inlineStr">
        <is>
          <t>c-009477</t>
        </is>
      </c>
      <c r="C89" t="inlineStr">
        <is>
          <t>founder_community</t>
        </is>
      </c>
      <c r="D89" s="17" t="n">
        <v>46554</v>
      </c>
      <c r="E89" t="n">
        <v>0</v>
      </c>
      <c r="F89" t="inlineStr">
        <is>
          <t>not_due</t>
        </is>
      </c>
    </row>
    <row r="90">
      <c r="A90" t="inlineStr">
        <is>
          <t>sub-001000</t>
        </is>
      </c>
      <c r="B90" t="inlineStr">
        <is>
          <t>c-009753</t>
        </is>
      </c>
      <c r="C90" t="inlineStr">
        <is>
          <t>founder_community</t>
        </is>
      </c>
      <c r="D90" s="17" t="n">
        <v>46554</v>
      </c>
      <c r="E90" t="n">
        <v>0</v>
      </c>
      <c r="F90" t="inlineStr">
        <is>
          <t>not_due</t>
        </is>
      </c>
    </row>
    <row r="91">
      <c r="A91" t="inlineStr">
        <is>
          <t>sub-000965</t>
        </is>
      </c>
      <c r="B91" t="inlineStr">
        <is>
          <t>c-009461</t>
        </is>
      </c>
      <c r="C91" t="inlineStr">
        <is>
          <t>founder_community</t>
        </is>
      </c>
      <c r="D91" s="17" t="n">
        <v>46558</v>
      </c>
      <c r="E91" t="n">
        <v>0</v>
      </c>
      <c r="F91" t="inlineStr">
        <is>
          <t>not_due</t>
        </is>
      </c>
    </row>
    <row r="92">
      <c r="A92" t="inlineStr">
        <is>
          <t>sub-000972</t>
        </is>
      </c>
      <c r="B92" t="inlineStr">
        <is>
          <t>c-009493</t>
        </is>
      </c>
      <c r="C92" t="inlineStr">
        <is>
          <t>founder_community</t>
        </is>
      </c>
      <c r="D92" s="17" t="n">
        <v>46561</v>
      </c>
      <c r="E92" t="n">
        <v>0</v>
      </c>
      <c r="F92" t="inlineStr">
        <is>
          <t>not_due</t>
        </is>
      </c>
    </row>
    <row r="93">
      <c r="A93" t="inlineStr">
        <is>
          <t>sub-001029</t>
        </is>
      </c>
      <c r="B93" t="inlineStr">
        <is>
          <t>c-010223</t>
        </is>
      </c>
      <c r="C93" t="inlineStr">
        <is>
          <t>founder_community</t>
        </is>
      </c>
      <c r="D93" s="17" t="n">
        <v>46572</v>
      </c>
      <c r="E93" t="n">
        <v>0</v>
      </c>
      <c r="F93" t="inlineStr">
        <is>
          <t>not_due</t>
        </is>
      </c>
    </row>
    <row r="94">
      <c r="A94" t="inlineStr">
        <is>
          <t>sub-001067</t>
        </is>
      </c>
      <c r="B94" t="inlineStr">
        <is>
          <t>c-010713</t>
        </is>
      </c>
      <c r="C94" t="inlineStr">
        <is>
          <t>founder_community</t>
        </is>
      </c>
      <c r="D94" s="17" t="n">
        <v>46573</v>
      </c>
      <c r="E94" t="n">
        <v>0</v>
      </c>
      <c r="F94" t="inlineStr">
        <is>
          <t>not_due</t>
        </is>
      </c>
    </row>
    <row r="95">
      <c r="A95" t="inlineStr">
        <is>
          <t>sub-001023</t>
        </is>
      </c>
      <c r="B95" t="inlineStr">
        <is>
          <t>c-010137</t>
        </is>
      </c>
      <c r="C95" t="inlineStr">
        <is>
          <t>founder_community</t>
        </is>
      </c>
      <c r="D95" s="17" t="n">
        <v>46576</v>
      </c>
      <c r="E95" t="n">
        <v>0</v>
      </c>
      <c r="F95" t="inlineStr">
        <is>
          <t>not_due</t>
        </is>
      </c>
    </row>
    <row r="96">
      <c r="A96" t="inlineStr">
        <is>
          <t>sub-001049</t>
        </is>
      </c>
      <c r="B96" t="inlineStr">
        <is>
          <t>c-010490</t>
        </is>
      </c>
      <c r="C96" t="inlineStr">
        <is>
          <t>founder_community</t>
        </is>
      </c>
      <c r="D96" s="17" t="n">
        <v>46576</v>
      </c>
      <c r="E96" t="n">
        <v>0</v>
      </c>
      <c r="F96" t="inlineStr">
        <is>
          <t>not_due</t>
        </is>
      </c>
    </row>
    <row r="97">
      <c r="A97" t="inlineStr">
        <is>
          <t>sub-001032</t>
        </is>
      </c>
      <c r="B97" t="inlineStr">
        <is>
          <t>c-010228</t>
        </is>
      </c>
      <c r="C97" t="inlineStr">
        <is>
          <t>founder_community</t>
        </is>
      </c>
      <c r="D97" s="17" t="n">
        <v>46582</v>
      </c>
      <c r="E97" t="n">
        <v>0</v>
      </c>
      <c r="F97" t="inlineStr">
        <is>
          <t>not_due</t>
        </is>
      </c>
    </row>
    <row r="98">
      <c r="A98" t="inlineStr">
        <is>
          <t>sub-001060</t>
        </is>
      </c>
      <c r="B98" t="inlineStr">
        <is>
          <t>c-010610</t>
        </is>
      </c>
      <c r="C98" t="inlineStr">
        <is>
          <t>founder_community</t>
        </is>
      </c>
      <c r="D98" s="17" t="n">
        <v>46582</v>
      </c>
      <c r="E98" t="n">
        <v>0</v>
      </c>
      <c r="F98" t="inlineStr">
        <is>
          <t>not_due</t>
        </is>
      </c>
    </row>
    <row r="99">
      <c r="A99" t="inlineStr">
        <is>
          <t>sub-001084</t>
        </is>
      </c>
      <c r="B99" t="inlineStr">
        <is>
          <t>c-010879</t>
        </is>
      </c>
      <c r="C99" t="inlineStr">
        <is>
          <t>founder_community</t>
        </is>
      </c>
      <c r="D99" s="17" t="n">
        <v>46585</v>
      </c>
      <c r="E99" t="n">
        <v>0</v>
      </c>
      <c r="F99" t="inlineStr">
        <is>
          <t>not_due</t>
        </is>
      </c>
    </row>
    <row r="100">
      <c r="A100" t="inlineStr">
        <is>
          <t>sub-000002</t>
        </is>
      </c>
      <c r="B100" t="inlineStr">
        <is>
          <t>c-000002</t>
        </is>
      </c>
      <c r="C100" t="inlineStr">
        <is>
          <t>founder_community</t>
        </is>
      </c>
      <c r="D100" s="17" t="n">
        <v>46589</v>
      </c>
      <c r="E100" t="n">
        <v>0</v>
      </c>
      <c r="F100" t="inlineStr">
        <is>
          <t>not_due</t>
        </is>
      </c>
    </row>
    <row r="101">
      <c r="A101" t="inlineStr">
        <is>
          <t>sub-001079</t>
        </is>
      </c>
      <c r="B101" t="inlineStr">
        <is>
          <t>c-010816</t>
        </is>
      </c>
      <c r="C101" t="inlineStr">
        <is>
          <t>founder_community</t>
        </is>
      </c>
      <c r="D101" s="17" t="n">
        <v>46589</v>
      </c>
      <c r="E101" t="n">
        <v>0</v>
      </c>
      <c r="F101" t="inlineStr">
        <is>
          <t>not_due</t>
        </is>
      </c>
    </row>
    <row r="102">
      <c r="A102" t="inlineStr">
        <is>
          <t>sub-001070</t>
        </is>
      </c>
      <c r="B102" t="inlineStr">
        <is>
          <t>c-010739</t>
        </is>
      </c>
      <c r="C102" t="inlineStr">
        <is>
          <t>founder_community</t>
        </is>
      </c>
      <c r="D102" s="17" t="n">
        <v>46591</v>
      </c>
      <c r="E102" t="n">
        <v>0</v>
      </c>
      <c r="F102" t="inlineStr">
        <is>
          <t>not_due</t>
        </is>
      </c>
    </row>
    <row r="103">
      <c r="A103" t="inlineStr">
        <is>
          <t>sub-001093</t>
        </is>
      </c>
      <c r="B103" t="inlineStr">
        <is>
          <t>c-010976</t>
        </is>
      </c>
      <c r="C103" t="inlineStr">
        <is>
          <t>founder_community</t>
        </is>
      </c>
      <c r="D103" s="17" t="n">
        <v>46593</v>
      </c>
      <c r="E103" t="n">
        <v>0</v>
      </c>
      <c r="F103" t="inlineStr">
        <is>
          <t>not_due</t>
        </is>
      </c>
    </row>
    <row r="104">
      <c r="A104" t="inlineStr">
        <is>
          <t>sub-001090</t>
        </is>
      </c>
      <c r="B104" t="inlineStr">
        <is>
          <t>c-010934</t>
        </is>
      </c>
      <c r="C104" t="inlineStr">
        <is>
          <t>founder_community</t>
        </is>
      </c>
      <c r="D104" s="17" t="n">
        <v>46594</v>
      </c>
      <c r="E104" t="n">
        <v>0</v>
      </c>
      <c r="F104" t="inlineStr">
        <is>
          <t>not_due</t>
        </is>
      </c>
    </row>
    <row r="105">
      <c r="A105" t="inlineStr">
        <is>
          <t>sub-000033</t>
        </is>
      </c>
      <c r="B105" t="inlineStr">
        <is>
          <t>c-000335</t>
        </is>
      </c>
      <c r="C105" t="inlineStr">
        <is>
          <t>founder_community</t>
        </is>
      </c>
      <c r="D105" s="17" t="n">
        <v>46595</v>
      </c>
      <c r="E105" t="n">
        <v>0</v>
      </c>
      <c r="F105" t="inlineStr">
        <is>
          <t>not_due</t>
        </is>
      </c>
    </row>
    <row r="106">
      <c r="A106" t="inlineStr">
        <is>
          <t>sub-000010</t>
        </is>
      </c>
      <c r="B106" t="inlineStr">
        <is>
          <t>c-000084</t>
        </is>
      </c>
      <c r="C106" t="inlineStr">
        <is>
          <t>founder_community</t>
        </is>
      </c>
      <c r="D106" s="17" t="n">
        <v>46597</v>
      </c>
      <c r="E106" t="n">
        <v>0</v>
      </c>
      <c r="F106" t="inlineStr">
        <is>
          <t>not_due</t>
        </is>
      </c>
    </row>
    <row r="107">
      <c r="A107" t="inlineStr">
        <is>
          <t>sub-001088</t>
        </is>
      </c>
      <c r="B107" t="inlineStr">
        <is>
          <t>c-010927</t>
        </is>
      </c>
      <c r="C107" t="inlineStr">
        <is>
          <t>founder_community</t>
        </is>
      </c>
      <c r="D107" s="17" t="n">
        <v>46597</v>
      </c>
      <c r="E107" t="n">
        <v>0</v>
      </c>
      <c r="F107" t="inlineStr">
        <is>
          <t>not_due</t>
        </is>
      </c>
    </row>
    <row r="108">
      <c r="A108" t="inlineStr">
        <is>
          <t>sub-000035</t>
        </is>
      </c>
      <c r="B108" t="inlineStr">
        <is>
          <t>c-000344</t>
        </is>
      </c>
      <c r="C108" t="inlineStr">
        <is>
          <t>founder_community</t>
        </is>
      </c>
      <c r="D108" s="17" t="n">
        <v>46601</v>
      </c>
      <c r="E108" t="n">
        <v>0</v>
      </c>
      <c r="F108" t="inlineStr">
        <is>
          <t>not_due</t>
        </is>
      </c>
    </row>
    <row r="109">
      <c r="A109" t="inlineStr">
        <is>
          <t>sub-001116</t>
        </is>
      </c>
      <c r="B109" t="inlineStr">
        <is>
          <t>c-011190</t>
        </is>
      </c>
      <c r="C109" t="inlineStr">
        <is>
          <t>founder_community</t>
        </is>
      </c>
      <c r="D109" s="17" t="n">
        <v>46602</v>
      </c>
      <c r="E109" t="n">
        <v>0</v>
      </c>
      <c r="F109" t="inlineStr">
        <is>
          <t>not_due</t>
        </is>
      </c>
    </row>
    <row r="110">
      <c r="A110" t="inlineStr">
        <is>
          <t>sub-001125</t>
        </is>
      </c>
      <c r="B110" t="inlineStr">
        <is>
          <t>c-011284</t>
        </is>
      </c>
      <c r="C110" t="inlineStr">
        <is>
          <t>founder_community</t>
        </is>
      </c>
      <c r="D110" s="17" t="n">
        <v>46605</v>
      </c>
      <c r="E110" t="n">
        <v>0</v>
      </c>
      <c r="F110" t="inlineStr">
        <is>
          <t>not_due</t>
        </is>
      </c>
    </row>
    <row r="111">
      <c r="A111" t="inlineStr">
        <is>
          <t>sub-001131</t>
        </is>
      </c>
      <c r="B111" t="inlineStr">
        <is>
          <t>c-011322</t>
        </is>
      </c>
      <c r="C111" t="inlineStr">
        <is>
          <t>founder_community</t>
        </is>
      </c>
      <c r="D111" s="17" t="n">
        <v>46605</v>
      </c>
      <c r="E111" t="n">
        <v>0</v>
      </c>
      <c r="F111" t="inlineStr">
        <is>
          <t>not_due</t>
        </is>
      </c>
    </row>
    <row r="112">
      <c r="A112" t="inlineStr">
        <is>
          <t>sub-001128</t>
        </is>
      </c>
      <c r="B112" t="inlineStr">
        <is>
          <t>c-011301</t>
        </is>
      </c>
      <c r="C112" t="inlineStr">
        <is>
          <t>founder_community</t>
        </is>
      </c>
      <c r="D112" s="17" t="n">
        <v>46607</v>
      </c>
      <c r="E112" t="n">
        <v>0</v>
      </c>
      <c r="F112" t="inlineStr">
        <is>
          <t>not_due</t>
        </is>
      </c>
    </row>
    <row r="113">
      <c r="A113" t="inlineStr">
        <is>
          <t>sub-001095</t>
        </is>
      </c>
      <c r="B113" t="inlineStr">
        <is>
          <t>c-011002</t>
        </is>
      </c>
      <c r="C113" t="inlineStr">
        <is>
          <t>founder_community</t>
        </is>
      </c>
      <c r="D113" s="17" t="n">
        <v>46612</v>
      </c>
      <c r="E113" t="n">
        <v>0</v>
      </c>
      <c r="F113" t="inlineStr">
        <is>
          <t>not_due</t>
        </is>
      </c>
    </row>
    <row r="114">
      <c r="A114" t="inlineStr">
        <is>
          <t>sub-001142</t>
        </is>
      </c>
      <c r="B114" t="inlineStr">
        <is>
          <t>c-011444</t>
        </is>
      </c>
      <c r="C114" t="inlineStr">
        <is>
          <t>founder_community</t>
        </is>
      </c>
      <c r="D114" s="17" t="n">
        <v>46613</v>
      </c>
      <c r="E114" t="n">
        <v>0</v>
      </c>
      <c r="F114" t="inlineStr">
        <is>
          <t>not_due</t>
        </is>
      </c>
    </row>
    <row r="115">
      <c r="A115" t="inlineStr">
        <is>
          <t>sub-001175</t>
        </is>
      </c>
      <c r="B115" t="inlineStr">
        <is>
          <t>c-011701</t>
        </is>
      </c>
      <c r="C115" t="inlineStr">
        <is>
          <t>founder_community</t>
        </is>
      </c>
      <c r="D115" s="17" t="n">
        <v>46614</v>
      </c>
      <c r="E115" t="n">
        <v>0</v>
      </c>
      <c r="F115" t="inlineStr">
        <is>
          <t>not_due</t>
        </is>
      </c>
    </row>
    <row r="116">
      <c r="A116" t="inlineStr">
        <is>
          <t>sub-000071</t>
        </is>
      </c>
      <c r="B116" t="inlineStr">
        <is>
          <t>c-000830</t>
        </is>
      </c>
      <c r="C116" t="inlineStr">
        <is>
          <t>founder_community</t>
        </is>
      </c>
      <c r="D116" s="17" t="n">
        <v>46617</v>
      </c>
      <c r="E116" t="n">
        <v>0</v>
      </c>
      <c r="F116" t="inlineStr">
        <is>
          <t>not_due</t>
        </is>
      </c>
    </row>
    <row r="117">
      <c r="A117" t="inlineStr">
        <is>
          <t>sub-000083</t>
        </is>
      </c>
      <c r="B117" t="inlineStr">
        <is>
          <t>c-001010</t>
        </is>
      </c>
      <c r="C117" t="inlineStr">
        <is>
          <t>founder_community</t>
        </is>
      </c>
      <c r="D117" s="17" t="n">
        <v>46618</v>
      </c>
      <c r="E117" t="n">
        <v>0</v>
      </c>
      <c r="F117" t="inlineStr">
        <is>
          <t>not_due</t>
        </is>
      </c>
    </row>
    <row r="118">
      <c r="A118" t="inlineStr">
        <is>
          <t>sub-001136</t>
        </is>
      </c>
      <c r="B118" t="inlineStr">
        <is>
          <t>c-011398</t>
        </is>
      </c>
      <c r="C118" t="inlineStr">
        <is>
          <t>founder_community</t>
        </is>
      </c>
      <c r="D118" s="17" t="n">
        <v>46618</v>
      </c>
      <c r="E118" t="n">
        <v>0</v>
      </c>
      <c r="F118" t="inlineStr">
        <is>
          <t>not_due</t>
        </is>
      </c>
    </row>
    <row r="119">
      <c r="A119" t="inlineStr">
        <is>
          <t>sub-001208</t>
        </is>
      </c>
      <c r="B119" t="inlineStr">
        <is>
          <t>c-012020</t>
        </is>
      </c>
      <c r="C119" t="inlineStr">
        <is>
          <t>founder_community</t>
        </is>
      </c>
      <c r="D119" s="17" t="n">
        <v>46624</v>
      </c>
      <c r="E119" t="n">
        <v>0</v>
      </c>
      <c r="F119" t="inlineStr">
        <is>
          <t>not_due</t>
        </is>
      </c>
    </row>
    <row r="120">
      <c r="A120" t="inlineStr">
        <is>
          <t>sub-000110</t>
        </is>
      </c>
      <c r="B120" t="inlineStr">
        <is>
          <t>c-001216</t>
        </is>
      </c>
      <c r="C120" t="inlineStr">
        <is>
          <t>founder_community</t>
        </is>
      </c>
      <c r="D120" s="17" t="n">
        <v>46625</v>
      </c>
      <c r="E120" t="n">
        <v>0</v>
      </c>
      <c r="F120" t="inlineStr">
        <is>
          <t>not_due</t>
        </is>
      </c>
    </row>
    <row r="121">
      <c r="A121" t="inlineStr">
        <is>
          <t>sub-000073</t>
        </is>
      </c>
      <c r="B121" t="inlineStr">
        <is>
          <t>c-000839</t>
        </is>
      </c>
      <c r="C121" t="inlineStr">
        <is>
          <t>founder_community</t>
        </is>
      </c>
      <c r="D121" s="17" t="n">
        <v>46626</v>
      </c>
      <c r="E121" t="n">
        <v>0</v>
      </c>
      <c r="F121" t="inlineStr">
        <is>
          <t>not_due</t>
        </is>
      </c>
    </row>
    <row r="122">
      <c r="A122" t="inlineStr">
        <is>
          <t>sub-001167</t>
        </is>
      </c>
      <c r="B122" t="inlineStr">
        <is>
          <t>c-011648</t>
        </is>
      </c>
      <c r="C122" t="inlineStr">
        <is>
          <t>founder_community</t>
        </is>
      </c>
      <c r="D122" s="17" t="n">
        <v>46628</v>
      </c>
      <c r="E122" t="n">
        <v>0</v>
      </c>
      <c r="F122" t="inlineStr">
        <is>
          <t>not_due</t>
        </is>
      </c>
    </row>
    <row r="123">
      <c r="A123" t="inlineStr">
        <is>
          <t>sub-001202</t>
        </is>
      </c>
      <c r="B123" t="inlineStr">
        <is>
          <t>c-011978</t>
        </is>
      </c>
      <c r="C123" t="inlineStr">
        <is>
          <t>founder_community</t>
        </is>
      </c>
      <c r="D123" s="17" t="n">
        <v>46629</v>
      </c>
      <c r="E123" t="n">
        <v>0</v>
      </c>
      <c r="F123" t="inlineStr">
        <is>
          <t>not_due</t>
        </is>
      </c>
    </row>
    <row r="124">
      <c r="A124" t="inlineStr">
        <is>
          <t>sub-000068</t>
        </is>
      </c>
      <c r="B124" t="inlineStr">
        <is>
          <t>c-000789</t>
        </is>
      </c>
      <c r="C124" t="inlineStr">
        <is>
          <t>founder_community</t>
        </is>
      </c>
      <c r="D124" s="17" t="n">
        <v>46632</v>
      </c>
      <c r="E124" t="n">
        <v>0</v>
      </c>
      <c r="F124" t="inlineStr">
        <is>
          <t>not_due</t>
        </is>
      </c>
    </row>
    <row r="125">
      <c r="A125" t="inlineStr">
        <is>
          <t>sub-000085</t>
        </is>
      </c>
      <c r="B125" t="inlineStr">
        <is>
          <t>c-001023</t>
        </is>
      </c>
      <c r="C125" t="inlineStr">
        <is>
          <t>founder_community</t>
        </is>
      </c>
      <c r="D125" s="17" t="n">
        <v>46635</v>
      </c>
      <c r="E125" t="n">
        <v>0</v>
      </c>
      <c r="F125" t="inlineStr">
        <is>
          <t>not_due</t>
        </is>
      </c>
    </row>
    <row r="126">
      <c r="A126" t="inlineStr">
        <is>
          <t>sub-001219</t>
        </is>
      </c>
      <c r="B126" t="inlineStr">
        <is>
          <t>c-012174</t>
        </is>
      </c>
      <c r="C126" t="inlineStr">
        <is>
          <t>founder_community</t>
        </is>
      </c>
      <c r="D126" s="17" t="n">
        <v>46636</v>
      </c>
      <c r="E126" t="n">
        <v>0</v>
      </c>
      <c r="F126" t="inlineStr">
        <is>
          <t>not_due</t>
        </is>
      </c>
    </row>
    <row r="127">
      <c r="A127" t="inlineStr">
        <is>
          <t>sub-001226</t>
        </is>
      </c>
      <c r="B127" t="inlineStr">
        <is>
          <t>c-012233</t>
        </is>
      </c>
      <c r="C127" t="inlineStr">
        <is>
          <t>founder_community</t>
        </is>
      </c>
      <c r="D127" s="17" t="n">
        <v>46636</v>
      </c>
      <c r="E127" t="n">
        <v>0</v>
      </c>
      <c r="F127" t="inlineStr">
        <is>
          <t>not_due</t>
        </is>
      </c>
    </row>
    <row r="128">
      <c r="A128" t="inlineStr">
        <is>
          <t>sub-001234</t>
        </is>
      </c>
      <c r="B128" t="inlineStr">
        <is>
          <t>c-012321</t>
        </is>
      </c>
      <c r="C128" t="inlineStr">
        <is>
          <t>founder_community</t>
        </is>
      </c>
      <c r="D128" s="17" t="n">
        <v>46637</v>
      </c>
      <c r="E128" t="n">
        <v>0</v>
      </c>
      <c r="F128" t="inlineStr">
        <is>
          <t>not_due</t>
        </is>
      </c>
    </row>
    <row r="129">
      <c r="A129" t="inlineStr">
        <is>
          <t>sub-001229</t>
        </is>
      </c>
      <c r="B129" t="inlineStr">
        <is>
          <t>c-012239</t>
        </is>
      </c>
      <c r="C129" t="inlineStr">
        <is>
          <t>founder_community</t>
        </is>
      </c>
      <c r="D129" s="17" t="n">
        <v>46638</v>
      </c>
      <c r="E129" t="n">
        <v>0</v>
      </c>
      <c r="F129" t="inlineStr">
        <is>
          <t>not_due</t>
        </is>
      </c>
    </row>
    <row r="130">
      <c r="A130" t="inlineStr">
        <is>
          <t>sub-000133</t>
        </is>
      </c>
      <c r="B130" t="inlineStr">
        <is>
          <t>c-001473</t>
        </is>
      </c>
      <c r="C130" t="inlineStr">
        <is>
          <t>founder_community</t>
        </is>
      </c>
      <c r="D130" s="17" t="n">
        <v>46640</v>
      </c>
      <c r="E130" t="n">
        <v>0</v>
      </c>
      <c r="F130" t="inlineStr">
        <is>
          <t>not_due</t>
        </is>
      </c>
    </row>
    <row r="131">
      <c r="A131" t="inlineStr">
        <is>
          <t>sub-001260</t>
        </is>
      </c>
      <c r="B131" t="inlineStr">
        <is>
          <t>c-012753</t>
        </is>
      </c>
      <c r="C131" t="inlineStr">
        <is>
          <t>founder_community</t>
        </is>
      </c>
      <c r="D131" s="17" t="n">
        <v>46642</v>
      </c>
      <c r="E131" t="n">
        <v>0</v>
      </c>
      <c r="F131" t="inlineStr">
        <is>
          <t>not_due</t>
        </is>
      </c>
    </row>
    <row r="132">
      <c r="A132" t="inlineStr">
        <is>
          <t>sub-000102</t>
        </is>
      </c>
      <c r="B132" t="inlineStr">
        <is>
          <t>c-001124</t>
        </is>
      </c>
      <c r="C132" t="inlineStr">
        <is>
          <t>founder_community</t>
        </is>
      </c>
      <c r="D132" s="17" t="n">
        <v>46643</v>
      </c>
      <c r="E132" t="n">
        <v>0</v>
      </c>
      <c r="F132" t="inlineStr">
        <is>
          <t>not_due</t>
        </is>
      </c>
    </row>
    <row r="133">
      <c r="A133" t="inlineStr">
        <is>
          <t>sub-000164</t>
        </is>
      </c>
      <c r="B133" t="inlineStr">
        <is>
          <t>c-001749</t>
        </is>
      </c>
      <c r="C133" t="inlineStr">
        <is>
          <t>founder_community</t>
        </is>
      </c>
      <c r="D133" s="17" t="n">
        <v>46645</v>
      </c>
      <c r="E133" t="n">
        <v>0</v>
      </c>
      <c r="F133" t="inlineStr">
        <is>
          <t>not_due</t>
        </is>
      </c>
    </row>
    <row r="134">
      <c r="A134" t="inlineStr">
        <is>
          <t>sub-001286</t>
        </is>
      </c>
      <c r="B134" t="inlineStr">
        <is>
          <t>c-013135</t>
        </is>
      </c>
      <c r="C134" t="inlineStr">
        <is>
          <t>founder_community</t>
        </is>
      </c>
      <c r="D134" s="17" t="n">
        <v>46645</v>
      </c>
      <c r="E134" t="n">
        <v>0</v>
      </c>
      <c r="F134" t="inlineStr">
        <is>
          <t>not_due</t>
        </is>
      </c>
    </row>
    <row r="135">
      <c r="A135" t="inlineStr">
        <is>
          <t>sub-000158</t>
        </is>
      </c>
      <c r="B135" t="inlineStr">
        <is>
          <t>c-001738</t>
        </is>
      </c>
      <c r="C135" t="inlineStr">
        <is>
          <t>founder_community</t>
        </is>
      </c>
      <c r="D135" s="17" t="n">
        <v>46646</v>
      </c>
      <c r="E135" t="n">
        <v>0</v>
      </c>
      <c r="F135" t="inlineStr">
        <is>
          <t>not_due</t>
        </is>
      </c>
    </row>
    <row r="136">
      <c r="A136" t="inlineStr">
        <is>
          <t>sub-001302</t>
        </is>
      </c>
      <c r="B136" t="inlineStr">
        <is>
          <t>c-013384</t>
        </is>
      </c>
      <c r="C136" t="inlineStr">
        <is>
          <t>founder_community</t>
        </is>
      </c>
      <c r="D136" s="17" t="n">
        <v>46647</v>
      </c>
      <c r="E136" t="n">
        <v>0</v>
      </c>
      <c r="F136" t="inlineStr">
        <is>
          <t>not_due</t>
        </is>
      </c>
    </row>
    <row r="137">
      <c r="A137" t="inlineStr">
        <is>
          <t>sub-000160</t>
        </is>
      </c>
      <c r="B137" t="inlineStr">
        <is>
          <t>c-001739</t>
        </is>
      </c>
      <c r="C137" t="inlineStr">
        <is>
          <t>founder_community</t>
        </is>
      </c>
      <c r="D137" s="17" t="n">
        <v>46649</v>
      </c>
      <c r="E137" t="n">
        <v>0</v>
      </c>
      <c r="F137" t="inlineStr">
        <is>
          <t>not_due</t>
        </is>
      </c>
    </row>
    <row r="138">
      <c r="A138" t="inlineStr">
        <is>
          <t>sub-001324</t>
        </is>
      </c>
      <c r="B138" t="inlineStr">
        <is>
          <t>c-013660</t>
        </is>
      </c>
      <c r="C138" t="inlineStr">
        <is>
          <t>founder_community</t>
        </is>
      </c>
      <c r="D138" s="17" t="n">
        <v>46649</v>
      </c>
      <c r="E138" t="n">
        <v>0</v>
      </c>
      <c r="F138" t="inlineStr">
        <is>
          <t>not_due</t>
        </is>
      </c>
    </row>
    <row r="139">
      <c r="A139" t="inlineStr">
        <is>
          <t>sub-000122</t>
        </is>
      </c>
      <c r="B139" t="inlineStr">
        <is>
          <t>c-001387</t>
        </is>
      </c>
      <c r="C139" t="inlineStr">
        <is>
          <t>founder_community</t>
        </is>
      </c>
      <c r="D139" s="17" t="n">
        <v>46651</v>
      </c>
      <c r="E139" t="n">
        <v>0</v>
      </c>
      <c r="F139" t="inlineStr">
        <is>
          <t>not_due</t>
        </is>
      </c>
    </row>
    <row r="140">
      <c r="A140" t="inlineStr">
        <is>
          <t>sub-000146</t>
        </is>
      </c>
      <c r="B140" t="inlineStr">
        <is>
          <t>c-001607</t>
        </is>
      </c>
      <c r="C140" t="inlineStr">
        <is>
          <t>founder_community</t>
        </is>
      </c>
      <c r="D140" s="17" t="n">
        <v>46651</v>
      </c>
      <c r="E140" t="n">
        <v>0</v>
      </c>
      <c r="F140" t="inlineStr">
        <is>
          <t>not_due</t>
        </is>
      </c>
    </row>
    <row r="141">
      <c r="A141" t="inlineStr">
        <is>
          <t>sub-001273</t>
        </is>
      </c>
      <c r="B141" t="inlineStr">
        <is>
          <t>c-012866</t>
        </is>
      </c>
      <c r="C141" t="inlineStr">
        <is>
          <t>founder_community</t>
        </is>
      </c>
      <c r="D141" s="17" t="n">
        <v>46652</v>
      </c>
      <c r="E141" t="n">
        <v>0</v>
      </c>
      <c r="F141" t="inlineStr">
        <is>
          <t>not_due</t>
        </is>
      </c>
    </row>
    <row r="142">
      <c r="A142" t="inlineStr">
        <is>
          <t>sub-001306</t>
        </is>
      </c>
      <c r="B142" t="inlineStr">
        <is>
          <t>c-013401</t>
        </is>
      </c>
      <c r="C142" t="inlineStr">
        <is>
          <t>founder_community</t>
        </is>
      </c>
      <c r="D142" s="17" t="n">
        <v>46652</v>
      </c>
      <c r="E142" t="n">
        <v>0</v>
      </c>
      <c r="F142" t="inlineStr">
        <is>
          <t>not_due</t>
        </is>
      </c>
    </row>
    <row r="143">
      <c r="A143" t="inlineStr">
        <is>
          <t>sub-001298</t>
        </is>
      </c>
      <c r="B143" t="inlineStr">
        <is>
          <t>c-013274</t>
        </is>
      </c>
      <c r="C143" t="inlineStr">
        <is>
          <t>founder_community</t>
        </is>
      </c>
      <c r="D143" s="17" t="n">
        <v>46653</v>
      </c>
      <c r="E143" t="n">
        <v>0</v>
      </c>
      <c r="F143" t="inlineStr">
        <is>
          <t>not_due</t>
        </is>
      </c>
    </row>
    <row r="144">
      <c r="A144" t="inlineStr">
        <is>
          <t>sub-000154</t>
        </is>
      </c>
      <c r="B144" t="inlineStr">
        <is>
          <t>c-001698</t>
        </is>
      </c>
      <c r="C144" t="inlineStr">
        <is>
          <t>founder_community</t>
        </is>
      </c>
      <c r="D144" s="17" t="n">
        <v>46654</v>
      </c>
      <c r="E144" t="n">
        <v>0</v>
      </c>
      <c r="F144" t="inlineStr">
        <is>
          <t>not_due</t>
        </is>
      </c>
    </row>
    <row r="145">
      <c r="A145" t="inlineStr">
        <is>
          <t>sub-000198</t>
        </is>
      </c>
      <c r="B145" t="inlineStr">
        <is>
          <t>c-002110</t>
        </is>
      </c>
      <c r="C145" t="inlineStr">
        <is>
          <t>founder_community</t>
        </is>
      </c>
      <c r="D145" s="17" t="n">
        <v>46654</v>
      </c>
      <c r="E145" t="n">
        <v>0</v>
      </c>
      <c r="F145" t="inlineStr">
        <is>
          <t>not_due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16" customWidth="1" min="3" max="3"/>
  </cols>
  <sheetData>
    <row r="1">
      <c r="A1" s="18" t="inlineStr">
        <is>
          <t>Reconciliation checks (every difference must be zero)</t>
        </is>
      </c>
      <c r="B1" s="2" t="n"/>
      <c r="C1" s="2" t="n"/>
    </row>
    <row r="2">
      <c r="A2" s="19" t="inlineStr">
        <is>
          <t>Check</t>
        </is>
      </c>
      <c r="B2" s="19" t="inlineStr">
        <is>
          <t>Difference (cents)</t>
        </is>
      </c>
      <c r="C2" s="19" t="inlineStr">
        <is>
          <t>Status</t>
        </is>
      </c>
    </row>
    <row r="3">
      <c r="A3" t="inlineStr">
        <is>
          <t>Gross − refunds − net</t>
        </is>
      </c>
      <c r="B3">
        <f>Revenue!B2-Revenue!C2-Revenue!D2</f>
        <v/>
      </c>
      <c r="C3">
        <f>IF(B3=0,"✓ Reconciled","✗ Investigate")</f>
        <v/>
      </c>
    </row>
    <row r="4">
      <c r="A4" t="inlineStr">
        <is>
          <t>Daily net cash − revenue net</t>
        </is>
      </c>
      <c r="B4">
        <f>SUM(Daily!J2:J453)-Revenue!D2</f>
        <v/>
      </c>
      <c r="C4">
        <f>IF(B4=0,"✓ Reconciled","✗ Investigate")</f>
        <v/>
      </c>
    </row>
    <row r="5">
      <c r="A5" t="inlineStr">
        <is>
          <t>Daily spend − campaign spend</t>
        </is>
      </c>
      <c r="B5">
        <f>SUM(Daily!B2:B453)-SUM(Campaigns!$D$2:$D$13)</f>
        <v/>
      </c>
      <c r="C5">
        <f>IF(B5=0,"✓ Reconciled","✗ Investigate")</f>
        <v/>
      </c>
    </row>
    <row r="6">
      <c r="A6" t="inlineStr">
        <is>
          <t>Bridge: booked + deltas − gross</t>
        </is>
      </c>
      <c r="B6">
        <f>SUM(Bridge!D2:D6)-Bridge!D7</f>
        <v/>
      </c>
      <c r="C6">
        <f>IF(B6=0,"✓ Reconciled","✗ Investigate")</f>
        <v/>
      </c>
    </row>
    <row r="7">
      <c r="A7" t="inlineStr">
        <is>
          <t>Bridge: gross + refunds − net</t>
        </is>
      </c>
      <c r="B7">
        <f>Bridge!D7+Bridge!D8-Bridge!D9</f>
        <v/>
      </c>
      <c r="C7">
        <f>IF(B7=0,"✓ Reconciled","✗ Investigate")</f>
        <v/>
      </c>
    </row>
    <row r="8">
      <c r="A8" t="inlineStr">
        <is>
          <t>Bridge net − revenue net</t>
        </is>
      </c>
      <c r="B8">
        <f>Bridge!D9-Revenue!D2</f>
        <v/>
      </c>
      <c r="C8">
        <f>IF(B8=0,"✓ Reconciled","✗ Investigate")</f>
        <v/>
      </c>
    </row>
    <row r="9">
      <c r="A9" t="inlineStr">
        <is>
          <t>Experiment exposures are unique (dbt test)</t>
        </is>
      </c>
      <c r="B9">
        <f>0</f>
        <v/>
      </c>
      <c r="C9">
        <f>IF(B9=0,"✓ Reconciled","✗ Investigate")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GrowthOps OS</dc:creator>
  <dcterms:created xsi:type="dcterms:W3CDTF">2026-01-01T00:00:00Z</dcterms:created>
  <dcterms:modified xsi:type="dcterms:W3CDTF">2026-01-01T00:00:00Z</dcterms:modified>
</cp:coreProperties>
</file>