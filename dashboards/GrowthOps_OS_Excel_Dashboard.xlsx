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sh2\Claude\portfolio-projects\growthops-os\dashboards\"/>
    </mc:Choice>
  </mc:AlternateContent>
  <xr:revisionPtr revIDLastSave="0" documentId="13_ncr:1_{50C19D95-8070-4D2A-B12C-172A96B854B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Dashboard" sheetId="2" r:id="rId2"/>
    <sheet name="Campaign scorecard" sheetId="3" r:id="rId3"/>
    <sheet name="Email health" sheetId="4" r:id="rId4"/>
    <sheet name="Revenue truth" sheetId="5" r:id="rId5"/>
    <sheet name="Funnel and test" sheetId="6" r:id="rId6"/>
    <sheet name="Data quality" sheetId="7" r:id="rId7"/>
    <sheet name="Audit" sheetId="8" r:id="rId8"/>
    <sheet name="Definitions" sheetId="9" r:id="rId9"/>
    <sheet name="Calc" sheetId="10" r:id="rId10"/>
    <sheet name="Daily" sheetId="11" r:id="rId11"/>
    <sheet name="Paid daily" sheetId="12" r:id="rId12"/>
    <sheet name="Attribution" sheetId="13" r:id="rId13"/>
    <sheet name="Email" sheetId="14" r:id="rId14"/>
    <sheet name="Campaign dim" sheetId="15" r:id="rId15"/>
    <sheet name="Campaigns" sheetId="16" r:id="rId16"/>
    <sheet name="Revenue" sheetId="17" r:id="rId17"/>
    <sheet name="Bridge" sheetId="18" r:id="rId18"/>
    <sheet name="Platforms" sheetId="19" r:id="rId19"/>
    <sheet name="Funnel" sheetId="20" r:id="rId20"/>
    <sheet name="Experiment" sheetId="21" r:id="rId21"/>
    <sheet name="Content" sheetId="22" r:id="rId22"/>
    <sheet name="Quality" sheetId="23" r:id="rId23"/>
    <sheet name="Health" sheetId="24" r:id="rId24"/>
    <sheet name="Migration" sheetId="25" r:id="rId25"/>
    <sheet name="Links" sheetId="26" r:id="rId26"/>
    <sheet name="Renewals" sheetId="27" r:id="rId27"/>
    <sheet name="Incidents" sheetId="28" r:id="rId28"/>
  </sheets>
  <definedNames>
    <definedName name="AllChecksPass">Audit!$C$22</definedName>
    <definedName name="AsOf">Calc!$C$6</definedName>
    <definedName name="att_campaign_id">Attribution!$C$2:$C$829</definedName>
    <definedName name="att_gross_cents">Attribution!$D$2:$D$829</definedName>
    <definedName name="att_net_cash_cents">Attribution!$F$2:$F$829</definedName>
    <definedName name="att_paid_date">Attribution!$B$2:$B$829</definedName>
    <definedName name="att_payment_id">Attribution!$A$2:$A$829</definedName>
    <definedName name="att_refund_cents">Attribution!$E$2:$E$829</definedName>
    <definedName name="br_cents">Bridge!$D$2:$D$9</definedName>
    <definedName name="br_kind">Bridge!$C$2:$C$9</definedName>
    <definedName name="br_note">Bridge!$F$2:$F$9</definedName>
    <definedName name="br_ordinal">Bridge!$A$2:$A$9</definedName>
    <definedName name="br_step">Bridge!$B$2:$B$9</definedName>
    <definedName name="br_step_label">Bridge!$E$2:$E$9</definedName>
    <definedName name="cp_campaign_id">Campaigns!$A$2:$A$13</definedName>
    <definedName name="cp_customers">Campaigns!$G$2:$G$13</definedName>
    <definedName name="cp_leads">Campaigns!$E$2:$E$13</definedName>
    <definedName name="cp_medium">Campaigns!$C$2:$C$13</definedName>
    <definedName name="cp_mqls">Campaigns!$F$2:$F$13</definedName>
    <definedName name="cp_net_cash_cents">Campaigns!$H$2:$H$13</definedName>
    <definedName name="cp_source">Campaigns!$B$2:$B$13</definedName>
    <definedName name="cp_spend_cents">Campaigns!$D$2:$D$13</definedName>
    <definedName name="ct_calls_booked">Content!$I$2:$I$31</definedName>
    <definedName name="ct_clicks">Content!$F$2:$F$31</definedName>
    <definedName name="ct_content_id">Content!$A$2:$A$31</definedName>
    <definedName name="ct_customers">Content!$J$2:$J$31</definedName>
    <definedName name="ct_engaged_leads">Content!$G$2:$G$31</definedName>
    <definedName name="ct_influenced_net_cash_cents">Content!$K$2:$K$31</definedName>
    <definedName name="ct_mqls">Content!$H$2:$H$31</definedName>
    <definedName name="ct_platform">Content!$C$2:$C$31</definedName>
    <definedName name="ct_title">Content!$B$2:$B$31</definedName>
    <definedName name="ct_topic">Content!$D$2:$D$31</definedName>
    <definedName name="ct_views">Content!$E$2:$E$31</definedName>
    <definedName name="dc_campaign_id">'Campaign dim'!$A$2:$A$14</definedName>
    <definedName name="dc_campaign_name">'Campaign dim'!$B$2:$B$14</definedName>
    <definedName name="dc_campaign_order">'Campaign dim'!$J$2:$J$14</definedName>
    <definedName name="dc_channel_group">'Campaign dim'!$F$2:$F$14</definedName>
    <definedName name="dc_is_paid">'Campaign dim'!$H$2:$H$14</definedName>
    <definedName name="dc_landing_page">'Campaign dim'!$G$2:$G$14</definedName>
    <definedName name="dc_medium">'Campaign dim'!$E$2:$E$14</definedName>
    <definedName name="dc_platform">'Campaign dim'!$C$2:$C$14</definedName>
    <definedName name="dc_registry_valid">'Campaign dim'!$I$2:$I$14</definedName>
    <definedName name="dc_source">'Campaign dim'!$D$2:$D$14</definedName>
    <definedName name="dly_booked_cents">Daily!$G$2:$G$453</definedName>
    <definedName name="dly_calls_booked">Daily!$E$2:$E$453</definedName>
    <definedName name="dly_closed_won_deals">Daily!$F$2:$F$453</definedName>
    <definedName name="dly_day">Daily!$A$2:$A$453</definedName>
    <definedName name="dly_gross_collected_cents">Daily!$H$2:$H$453</definedName>
    <definedName name="dly_leads">Daily!$C$2:$C$453</definedName>
    <definedName name="dly_mqls">Daily!$D$2:$D$453</definedName>
    <definedName name="dly_net_cash_cents">Daily!$J$2:$J$453</definedName>
    <definedName name="dly_refunds_cents">Daily!$I$2:$I$453</definedName>
    <definedName name="dly_spend_cents">Daily!$B$2:$B$453</definedName>
    <definedName name="em_bounce_rate">Email!$O$2:$O$150</definedName>
    <definedName name="em_bounces">Email!$H$2:$H$150</definedName>
    <definedName name="em_click_rate">Email!$Q$2:$Q$150</definedName>
    <definedName name="em_click_to_open_rate">Email!$R$2:$R$150</definedName>
    <definedName name="em_clicks">Email!$L$2:$L$150</definedName>
    <definedName name="em_complaint_rate">Email!$S$2:$S$150</definedName>
    <definedName name="em_delivered">Email!$G$2:$G$150</definedName>
    <definedName name="em_email_id">Email!$A$2:$A$150</definedName>
    <definedName name="em_email_type">Email!$C$2:$C$150</definedName>
    <definedName name="em_human_open_rate">Email!$P$2:$P$150</definedName>
    <definedName name="em_human_opens">Email!$K$2:$K$150</definedName>
    <definedName name="em_machine_opens">Email!$J$2:$J$150</definedName>
    <definedName name="em_opens">Email!$I$2:$I$150</definedName>
    <definedName name="em_sending_domain">Email!$E$2:$E$150</definedName>
    <definedName name="em_sends">Email!$F$2:$F$150</definedName>
    <definedName name="em_sent_date">Email!$B$2:$B$150</definedName>
    <definedName name="em_spam_complaints">Email!$N$2:$N$150</definedName>
    <definedName name="em_subject">Email!$D$2:$D$150</definedName>
    <definedName name="em_unsubscribes">Email!$M$2:$M$150</definedName>
    <definedName name="EndDate">Calc!$C$9</definedName>
    <definedName name="ex_cta_text">Experiment!$D$2:$D$3</definedName>
    <definedName name="ex_customers">Experiment!$H$2:$H$3</definedName>
    <definedName name="ex_experiment_id">Experiment!$A$2:$A$3</definedName>
    <definedName name="ex_label">Experiment!$C$2:$C$3</definedName>
    <definedName name="ex_lead_rate">Experiment!$J$2:$J$3</definedName>
    <definedName name="ex_leads">Experiment!$F$2:$F$3</definedName>
    <definedName name="ex_mql_per_lead">Experiment!$K$2:$K$3</definedName>
    <definedName name="ex_mqls">Experiment!$G$2:$G$3</definedName>
    <definedName name="ex_net_cash_cents">Experiment!$I$2:$I$3</definedName>
    <definedName name="ex_net_cash_per_visitor_cents">Experiment!$L$2:$L$3</definedName>
    <definedName name="ex_variant_id">Experiment!$B$2:$B$3</definedName>
    <definedName name="ex_visitors">Experiment!$E$2:$E$3</definedName>
    <definedName name="FirstDay">Calc!$C$7</definedName>
    <definedName name="fn_from_previous_rate">Funnel!$D$2:$D$10</definedName>
    <definedName name="fn_ordinal">Funnel!$B$2:$B$10</definedName>
    <definedName name="fn_people">Funnel!$C$2:$C$10</definedName>
    <definedName name="fn_stage">Funnel!$A$2:$A$10</definedName>
    <definedName name="fn_stage_label">Funnel!$E$2:$E$10</definedName>
    <definedName name="inc_description">Incidents!$G$2:$G$7</definedName>
    <definedName name="inc_ended_on">Incidents!$D$2:$D$7</definedName>
    <definedName name="inc_entity">Incidents!$E$2:$E$7</definedName>
    <definedName name="inc_incident_id">Incidents!$A$2:$A$7</definedName>
    <definedName name="inc_kind">Incidents!$B$2:$B$7</definedName>
    <definedName name="inc_signal">Incidents!$F$2:$F$7</definedName>
    <definedName name="inc_started_on">Incidents!$C$2:$C$7</definedName>
    <definedName name="ln_channel">Links!$B$2:$B$10</definedName>
    <definedName name="ln_clicks">Links!$I$2:$I$10</definedName>
    <definedName name="ln_link_id">Links!$A$2:$A$10</definedName>
    <definedName name="ln_missing_utm">Links!$F$2:$F$10</definedName>
    <definedName name="ln_off_taxonomy">Links!$H$2:$H$10</definedName>
    <definedName name="ln_recent_clicks">Links!$J$2:$J$10</definedName>
    <definedName name="ln_unregistered_campaign">Links!$G$2:$G$10</definedName>
    <definedName name="ln_utm_campaign">Links!$E$2:$E$10</definedName>
    <definedName name="ln_utm_medium">Links!$D$2:$D$10</definedName>
    <definedName name="ln_utm_source">Links!$C$2:$C$10</definedName>
    <definedName name="mg_duplicate_crm_rows">Migration!$G$2:$G$2</definedName>
    <definedName name="mg_legacy_contacts">Migration!$A$2:$A$2</definedName>
    <definedName name="mg_migrated_contacts">Migration!$B$2:$B$2</definedName>
    <definedName name="mg_missing_contacts">Migration!$C$2:$C$2</definedName>
    <definedName name="mg_owner_match_rate">Migration!$D$2:$D$2</definedName>
    <definedName name="mg_source_match_rate">Migration!$E$2:$E$2</definedName>
    <definedName name="mg_stage_match_rate">Migration!$F$2:$F$2</definedName>
    <definedName name="mh_contacts">Health!$E$2:$E$2</definedName>
    <definedName name="mh_duplicate_contact_rows">Health!$F$2:$F$2</definedName>
    <definedName name="mh_eligible_touches">Health!$A$2:$A$2</definedName>
    <definedName name="mh_owned_contacts">Health!$D$2:$D$2</definedName>
    <definedName name="mh_paid_contact_count">Health!$I$2:$I$2</definedName>
    <definedName name="mh_payments">Health!$H$2:$H$2</definedName>
    <definedName name="mh_registered_touches">Health!$C$2:$C$2</definedName>
    <definedName name="mh_touches_with_utm">Health!$B$2:$B$2</definedName>
    <definedName name="mh_unmatched_payments">Health!$G$2:$G$2</definedName>
    <definedName name="mh_valid_paid_journeys">Health!$J$2:$J$2</definedName>
    <definedName name="pd_calls_booked">'Paid daily'!$I$2:$I$2479</definedName>
    <definedName name="pd_campaign_id">'Paid daily'!$B$2:$B$2479</definedName>
    <definedName name="pd_clicks">'Paid daily'!$F$2:$F$2479</definedName>
    <definedName name="pd_closed_won_deals">'Paid daily'!$J$2:$J$2479</definedName>
    <definedName name="pd_day">'Paid daily'!$A$2:$A$2479</definedName>
    <definedName name="pd_impressions">'Paid daily'!$E$2:$E$2479</definedName>
    <definedName name="pd_leads">'Paid daily'!$G$2:$G$2479</definedName>
    <definedName name="pd_mqls">'Paid daily'!$H$2:$H$2479</definedName>
    <definedName name="pd_platform">'Paid daily'!$C$2:$C$2479</definedName>
    <definedName name="pd_spend_cents">'Paid daily'!$D$2:$D$2479</definedName>
    <definedName name="pl_platform">Platforms!$A$2:$A$4</definedName>
    <definedName name="pl_reported_conversions">Platforms!$C$2:$C$4</definedName>
    <definedName name="pl_reported_value_cents">Platforms!$D$2:$D$4</definedName>
    <definedName name="pl_spend_cents">Platforms!$B$2:$B$4</definedName>
    <definedName name="pl_warehouse_net_cash_cents">Platforms!$E$2:$E$4</definedName>
    <definedName name="_xlnm.Print_Area" localSheetId="7">Audit!$A$1:$F$23</definedName>
    <definedName name="_xlnm.Print_Area" localSheetId="9">Calc!$A$1:$L$62</definedName>
    <definedName name="_xlnm.Print_Area" localSheetId="2">'Campaign scorecard'!$A$1:$Q$35</definedName>
    <definedName name="_xlnm.Print_Area" localSheetId="0">Cover!$A$1:$J$24</definedName>
    <definedName name="_xlnm.Print_Area" localSheetId="1">Dashboard!$A$1:$T$37</definedName>
    <definedName name="_xlnm.Print_Area" localSheetId="6">'Data quality'!$A$1:$L$47</definedName>
    <definedName name="_xlnm.Print_Area" localSheetId="8">Definitions!$A$1:$D$55</definedName>
    <definedName name="_xlnm.Print_Area" localSheetId="3">'Email health'!$A$1:$L$35</definedName>
    <definedName name="_xlnm.Print_Area" localSheetId="5">'Funnel and test'!$A$1:$O$24</definedName>
    <definedName name="_xlnm.Print_Area" localSheetId="4">'Revenue truth'!$A$1:$L$43</definedName>
    <definedName name="PriorEnd">Calc!$C$12</definedName>
    <definedName name="PriorStart">Calc!$C$13</definedName>
    <definedName name="qc_area">Quality!$B$2:$B$10</definedName>
    <definedName name="qc_check_name">Quality!$C$2:$C$10</definedName>
    <definedName name="qc_check_order">Quality!$A$2:$A$10</definedName>
    <definedName name="qc_rate">Quality!$D$2:$D$10</definedName>
    <definedName name="qc_target">Quality!$E$2:$E$10</definedName>
    <definedName name="rn_customer_id">Renewals!$B$2:$B$145</definedName>
    <definedName name="rn_due_date">Renewals!$D$2:$D$145</definedName>
    <definedName name="rn_failed_attempts">Renewals!$E$2:$E$145</definedName>
    <definedName name="rn_plan_id">Renewals!$C$2:$C$145</definedName>
    <definedName name="rn_risk_level">Renewals!$F$2:$F$145</definedName>
    <definedName name="rn_risk_order">Renewals!$G$2:$G$145</definedName>
    <definedName name="rn_subscription_id">Renewals!$A$2:$A$145</definedName>
    <definedName name="rv_booked_cents">Revenue!$A$2:$A$2</definedName>
    <definedName name="rv_gross_collected_cents">Revenue!$B$2:$B$2</definedName>
    <definedName name="rv_net_collected_cents">Revenue!$D$2:$D$2</definedName>
    <definedName name="rv_refunds_cents">Revenue!$C$2:$C$2</definedName>
    <definedName name="StartDate">Calc!$C$10</definedName>
    <definedName name="WinDays">Calc!$C$11</definedName>
    <definedName name="WindowCheck">Calc!$C$14</definedName>
    <definedName name="WindowList">Calc!$E$6:$E$11</definedName>
    <definedName name="WinEnd">Calc!$C$9</definedName>
    <definedName name="WinStart">Calc!$C$10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0" l="1"/>
  <c r="F61" i="10"/>
  <c r="E61" i="10"/>
  <c r="C61" i="10"/>
  <c r="H61" i="10" s="1"/>
  <c r="B61" i="10"/>
  <c r="H60" i="10"/>
  <c r="C60" i="10"/>
  <c r="G60" i="10" s="1"/>
  <c r="B60" i="10"/>
  <c r="G59" i="10"/>
  <c r="F59" i="10"/>
  <c r="E59" i="10"/>
  <c r="C59" i="10"/>
  <c r="D59" i="10" s="1"/>
  <c r="B59" i="10"/>
  <c r="H58" i="10"/>
  <c r="C58" i="10"/>
  <c r="F58" i="10" s="1"/>
  <c r="B58" i="10"/>
  <c r="H57" i="10"/>
  <c r="C57" i="10"/>
  <c r="F57" i="10" s="1"/>
  <c r="B57" i="10"/>
  <c r="H56" i="10"/>
  <c r="C56" i="10"/>
  <c r="G56" i="10" s="1"/>
  <c r="B56" i="10"/>
  <c r="H55" i="10"/>
  <c r="G55" i="10"/>
  <c r="F55" i="10"/>
  <c r="C55" i="10"/>
  <c r="B55" i="10"/>
  <c r="G54" i="10"/>
  <c r="F54" i="10"/>
  <c r="E54" i="10"/>
  <c r="C54" i="10"/>
  <c r="H54" i="10" s="1"/>
  <c r="B54" i="10"/>
  <c r="G33" i="10"/>
  <c r="H33" i="10" s="1"/>
  <c r="F33" i="10"/>
  <c r="E33" i="10"/>
  <c r="D33" i="10"/>
  <c r="G32" i="10"/>
  <c r="H32" i="10" s="1"/>
  <c r="F32" i="10"/>
  <c r="E32" i="10"/>
  <c r="D32" i="10"/>
  <c r="G31" i="10"/>
  <c r="F31" i="10"/>
  <c r="E31" i="10"/>
  <c r="D31" i="10"/>
  <c r="G30" i="10"/>
  <c r="H30" i="10" s="1"/>
  <c r="F30" i="10"/>
  <c r="E30" i="10"/>
  <c r="D30" i="10"/>
  <c r="G29" i="10"/>
  <c r="F29" i="10"/>
  <c r="E29" i="10"/>
  <c r="D29" i="10"/>
  <c r="G28" i="10"/>
  <c r="F28" i="10"/>
  <c r="E28" i="10"/>
  <c r="D28" i="10"/>
  <c r="G27" i="10"/>
  <c r="H27" i="10" s="1"/>
  <c r="F27" i="10"/>
  <c r="E27" i="10"/>
  <c r="D27" i="10"/>
  <c r="G26" i="10"/>
  <c r="F26" i="10"/>
  <c r="E26" i="10"/>
  <c r="D26" i="10"/>
  <c r="G25" i="10"/>
  <c r="H25" i="10" s="1"/>
  <c r="F25" i="10"/>
  <c r="E25" i="10"/>
  <c r="D25" i="10"/>
  <c r="G24" i="10"/>
  <c r="F24" i="10"/>
  <c r="E24" i="10"/>
  <c r="D24" i="10"/>
  <c r="G23" i="10"/>
  <c r="F23" i="10"/>
  <c r="E23" i="10"/>
  <c r="D23" i="10"/>
  <c r="G22" i="10"/>
  <c r="H22" i="10" s="1"/>
  <c r="F22" i="10"/>
  <c r="E22" i="10"/>
  <c r="D22" i="10"/>
  <c r="G21" i="10"/>
  <c r="F21" i="10"/>
  <c r="E21" i="10"/>
  <c r="D21" i="10"/>
  <c r="G20" i="10"/>
  <c r="H20" i="10" s="1"/>
  <c r="F20" i="10"/>
  <c r="E20" i="10"/>
  <c r="D20" i="10"/>
  <c r="G19" i="10"/>
  <c r="H19" i="10" s="1"/>
  <c r="F19" i="10"/>
  <c r="E19" i="10"/>
  <c r="D19" i="10"/>
  <c r="C8" i="10"/>
  <c r="C9" i="10" s="1"/>
  <c r="C7" i="10"/>
  <c r="C6" i="10"/>
  <c r="B47" i="10" s="1"/>
  <c r="C20" i="8"/>
  <c r="D20" i="8" s="1"/>
  <c r="C19" i="8"/>
  <c r="D19" i="8" s="1"/>
  <c r="C18" i="8"/>
  <c r="D18" i="8" s="1"/>
  <c r="C17" i="8"/>
  <c r="D17" i="8" s="1"/>
  <c r="C16" i="8"/>
  <c r="D16" i="8" s="1"/>
  <c r="C15" i="8"/>
  <c r="D15" i="8" s="1"/>
  <c r="C14" i="8"/>
  <c r="D14" i="8" s="1"/>
  <c r="C13" i="8"/>
  <c r="D13" i="8" s="1"/>
  <c r="C12" i="8"/>
  <c r="C11" i="8"/>
  <c r="D11" i="8" s="1"/>
  <c r="C10" i="8"/>
  <c r="D10" i="8" s="1"/>
  <c r="D9" i="8"/>
  <c r="C9" i="8"/>
  <c r="C8" i="8"/>
  <c r="D8" i="8" s="1"/>
  <c r="C7" i="8"/>
  <c r="D7" i="8" s="1"/>
  <c r="F46" i="7"/>
  <c r="F45" i="7"/>
  <c r="F44" i="7"/>
  <c r="F43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H29" i="7"/>
  <c r="G29" i="7"/>
  <c r="F29" i="7"/>
  <c r="E29" i="7"/>
  <c r="I29" i="7" s="1"/>
  <c r="D29" i="7"/>
  <c r="C29" i="7"/>
  <c r="B29" i="7"/>
  <c r="H28" i="7"/>
  <c r="G28" i="7"/>
  <c r="F28" i="7"/>
  <c r="E28" i="7"/>
  <c r="I28" i="7" s="1"/>
  <c r="D28" i="7"/>
  <c r="C28" i="7"/>
  <c r="B28" i="7"/>
  <c r="H27" i="7"/>
  <c r="G27" i="7"/>
  <c r="F27" i="7"/>
  <c r="E27" i="7"/>
  <c r="D27" i="7"/>
  <c r="C27" i="7"/>
  <c r="B27" i="7"/>
  <c r="H26" i="7"/>
  <c r="G26" i="7"/>
  <c r="F26" i="7"/>
  <c r="E26" i="7"/>
  <c r="I26" i="7" s="1"/>
  <c r="D26" i="7"/>
  <c r="C26" i="7"/>
  <c r="B26" i="7"/>
  <c r="H25" i="7"/>
  <c r="G25" i="7"/>
  <c r="F25" i="7"/>
  <c r="E25" i="7"/>
  <c r="I25" i="7" s="1"/>
  <c r="D25" i="7"/>
  <c r="C25" i="7"/>
  <c r="B25" i="7"/>
  <c r="H24" i="7"/>
  <c r="G24" i="7"/>
  <c r="F24" i="7"/>
  <c r="E24" i="7"/>
  <c r="I24" i="7" s="1"/>
  <c r="D24" i="7"/>
  <c r="C24" i="7"/>
  <c r="B24" i="7"/>
  <c r="H23" i="7"/>
  <c r="G23" i="7"/>
  <c r="F23" i="7"/>
  <c r="E23" i="7"/>
  <c r="D23" i="7"/>
  <c r="C23" i="7"/>
  <c r="B23" i="7"/>
  <c r="H22" i="7"/>
  <c r="G22" i="7"/>
  <c r="F22" i="7"/>
  <c r="E22" i="7"/>
  <c r="I22" i="7" s="1"/>
  <c r="D22" i="7"/>
  <c r="C22" i="7"/>
  <c r="B22" i="7"/>
  <c r="H21" i="7"/>
  <c r="G21" i="7"/>
  <c r="F21" i="7"/>
  <c r="E21" i="7"/>
  <c r="D21" i="7"/>
  <c r="C21" i="7"/>
  <c r="B21" i="7"/>
  <c r="E15" i="7"/>
  <c r="D15" i="7"/>
  <c r="G15" i="7" s="1"/>
  <c r="C15" i="7"/>
  <c r="B15" i="7"/>
  <c r="E14" i="7"/>
  <c r="D14" i="7"/>
  <c r="F14" i="7" s="1"/>
  <c r="C14" i="7"/>
  <c r="B14" i="7"/>
  <c r="E13" i="7"/>
  <c r="D13" i="7"/>
  <c r="C13" i="7"/>
  <c r="B13" i="7"/>
  <c r="E12" i="7"/>
  <c r="G12" i="7" s="1"/>
  <c r="D12" i="7"/>
  <c r="C12" i="7"/>
  <c r="B12" i="7"/>
  <c r="E11" i="7"/>
  <c r="D11" i="7"/>
  <c r="G11" i="7" s="1"/>
  <c r="C11" i="7"/>
  <c r="B11" i="7"/>
  <c r="E10" i="7"/>
  <c r="D10" i="7"/>
  <c r="C10" i="7"/>
  <c r="B10" i="7"/>
  <c r="E9" i="7"/>
  <c r="D9" i="7"/>
  <c r="F9" i="7" s="1"/>
  <c r="C9" i="7"/>
  <c r="B9" i="7"/>
  <c r="E8" i="7"/>
  <c r="D8" i="7"/>
  <c r="F8" i="7" s="1"/>
  <c r="C8" i="7"/>
  <c r="B8" i="7"/>
  <c r="E7" i="7"/>
  <c r="D7" i="7"/>
  <c r="G7" i="7" s="1"/>
  <c r="C7" i="7"/>
  <c r="B7" i="7"/>
  <c r="G21" i="6"/>
  <c r="D21" i="6"/>
  <c r="F21" i="6" s="1"/>
  <c r="C21" i="6"/>
  <c r="H21" i="6" s="1"/>
  <c r="B21" i="6"/>
  <c r="G20" i="6"/>
  <c r="D20" i="6"/>
  <c r="C20" i="6"/>
  <c r="H20" i="6" s="1"/>
  <c r="B20" i="6"/>
  <c r="C15" i="6"/>
  <c r="B15" i="6"/>
  <c r="C14" i="6"/>
  <c r="B14" i="6"/>
  <c r="C13" i="6"/>
  <c r="B13" i="6"/>
  <c r="C12" i="6"/>
  <c r="D12" i="6" s="1"/>
  <c r="B12" i="6"/>
  <c r="C11" i="6"/>
  <c r="B11" i="6"/>
  <c r="C10" i="6"/>
  <c r="B10" i="6"/>
  <c r="C9" i="6"/>
  <c r="D9" i="6" s="1"/>
  <c r="B9" i="6"/>
  <c r="C8" i="6"/>
  <c r="B8" i="6"/>
  <c r="C7" i="6"/>
  <c r="E12" i="6" s="1"/>
  <c r="B7" i="6"/>
  <c r="E22" i="5"/>
  <c r="D22" i="5"/>
  <c r="I22" i="5" s="1"/>
  <c r="C22" i="5"/>
  <c r="H22" i="5" s="1"/>
  <c r="B22" i="5"/>
  <c r="E21" i="5"/>
  <c r="D21" i="5"/>
  <c r="F21" i="5" s="1"/>
  <c r="C21" i="5"/>
  <c r="B21" i="5"/>
  <c r="E20" i="5"/>
  <c r="H20" i="5" s="1"/>
  <c r="D20" i="5"/>
  <c r="G20" i="5" s="1"/>
  <c r="C20" i="5"/>
  <c r="B20" i="5"/>
  <c r="D14" i="5"/>
  <c r="C14" i="5"/>
  <c r="B14" i="5"/>
  <c r="D13" i="5"/>
  <c r="C13" i="5"/>
  <c r="B13" i="5"/>
  <c r="D12" i="5"/>
  <c r="C12" i="5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Q2" i="2"/>
  <c r="C5" i="1"/>
  <c r="G57" i="10" l="1"/>
  <c r="E23" i="5"/>
  <c r="H21" i="10"/>
  <c r="D8" i="6"/>
  <c r="I21" i="7"/>
  <c r="G58" i="10"/>
  <c r="H29" i="10"/>
  <c r="F22" i="5"/>
  <c r="D23" i="5"/>
  <c r="I23" i="5" s="1"/>
  <c r="C22" i="8"/>
  <c r="C7" i="1" s="1"/>
  <c r="D12" i="8"/>
  <c r="H23" i="10"/>
  <c r="H31" i="10"/>
  <c r="D10" i="6"/>
  <c r="F10" i="7"/>
  <c r="H59" i="10"/>
  <c r="F60" i="10"/>
  <c r="E20" i="6"/>
  <c r="F56" i="10"/>
  <c r="H28" i="10"/>
  <c r="H26" i="10"/>
  <c r="H21" i="5"/>
  <c r="H24" i="10"/>
  <c r="D11" i="6"/>
  <c r="D13" i="6"/>
  <c r="E13" i="6"/>
  <c r="C15" i="5"/>
  <c r="I27" i="7"/>
  <c r="H30" i="7" s="1"/>
  <c r="D14" i="6"/>
  <c r="C23" i="5"/>
  <c r="H23" i="5" s="1"/>
  <c r="F13" i="7"/>
  <c r="E15" i="6"/>
  <c r="I23" i="7"/>
  <c r="H22" i="6"/>
  <c r="E47" i="10"/>
  <c r="D47" i="10"/>
  <c r="C47" i="10"/>
  <c r="D60" i="10"/>
  <c r="E60" i="10" s="1"/>
  <c r="B40" i="10"/>
  <c r="B48" i="10"/>
  <c r="G21" i="5"/>
  <c r="I21" i="5"/>
  <c r="F11" i="7"/>
  <c r="G8" i="7"/>
  <c r="D15" i="6"/>
  <c r="E7" i="6"/>
  <c r="G14" i="7"/>
  <c r="F20" i="5"/>
  <c r="F23" i="5" s="1"/>
  <c r="F15" i="7"/>
  <c r="E11" i="6"/>
  <c r="B49" i="10"/>
  <c r="E8" i="6"/>
  <c r="E21" i="6"/>
  <c r="E22" i="6" s="1"/>
  <c r="B23" i="6" s="1"/>
  <c r="B41" i="10"/>
  <c r="F20" i="6"/>
  <c r="I20" i="5"/>
  <c r="G10" i="7"/>
  <c r="C10" i="10"/>
  <c r="E9" i="6"/>
  <c r="E10" i="6"/>
  <c r="B42" i="10"/>
  <c r="G9" i="7"/>
  <c r="G22" i="5"/>
  <c r="F12" i="7"/>
  <c r="F7" i="7"/>
  <c r="D54" i="10"/>
  <c r="B43" i="10"/>
  <c r="E14" i="6"/>
  <c r="B44" i="10"/>
  <c r="G13" i="7"/>
  <c r="B45" i="10"/>
  <c r="B38" i="10"/>
  <c r="B46" i="10"/>
  <c r="D61" i="10"/>
  <c r="B39" i="10"/>
  <c r="G23" i="5" l="1"/>
  <c r="G16" i="7"/>
  <c r="D7" i="4"/>
  <c r="J10" i="3"/>
  <c r="K9" i="2"/>
  <c r="J12" i="3"/>
  <c r="D10" i="3"/>
  <c r="N11" i="3"/>
  <c r="F9" i="3"/>
  <c r="J11" i="3"/>
  <c r="L7" i="3"/>
  <c r="I15" i="4"/>
  <c r="C13" i="4"/>
  <c r="L11" i="3"/>
  <c r="N13" i="3"/>
  <c r="C16" i="4"/>
  <c r="E7" i="3"/>
  <c r="C12" i="10"/>
  <c r="L13" i="3"/>
  <c r="H11" i="3"/>
  <c r="D9" i="3"/>
  <c r="I13" i="4"/>
  <c r="J9" i="3"/>
  <c r="H9" i="3"/>
  <c r="B3" i="3"/>
  <c r="E9" i="3"/>
  <c r="D8" i="4"/>
  <c r="J8" i="4" s="1"/>
  <c r="J13" i="3"/>
  <c r="F11" i="3"/>
  <c r="C8" i="4"/>
  <c r="E11" i="3"/>
  <c r="H13" i="3"/>
  <c r="E8" i="3"/>
  <c r="D14" i="4"/>
  <c r="H14" i="4" s="1"/>
  <c r="H10" i="3"/>
  <c r="N9" i="2"/>
  <c r="C14" i="4"/>
  <c r="E14" i="4" s="1"/>
  <c r="F10" i="3"/>
  <c r="E13" i="4"/>
  <c r="D15" i="4"/>
  <c r="G15" i="4" s="1"/>
  <c r="D11" i="3"/>
  <c r="N8" i="3"/>
  <c r="F12" i="3"/>
  <c r="F14" i="4"/>
  <c r="Q9" i="2"/>
  <c r="B3" i="4"/>
  <c r="L12" i="3"/>
  <c r="E10" i="3"/>
  <c r="H12" i="3"/>
  <c r="N7" i="3"/>
  <c r="I16" i="4"/>
  <c r="J7" i="3"/>
  <c r="D16" i="4"/>
  <c r="H16" i="4" s="1"/>
  <c r="F7" i="3"/>
  <c r="I8" i="4"/>
  <c r="H8" i="4"/>
  <c r="C15" i="4"/>
  <c r="K7" i="4"/>
  <c r="H7" i="4"/>
  <c r="D13" i="3"/>
  <c r="N10" i="3"/>
  <c r="J8" i="3"/>
  <c r="N12" i="3"/>
  <c r="F8" i="3"/>
  <c r="G8" i="3" s="1"/>
  <c r="B9" i="2"/>
  <c r="H7" i="3"/>
  <c r="J7" i="4"/>
  <c r="F13" i="3"/>
  <c r="L8" i="3"/>
  <c r="K14" i="4"/>
  <c r="I7" i="4"/>
  <c r="E13" i="3"/>
  <c r="C7" i="4"/>
  <c r="D8" i="3"/>
  <c r="H9" i="2"/>
  <c r="E9" i="2"/>
  <c r="C6" i="1"/>
  <c r="E12" i="3"/>
  <c r="D12" i="3"/>
  <c r="D13" i="4"/>
  <c r="J13" i="4" s="1"/>
  <c r="L9" i="3"/>
  <c r="I14" i="4"/>
  <c r="G7" i="4"/>
  <c r="N9" i="3"/>
  <c r="F7" i="4"/>
  <c r="L10" i="3"/>
  <c r="H8" i="3"/>
  <c r="D7" i="3"/>
  <c r="G8" i="4"/>
  <c r="E39" i="10"/>
  <c r="D39" i="10"/>
  <c r="C39" i="10"/>
  <c r="E48" i="10"/>
  <c r="D48" i="10"/>
  <c r="C48" i="10"/>
  <c r="E40" i="10"/>
  <c r="D40" i="10"/>
  <c r="C40" i="10"/>
  <c r="C11" i="10"/>
  <c r="C13" i="10" s="1"/>
  <c r="D55" i="10"/>
  <c r="E55" i="10" s="1"/>
  <c r="E49" i="10"/>
  <c r="D49" i="10"/>
  <c r="C49" i="10"/>
  <c r="E46" i="10"/>
  <c r="D46" i="10"/>
  <c r="C46" i="10"/>
  <c r="E38" i="10"/>
  <c r="D38" i="10"/>
  <c r="C38" i="10"/>
  <c r="E45" i="10"/>
  <c r="D45" i="10"/>
  <c r="C45" i="10"/>
  <c r="E44" i="10"/>
  <c r="D44" i="10"/>
  <c r="C44" i="10"/>
  <c r="E43" i="10"/>
  <c r="D43" i="10"/>
  <c r="C43" i="10"/>
  <c r="E41" i="10"/>
  <c r="D41" i="10"/>
  <c r="C41" i="10"/>
  <c r="E42" i="10"/>
  <c r="D42" i="10"/>
  <c r="C42" i="10"/>
  <c r="K9" i="3" l="1"/>
  <c r="Q9" i="3" s="1"/>
  <c r="K8" i="4"/>
  <c r="F8" i="4"/>
  <c r="J16" i="4"/>
  <c r="K13" i="4"/>
  <c r="F16" i="4"/>
  <c r="O12" i="3"/>
  <c r="G12" i="3"/>
  <c r="K11" i="10"/>
  <c r="Q10" i="2" s="1"/>
  <c r="K10" i="10"/>
  <c r="N10" i="2" s="1"/>
  <c r="K6" i="10"/>
  <c r="B10" i="2" s="1"/>
  <c r="K9" i="10"/>
  <c r="K10" i="2" s="1"/>
  <c r="K8" i="10"/>
  <c r="H10" i="2" s="1"/>
  <c r="K7" i="10"/>
  <c r="E10" i="2" s="1"/>
  <c r="C14" i="10"/>
  <c r="B6" i="2" s="1"/>
  <c r="M8" i="3"/>
  <c r="I8" i="3"/>
  <c r="I9" i="3"/>
  <c r="M9" i="3"/>
  <c r="G13" i="3"/>
  <c r="N5" i="2"/>
  <c r="G14" i="4"/>
  <c r="H15" i="4"/>
  <c r="H14" i="3"/>
  <c r="O8" i="3"/>
  <c r="M11" i="3"/>
  <c r="I11" i="3"/>
  <c r="K8" i="3"/>
  <c r="Q8" i="3" s="1"/>
  <c r="O13" i="3"/>
  <c r="B11" i="2"/>
  <c r="B15" i="2" s="1"/>
  <c r="G10" i="3"/>
  <c r="L16" i="4"/>
  <c r="M13" i="3"/>
  <c r="I13" i="3"/>
  <c r="L13" i="4"/>
  <c r="D56" i="10"/>
  <c r="E56" i="10" s="1"/>
  <c r="J15" i="4"/>
  <c r="L14" i="3"/>
  <c r="H13" i="4"/>
  <c r="K16" i="4"/>
  <c r="O10" i="3"/>
  <c r="K11" i="3"/>
  <c r="Q11" i="3" s="1"/>
  <c r="B17" i="2"/>
  <c r="Q11" i="2"/>
  <c r="J14" i="4"/>
  <c r="L14" i="4" s="1"/>
  <c r="F14" i="3"/>
  <c r="G7" i="3"/>
  <c r="G9" i="3"/>
  <c r="B16" i="2"/>
  <c r="O11" i="3"/>
  <c r="P10" i="3"/>
  <c r="I10" i="3"/>
  <c r="M10" i="3"/>
  <c r="J14" i="3"/>
  <c r="K7" i="3"/>
  <c r="Q7" i="3" s="1"/>
  <c r="K12" i="3"/>
  <c r="Q12" i="3" s="1"/>
  <c r="E14" i="3"/>
  <c r="G11" i="3"/>
  <c r="K13" i="3"/>
  <c r="Q13" i="3" s="1"/>
  <c r="O7" i="3"/>
  <c r="N14" i="3"/>
  <c r="F15" i="4"/>
  <c r="M7" i="3"/>
  <c r="I7" i="3"/>
  <c r="D14" i="3"/>
  <c r="K15" i="4"/>
  <c r="O9" i="3"/>
  <c r="E7" i="4"/>
  <c r="L7" i="4" s="1"/>
  <c r="G16" i="4"/>
  <c r="M12" i="3"/>
  <c r="I12" i="3"/>
  <c r="F13" i="4"/>
  <c r="E8" i="4"/>
  <c r="L8" i="4" s="1"/>
  <c r="K10" i="3"/>
  <c r="Q10" i="3" s="1"/>
  <c r="E16" i="4"/>
  <c r="E15" i="4"/>
  <c r="L15" i="4" s="1"/>
  <c r="G13" i="4"/>
  <c r="K14" i="3" l="1"/>
  <c r="P9" i="3" s="1"/>
  <c r="N11" i="2"/>
  <c r="H11" i="2"/>
  <c r="P11" i="3"/>
  <c r="M14" i="3"/>
  <c r="I14" i="3"/>
  <c r="P8" i="3"/>
  <c r="P13" i="3"/>
  <c r="G14" i="3"/>
  <c r="E11" i="2"/>
  <c r="P12" i="3"/>
  <c r="P7" i="3"/>
  <c r="D57" i="10"/>
  <c r="E57" i="10"/>
  <c r="K11" i="2"/>
  <c r="O14" i="3"/>
  <c r="D58" i="10" l="1"/>
  <c r="E58" i="10" s="1"/>
</calcChain>
</file>

<file path=xl/sharedStrings.xml><?xml version="1.0" encoding="utf-8"?>
<sst xmlns="http://schemas.openxmlformats.org/spreadsheetml/2006/main" count="8742" uniqueCount="1961">
  <si>
    <t>ScaleLab GrowthOps · marketing and revenue workbook</t>
  </si>
  <si>
    <t>Synthetic portfolio case: 15 months of generated data with planted incidents. No real company's data.</t>
  </si>
  <si>
    <t>Data through</t>
  </si>
  <si>
    <t>Reporting window</t>
  </si>
  <si>
    <t>Audit</t>
  </si>
  <si>
    <t>Sheets</t>
  </si>
  <si>
    <t>Dashboard</t>
  </si>
  <si>
    <t>Six KPIs for the window against the window before it, a written summary, monthly trend and ROAS by platform. Change the window here.</t>
  </si>
  <si>
    <t>Campaign scorecard</t>
  </si>
  <si>
    <t>Every paid campaign for the window: spend, CTR, CPL, MQL rate, cost per call, cash and ROAS, with flags.</t>
  </si>
  <si>
    <t>Email health</t>
  </si>
  <si>
    <t>Deliverability and engagement by sending domain and email type, with limit checks.</t>
  </si>
  <si>
    <t>Revenue truth</t>
  </si>
  <si>
    <t>CRM bookings to net cash, step by step, and platform claims against warehouse cash.</t>
  </si>
  <si>
    <t>Funnel and test</t>
  </si>
  <si>
    <t>Lead to renewal, and the CTA test decided on cash per visitor.</t>
  </si>
  <si>
    <t>Data quality</t>
  </si>
  <si>
    <t>Tracking and migration checks against target, the short-link registry, incidents, renewals.</t>
  </si>
  <si>
    <t>Reconciliation checks that must all be zero.</t>
  </si>
  <si>
    <t>Definitions</t>
  </si>
  <si>
    <t>The governed metric catalog.</t>
  </si>
  <si>
    <t>Calc</t>
  </si>
  <si>
    <t>How the window dates and chart series are derived.</t>
  </si>
  <si>
    <t>How to use it</t>
  </si>
  <si>
    <t>• Yellow cells are the only inputs: the reporting window on the Dashboard, and the custom dates when the window is Custom. Every other cell is locked (no password) against accidental edits.</t>
  </si>
  <si>
    <t>• Every report figure is a formula over the grey data sheets, which are the governed CSVs the Power BI model embeds. Formulas use named ranges: pd_spend_cents is the spend column of 'Paid daily'.</t>
  </si>
  <si>
    <t>• The data sheets are Excel tables: filter and sort them freely. Rebuild the workbook with python -m growthops.export_excel.</t>
  </si>
  <si>
    <t>ScaleLab GrowthOps · Executive dashboard</t>
  </si>
  <si>
    <t>Synthetic portfolio case · USD · every figure is a formula over the dbt marts · change the window below and every report sheet follows</t>
  </si>
  <si>
    <t>Last 28 days</t>
  </si>
  <si>
    <t>Custom start</t>
  </si>
  <si>
    <t>Custom end</t>
  </si>
  <si>
    <t>Net cash</t>
  </si>
  <si>
    <t>Paid spend</t>
  </si>
  <si>
    <t>Cost per paid lead</t>
  </si>
  <si>
    <t>Paid MQL rate</t>
  </si>
  <si>
    <t>Cost per booked call</t>
  </si>
  <si>
    <t>Email bounce rate</t>
  </si>
  <si>
    <t>vs the prior window</t>
  </si>
  <si>
    <t>What changed in the window</t>
  </si>
  <si>
    <t>Campaign</t>
  </si>
  <si>
    <t>Platform</t>
  </si>
  <si>
    <t>Spend</t>
  </si>
  <si>
    <t>Impressions</t>
  </si>
  <si>
    <t>Clicks</t>
  </si>
  <si>
    <t>CTR</t>
  </si>
  <si>
    <t>Leads</t>
  </si>
  <si>
    <t>Cost per lead</t>
  </si>
  <si>
    <t>MQLs</t>
  </si>
  <si>
    <t>MQL rate</t>
  </si>
  <si>
    <t>Calls booked</t>
  </si>
  <si>
    <t>Cost per call</t>
  </si>
  <si>
    <t>Net cash (payment date)</t>
  </si>
  <si>
    <t>Cash ROAS</t>
  </si>
  <si>
    <t>Flag</t>
  </si>
  <si>
    <t>meta_prospecting_founder</t>
  </si>
  <si>
    <t>meta</t>
  </si>
  <si>
    <t>google_nonbrand_growth</t>
  </si>
  <si>
    <t>google</t>
  </si>
  <si>
    <t>linkedin_ceo_abm</t>
  </si>
  <si>
    <t>linkedin</t>
  </si>
  <si>
    <t>FB-Broad</t>
  </si>
  <si>
    <t>meta_retargeting_webinar</t>
  </si>
  <si>
    <t>google_brand_search</t>
  </si>
  <si>
    <t>meta_broad_v17</t>
  </si>
  <si>
    <t>All paid campaigns</t>
  </si>
  <si>
    <t>Cost per lead: green is cheaper. MQL rate: green qualifies more. Flags: MQL rate under three-quarters of the paid average, or cash ROAS under 1.0x.</t>
  </si>
  <si>
    <t>Cash is credited to the campaign that created the buyer's lead, on the payment date, so a short window understates ROAS for campaigns whose buyers pay later. Attribution is descriptive, not incremental.</t>
  </si>
  <si>
    <t>By sending domain</t>
  </si>
  <si>
    <t>Sent</t>
  </si>
  <si>
    <t>Delivered</t>
  </si>
  <si>
    <t>Bounce rate</t>
  </si>
  <si>
    <t>Human open rate</t>
  </si>
  <si>
    <t>Reported open rate</t>
  </si>
  <si>
    <t>Click rate</t>
  </si>
  <si>
    <t>Click-to-open</t>
  </si>
  <si>
    <t>Complaint rate</t>
  </si>
  <si>
    <t>Unsubscribe rate</t>
  </si>
  <si>
    <t>Status</t>
  </si>
  <si>
    <t>mail.scalelab.example</t>
  </si>
  <si>
    <t>news.scalelab.example</t>
  </si>
  <si>
    <t>By email type</t>
  </si>
  <si>
    <t>newsletter</t>
  </si>
  <si>
    <t>nurture</t>
  </si>
  <si>
    <t>promo</t>
  </si>
  <si>
    <t>webinar_invite</t>
  </si>
  <si>
    <t>Which revenue number is right? All time. Platforms claim, the CRM books, the bank collects; every step between them is computed and the residual is zero.</t>
  </si>
  <si>
    <t>From CRM bookings to net collected cash</t>
  </si>
  <si>
    <t>Step</t>
  </si>
  <si>
    <t>Amount</t>
  </si>
  <si>
    <t>What it is</t>
  </si>
  <si>
    <t>Residual (must be $0)</t>
  </si>
  <si>
    <t>What each platform claims against the cash it bought</t>
  </si>
  <si>
    <t>Platform-reported value</t>
  </si>
  <si>
    <t>Warehouse net cash</t>
  </si>
  <si>
    <t>Overstatement</t>
  </si>
  <si>
    <t>Reported ROAS</t>
  </si>
  <si>
    <t>Warehouse ROAS</t>
  </si>
  <si>
    <t>Claim multiple</t>
  </si>
  <si>
    <t>All paid platforms</t>
  </si>
  <si>
    <t>Platforms credit themselves with any conversion they touched; the warehouse credits each payment once, to the campaign that created the lead.</t>
  </si>
  <si>
    <t>Funnel and CTA test</t>
  </si>
  <si>
    <t>All time. People reaching each lifecycle stage, and the visitor-randomized CTA test decided on cash per visitor rather than on leads.</t>
  </si>
  <si>
    <t>Lead to renewal</t>
  </si>
  <si>
    <t>Stage</t>
  </si>
  <si>
    <t>People</t>
  </si>
  <si>
    <t>Step conversion</t>
  </si>
  <si>
    <t>Of all leads</t>
  </si>
  <si>
    <t>CTA test: control against variant</t>
  </si>
  <si>
    <t>Variant</t>
  </si>
  <si>
    <t>Visitors</t>
  </si>
  <si>
    <t>Lead rate</t>
  </si>
  <si>
    <t>MQLs per lead</t>
  </si>
  <si>
    <t>Customers</t>
  </si>
  <si>
    <t>Cash per visitor</t>
  </si>
  <si>
    <t>Variant against control</t>
  </si>
  <si>
    <t>Data quality and operations</t>
  </si>
  <si>
    <t>Tracking, CRM and migration checks against their targets; the short-link registry; the incident register; the renewal queue.</t>
  </si>
  <si>
    <t>Checks against target</t>
  </si>
  <si>
    <t>Area</t>
  </si>
  <si>
    <t>Check</t>
  </si>
  <si>
    <t>Pass rate</t>
  </si>
  <si>
    <t>Target</t>
  </si>
  <si>
    <t>Gap</t>
  </si>
  <si>
    <t>Checks below target</t>
  </si>
  <si>
    <t>Short links against the campaign registry</t>
  </si>
  <si>
    <t>Link</t>
  </si>
  <si>
    <t>Channel</t>
  </si>
  <si>
    <t>UTM campaign</t>
  </si>
  <si>
    <t>Missing UTM</t>
  </si>
  <si>
    <t>Unregistered</t>
  </si>
  <si>
    <t>Off taxonomy</t>
  </si>
  <si>
    <t>Clicks, last 30 days</t>
  </si>
  <si>
    <t>Defect</t>
  </si>
  <si>
    <t>Share of recent clicks on defective links</t>
  </si>
  <si>
    <t>Incident register</t>
  </si>
  <si>
    <t>Started</t>
  </si>
  <si>
    <t>Ended</t>
  </si>
  <si>
    <t>Kind</t>
  </si>
  <si>
    <t>Description</t>
  </si>
  <si>
    <t>Renewal queue</t>
  </si>
  <si>
    <t>Renewals due from the as-of date</t>
  </si>
  <si>
    <t>High risk (failed card attempt or overdue)</t>
  </si>
  <si>
    <t>Medium risk (due within 14 days)</t>
  </si>
  <si>
    <t>Failed card attempts on open renewals</t>
  </si>
  <si>
    <t>Reconciliation checks over the data sheets. Every difference must be zero; they test source data, not constants.</t>
  </si>
  <si>
    <t>Difference (cents or rows)</t>
  </si>
  <si>
    <t>Gross collected − refunds − net collected</t>
  </si>
  <si>
    <t>Bridge: CRM booked + adjustments − gross collected</t>
  </si>
  <si>
    <t>Bridge: gross collected + refunds − net collected</t>
  </si>
  <si>
    <t>Bridge net − revenue net</t>
  </si>
  <si>
    <t>Daily net cash − revenue net</t>
  </si>
  <si>
    <t>Attributed net cash (every payment, lead-creation) − revenue net</t>
  </si>
  <si>
    <t>Attributed paid cash − platform warehouse cash</t>
  </si>
  <si>
    <t>Daily spend − campaign spend</t>
  </si>
  <si>
    <t>Paid daily spend − campaign paid spend</t>
  </si>
  <si>
    <t>Paid daily spend − platform spend</t>
  </si>
  <si>
    <t>Paid daily leads − campaign paid leads</t>
  </si>
  <si>
    <t>Email delivered + bounces − sent</t>
  </si>
  <si>
    <t>Scorecard spend (all paid campaigns, all time) − paid daily spend</t>
  </si>
  <si>
    <t>Paid daily rows whose campaign is missing from the campaign dimension</t>
  </si>
  <si>
    <t>All checks reconciled</t>
  </si>
  <si>
    <t>Metric definitions</t>
  </si>
  <si>
    <t>Copied from docs/metric-catalog.md at build time.</t>
  </si>
  <si>
    <t>Metric</t>
  </si>
  <si>
    <t>Definition</t>
  </si>
  <si>
    <t>Grain / caveat</t>
  </si>
  <si>
    <t>Lead</t>
  </si>
  <si>
    <t>CRM contact with a lead-creation event</t>
  </si>
  <si>
    <t>Raw CRM count includes migration duplicates; unique_people (normalized email) is the deduplicated count</t>
  </si>
  <si>
    <t>MQL</t>
  </si>
  <si>
    <t>Distinct person with a validated first mql lifecycle event</t>
  </si>
  <si>
    <t>Count at first MQL date; later reversals stay in history</t>
  </si>
  <si>
    <t>Booked call</t>
  </si>
  <si>
    <t>Distinct person with a call_booked lifecycle event</t>
  </si>
  <si>
    <t>Local slice does not model meeting IDs or cancellations</t>
  </si>
  <si>
    <t>Attended call</t>
  </si>
  <si>
    <t>Distinct person with a call_attended lifecycle event</t>
  </si>
  <si>
    <t>Local slice does not model meeting attendance evidence</t>
  </si>
  <si>
    <t>Opportunity</t>
  </si>
  <si>
    <t>Distinct deal entering an opportunity stage</t>
  </si>
  <si>
    <t>One first entry per deal</t>
  </si>
  <si>
    <t>Closed won</t>
  </si>
  <si>
    <t>Distinct deal first entering closed-won</t>
  </si>
  <si>
    <t>Booked outcome, not cash</t>
  </si>
  <si>
    <t>Win rate</t>
  </si>
  <si>
    <t>Closed-won sales deals / (closed-won + closed-lost sales deals)</t>
  </si>
  <si>
    <t>Excludes self-serve community add-on deals, which exist only when won</t>
  </si>
  <si>
    <t>Open pipeline</t>
  </si>
  <si>
    <t>Sum of amount on deals still open at the data cut-off</t>
  </si>
  <si>
    <t>Not revenue; excluded from bookings and cash</t>
  </si>
  <si>
    <t>Customer</t>
  </si>
  <si>
    <t>Distinct person with a successful payment and valid product entitlement</t>
  </si>
  <si>
    <t>Local workflow uses payment plus access state</t>
  </si>
  <si>
    <t>Sum paid-media daily spend</t>
  </si>
  <si>
    <t>Local slice is campaign/day; excludes agency fee</t>
  </si>
  <si>
    <t>Gross collected</t>
  </si>
  <si>
    <t>Sum successful captured payment amounts</t>
  </si>
  <si>
    <t>Payment event date, gross of refunds</t>
  </si>
  <si>
    <t>Refunds</t>
  </si>
  <si>
    <t>Sum successful refund amounts</t>
  </si>
  <si>
    <t>Refund event date; tied to original payment</t>
  </si>
  <si>
    <t>Net collected</t>
  </si>
  <si>
    <t>Gross collected minus refunds</t>
  </si>
  <si>
    <t>Cash basis; excludes tax/fees until modeled explicitly</t>
  </si>
  <si>
    <t>Booked revenue</t>
  </si>
  <si>
    <t>Sum value of closed-won deals</t>
  </si>
  <si>
    <t>Deal close date; separate from cash</t>
  </si>
  <si>
    <t>CPL</t>
  </si>
  <si>
    <t>Paid spend / leads attributed to paid campaigns</t>
  </si>
  <si>
    <t>Same period and acquisition cohort; null for zero paid leads</t>
  </si>
  <si>
    <t>Cost/MQL</t>
  </si>
  <si>
    <t>Paid spend / MQLs attributed to paid campaigns</t>
  </si>
  <si>
    <t>Same period and acquisition cohort; null for zero paid MQLs</t>
  </si>
  <si>
    <t>Lead-to-MQL rate</t>
  </si>
  <si>
    <t>MQL people / lead people</t>
  </si>
  <si>
    <t>Cohort-based with maturity window; current local slice uses all-time records</t>
  </si>
  <si>
    <t>MQL-to-call rate</t>
  </si>
  <si>
    <t>Booked-call people / MQL people</t>
  </si>
  <si>
    <t>Same MQL cohort and maturity window</t>
  </si>
  <si>
    <t>Show rate</t>
  </si>
  <si>
    <t>Attended calls / booked calls</t>
  </si>
  <si>
    <t>Meeting date basis</t>
  </si>
  <si>
    <t>Closed-won deals / eligible opportunities</t>
  </si>
  <si>
    <t>Opportunity cohort; fixed maturity window</t>
  </si>
  <si>
    <t>Net cash ROAS</t>
  </si>
  <si>
    <t>Net collected cash attributed to paid campaigns / paid media spend</t>
  </si>
  <si>
    <t>State attribution model; never mix deal value into numerator</t>
  </si>
  <si>
    <t>Renewal risk</t>
  </si>
  <si>
    <t>Active subscriptions overdue at the as-of date or with a failed attempt in the current cycle (high); due within 14 days (medium)</t>
  </si>
  <si>
    <t>As-of date is the data cut-off, not the viewer's clock</t>
  </si>
  <si>
    <t>Automation success</t>
  </si>
  <si>
    <t>Completed unique workflow events / processed unique events</t>
  </si>
  <si>
    <t>Window by received time; retries do not inflate denominator</t>
  </si>
  <si>
    <t>UTM completeness</t>
  </si>
  <si>
    <t>Acquisition touches with valid utm_source / eligible acquisition touches</t>
  </si>
  <si>
    <t>Include unresolved source in denominator</t>
  </si>
  <si>
    <t>Registry match</t>
  </si>
  <si>
    <t>Acquisition touches mapped to a valid campaign / eligible acquisition touches</t>
  </si>
  <si>
    <t>Invalid naming fails even when source is present</t>
  </si>
  <si>
    <t>Deal/payment reconciliation</t>
  </si>
  <si>
    <t>Successful non-renewal payments mapped to a valid deal / successful non-renewal payments</t>
  </si>
  <si>
    <t>Renewals legitimately have no new deal; count and money value reported separately</t>
  </si>
  <si>
    <t>Untracked net cash</t>
  </si>
  <si>
    <t>Net cash whose lead-creation touch has no campaign (lost UTMs)</t>
  </si>
  <si>
    <t>Shown as its own line; never spread across campaigns</t>
  </si>
  <si>
    <t>Sum of purchase conversion value each ad platform attributes to itself</t>
  </si>
  <si>
    <t>Each platform's own window (Meta 28-day click / 1-day view, Google 30-day click, LinkedIn 30-day click / 7-day view) at pixel (contract) value; overlaps across platforms; comparison series only</t>
  </si>
  <si>
    <t>Platform ROAS</t>
  </si>
  <si>
    <t>Platform-reported value / that platform's spend</t>
  </si>
  <si>
    <t>Self-reported; contrast with warehouse ROAS</t>
  </si>
  <si>
    <t>Lead-creation net cash for a platform's campaigns / that platform's spend</t>
  </si>
  <si>
    <t>The governed return measure</t>
  </si>
  <si>
    <t>Workflow success rate</t>
  </si>
  <si>
    <t>Events completed / unique payment events received</t>
  </si>
  <si>
    <t>Dead-lettered and retrying events count as not completed</t>
  </si>
  <si>
    <t>Time to access</t>
  </si>
  <si>
    <t>Seconds from first receipt to workflow completion</t>
  </si>
  <si>
    <t>p50/p95 and share within 5 minutes; includes retry backoff</t>
  </si>
  <si>
    <t>Duplicate deliveries absorbed</t>
  </si>
  <si>
    <t>Provider redeliveries of an already-received event</t>
  </si>
  <si>
    <t>Internal retries are excluded; every duplicate must cause zero extra side effects</t>
  </si>
  <si>
    <t>Content-influenced net cash</t>
  </si>
  <si>
    <t>Net cash from contacts whose first identified content engagement is the given item</t>
  </si>
  <si>
    <t>Descriptive first-content influence, not causal incrementality or fractional attribution</t>
  </si>
  <si>
    <t>Experiment lead rate</t>
  </si>
  <si>
    <t>Exposed visitors with a linked lead / exposed visitors in variant</t>
  </si>
  <si>
    <t>Visitor assignment unit; one exposure per experiment/visitor</t>
  </si>
  <si>
    <t>Experiment MQL per lead</t>
  </si>
  <si>
    <t>Exposed linked leads reaching MQL / exposed linked leads</t>
  </si>
  <si>
    <t>Guardrail for lead quality</t>
  </si>
  <si>
    <t>CPM / CTR / CPC</t>
  </si>
  <si>
    <t>Spend × 1000 / impressions; clicks / impressions; spend / clicks</t>
  </si>
  <si>
    <t>Platform-reported delivery; campaign/day grain</t>
  </si>
  <si>
    <t>Cost per booked call (CPDM)</t>
  </si>
  <si>
    <t>Paid spend / booked discovery calls from paid-created leads in the window</t>
  </si>
  <si>
    <t>Activity basis (growthops/performance.py): leads, MQLs, calls, wins and cash inside the window, credited to the lead-creating campaign. "CPDM" is read here as cost per discovery meeting; confirm the house definition</t>
  </si>
  <si>
    <t>Window ROAS</t>
  </si>
  <si>
    <t>Lead-creation net cash collected in the window less refunds issued in it / spend in the window</t>
  </si>
  <si>
    <t>Cash lags leads by weeks, so 7- and 30-day ROAS understate; use the all-time figure to judge a campaign</t>
  </si>
  <si>
    <t>Delivery / bounce rate</t>
  </si>
  <si>
    <t>Delivered / sends; bounces / sends</t>
  </si>
  <si>
    <t>Per send; bounce above 2% or complaints above 0.1% flags the sending domain</t>
  </si>
  <si>
    <t>(Opens − machine opens) / delivered</t>
  </si>
  <si>
    <t>Machine opens come from mailbox privacy proxies (e.g. Apple Mail Privacy Protection) and are excluded</t>
  </si>
  <si>
    <t>Opens / delivered</t>
  </si>
  <si>
    <t>Shown only to explain the gap; never used to judge engagement</t>
  </si>
  <si>
    <t>Click rate (CTR)</t>
  </si>
  <si>
    <t>Clicks / delivered</t>
  </si>
  <si>
    <t>Unique clicks per send</t>
  </si>
  <si>
    <t>Click-to-open rate</t>
  </si>
  <si>
    <t>Clicks / human opens</t>
  </si>
  <si>
    <t>Content relevance among people who actually opened</t>
  </si>
  <si>
    <t>Unsubscribe / complaint rate</t>
  </si>
  <si>
    <t>Unsubscribes / delivered; spam complaints / delivered</t>
  </si>
  <si>
    <t>Complaint limit 0.1% (Gmail/Yahoo bulk-sender guidance)</t>
  </si>
  <si>
    <t>Newsletter leads</t>
  </si>
  <si>
    <t>Contacts whose lead-creation touch is newsletter_weekly, credited to the issue in whose window (send to next send) it falls</t>
  </si>
  <si>
    <t>Followed to MQL, booked call, customers and net cash; descriptive</t>
  </si>
  <si>
    <t>List source mix</t>
  </si>
  <si>
    <t>New CRM contacts in the last three months by original source</t>
  </si>
  <si>
    <t>Includes (no source) for lost UTMs</t>
  </si>
  <si>
    <t>Short-link defect share</t>
  </si>
  <si>
    <t>Last-30-day clicks on short links whose UTMs are missing, unregistered or off-taxonomy / all short-link clicks</t>
  </si>
  <si>
    <t>Registry match is exact and case-sensitive</t>
  </si>
  <si>
    <t>Experiment cash per visitor</t>
  </si>
  <si>
    <t>Net cash from exposed linked customers / all exposed visitors in variant</t>
  </si>
  <si>
    <t>Primary experiment metric; refunds included; exploratory synthetic sample</t>
  </si>
  <si>
    <t>How the reporting window and chart series are derived. Nothing here is typed.</t>
  </si>
  <si>
    <t>Window options</t>
  </si>
  <si>
    <t>Prior-window values for the Dashboard tiles</t>
  </si>
  <si>
    <t>As-of date (last complete day of cash)</t>
  </si>
  <si>
    <t>Last 7 days</t>
  </si>
  <si>
    <t>First data day</t>
  </si>
  <si>
    <t>Window chosen on the Dashboard</t>
  </si>
  <si>
    <t>Last 90 days</t>
  </si>
  <si>
    <t>Window end</t>
  </si>
  <si>
    <t>Month to date</t>
  </si>
  <si>
    <t>Window start</t>
  </si>
  <si>
    <t>Quarter to date</t>
  </si>
  <si>
    <t>Days in window</t>
  </si>
  <si>
    <t>Custom</t>
  </si>
  <si>
    <t>Prior window end</t>
  </si>
  <si>
    <t>Prior window start</t>
  </si>
  <si>
    <t>Window check</t>
  </si>
  <si>
    <t>Monthly series (Dashboard chart)</t>
  </si>
  <si>
    <t>Month</t>
  </si>
  <si>
    <t>Label</t>
  </si>
  <si>
    <t>Ad spend</t>
  </si>
  <si>
    <t>Paid leads</t>
  </si>
  <si>
    <t>Paid MQLs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</si>
  <si>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</si>
  <si>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</si>
  <si>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</si>
  <si>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</si>
  <si>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</si>
  <si>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</si>
  <si>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</si>
  <si>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</si>
  <si>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</si>
  <si>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</si>
  <si>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</si>
  <si>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</si>
  <si>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</si>
  <si>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</si>
  <si>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</si>
  <si>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Weekly bounce rate by sending domain (Email health chart)</t>
  </si>
  <si>
    <t>Week starting</t>
  </si>
  <si>
    <t>Revenue bridge helper (waterfall on Revenue truth)</t>
  </si>
  <si>
    <t>Running end</t>
  </si>
  <si>
    <t>Base</t>
  </si>
  <si>
    <t>Increase</t>
  </si>
  <si>
    <t>Decrease</t>
  </si>
  <si>
    <t>Total</t>
  </si>
  <si>
    <t>day</t>
  </si>
  <si>
    <t>spend_cents</t>
  </si>
  <si>
    <t>leads</t>
  </si>
  <si>
    <t>mqls</t>
  </si>
  <si>
    <t>calls_booked</t>
  </si>
  <si>
    <t>closed_won_deals</t>
  </si>
  <si>
    <t>booked_cents</t>
  </si>
  <si>
    <t>gross_collected_cents</t>
  </si>
  <si>
    <t>refunds_cents</t>
  </si>
  <si>
    <t>net_cash_cents</t>
  </si>
  <si>
    <t>campaign_id</t>
  </si>
  <si>
    <t>platform</t>
  </si>
  <si>
    <t>impressions</t>
  </si>
  <si>
    <t>clicks</t>
  </si>
  <si>
    <t>payment_id</t>
  </si>
  <si>
    <t>paid_date</t>
  </si>
  <si>
    <t>gross_cents</t>
  </si>
  <si>
    <t>refund_cents</t>
  </si>
  <si>
    <t>p-000006</t>
  </si>
  <si>
    <t>p-000007</t>
  </si>
  <si>
    <t>p-000001</t>
  </si>
  <si>
    <t>p-000004</t>
  </si>
  <si>
    <t>p-000010</t>
  </si>
  <si>
    <t>partner_podcast</t>
  </si>
  <si>
    <t>p-000016</t>
  </si>
  <si>
    <t>p-000022</t>
  </si>
  <si>
    <t>webinar_growth_os</t>
  </si>
  <si>
    <t>p-000023</t>
  </si>
  <si>
    <t>p-000025</t>
  </si>
  <si>
    <t>p-000008</t>
  </si>
  <si>
    <t>p-000031</t>
  </si>
  <si>
    <t>p-000039</t>
  </si>
  <si>
    <t>youtube_founder_guide</t>
  </si>
  <si>
    <t>p-000018</t>
  </si>
  <si>
    <t>p-000029</t>
  </si>
  <si>
    <t>p-000036</t>
  </si>
  <si>
    <t>p-000040</t>
  </si>
  <si>
    <t>p-000035</t>
  </si>
  <si>
    <t>p-000017</t>
  </si>
  <si>
    <t>p-000021</t>
  </si>
  <si>
    <t>p-000041</t>
  </si>
  <si>
    <t>p-000047</t>
  </si>
  <si>
    <t>p-000032</t>
  </si>
  <si>
    <t>p-000055</t>
  </si>
  <si>
    <t>newsletter_weekly</t>
  </si>
  <si>
    <t>p-000042</t>
  </si>
  <si>
    <t>p-000051</t>
  </si>
  <si>
    <t>p-000060</t>
  </si>
  <si>
    <t>direct</t>
  </si>
  <si>
    <t>p-000070</t>
  </si>
  <si>
    <t>p-000002</t>
  </si>
  <si>
    <t>p-000049</t>
  </si>
  <si>
    <t>p-000054</t>
  </si>
  <si>
    <t>p-000013</t>
  </si>
  <si>
    <t>p-000063</t>
  </si>
  <si>
    <t>p-000043</t>
  </si>
  <si>
    <t>p-000068</t>
  </si>
  <si>
    <t>p-000085</t>
  </si>
  <si>
    <t>p-000069</t>
  </si>
  <si>
    <t>p-000087</t>
  </si>
  <si>
    <t>p-000011</t>
  </si>
  <si>
    <t>p-000046</t>
  </si>
  <si>
    <t>p-000090</t>
  </si>
  <si>
    <t>p-000096</t>
  </si>
  <si>
    <t>p-000077</t>
  </si>
  <si>
    <t>p-000086</t>
  </si>
  <si>
    <t>p-000088</t>
  </si>
  <si>
    <t>p-000052</t>
  </si>
  <si>
    <t>p-000078</t>
  </si>
  <si>
    <t>p-000091</t>
  </si>
  <si>
    <t>p-000056</t>
  </si>
  <si>
    <t>p-000074</t>
  </si>
  <si>
    <t>p-000027</t>
  </si>
  <si>
    <t>p-000080</t>
  </si>
  <si>
    <t>p-000092</t>
  </si>
  <si>
    <t>p-000105</t>
  </si>
  <si>
    <t>p-000083</t>
  </si>
  <si>
    <t>p-000019</t>
  </si>
  <si>
    <t>p-000037</t>
  </si>
  <si>
    <t>p-000044</t>
  </si>
  <si>
    <t>p-000065</t>
  </si>
  <si>
    <t>p-000071</t>
  </si>
  <si>
    <t>p-000066</t>
  </si>
  <si>
    <t>p-000079</t>
  </si>
  <si>
    <t>p-000111</t>
  </si>
  <si>
    <t>p-000093</t>
  </si>
  <si>
    <t>p-000100</t>
  </si>
  <si>
    <t>p-000114</t>
  </si>
  <si>
    <t>p-000118</t>
  </si>
  <si>
    <t>p-000033</t>
  </si>
  <si>
    <t>p-000108</t>
  </si>
  <si>
    <t>p-000115</t>
  </si>
  <si>
    <t>p-000119</t>
  </si>
  <si>
    <t>p-000130</t>
  </si>
  <si>
    <t>p-000109</t>
  </si>
  <si>
    <t>p-000127</t>
  </si>
  <si>
    <t>p-000141</t>
  </si>
  <si>
    <t>p-000133</t>
  </si>
  <si>
    <t>p-000081</t>
  </si>
  <si>
    <t>p-000121</t>
  </si>
  <si>
    <t>p-000126</t>
  </si>
  <si>
    <t>p-000148</t>
  </si>
  <si>
    <t>p-000059</t>
  </si>
  <si>
    <t>p-000136</t>
  </si>
  <si>
    <t>p-000142</t>
  </si>
  <si>
    <t>p-000145</t>
  </si>
  <si>
    <t>p-000061</t>
  </si>
  <si>
    <t>p-000128</t>
  </si>
  <si>
    <t>p-000003</t>
  </si>
  <si>
    <t>p-000014</t>
  </si>
  <si>
    <t>p-000146</t>
  </si>
  <si>
    <t>p-000131</t>
  </si>
  <si>
    <t>p-000139</t>
  </si>
  <si>
    <t>p-000156</t>
  </si>
  <si>
    <t>p-000103</t>
  </si>
  <si>
    <t>p-000116</t>
  </si>
  <si>
    <t>p-000012</t>
  </si>
  <si>
    <t>p-000097</t>
  </si>
  <si>
    <t>p-000151</t>
  </si>
  <si>
    <t>p-000158</t>
  </si>
  <si>
    <t>p-000138</t>
  </si>
  <si>
    <t>p-000140</t>
  </si>
  <si>
    <t>p-000124</t>
  </si>
  <si>
    <t>p-000159</t>
  </si>
  <si>
    <t>p-000157</t>
  </si>
  <si>
    <t>p-000057</t>
  </si>
  <si>
    <t>p-000161</t>
  </si>
  <si>
    <t>p-000075</t>
  </si>
  <si>
    <t>p-000170</t>
  </si>
  <si>
    <t>p-000028</t>
  </si>
  <si>
    <t>p-000106</t>
  </si>
  <si>
    <t>p-000147</t>
  </si>
  <si>
    <t>p-000152</t>
  </si>
  <si>
    <t>p-000166</t>
  </si>
  <si>
    <t>p-000084</t>
  </si>
  <si>
    <t>p-000165</t>
  </si>
  <si>
    <t>p-000173</t>
  </si>
  <si>
    <t>p-000020</t>
  </si>
  <si>
    <t>p-000038</t>
  </si>
  <si>
    <t>p-000177</t>
  </si>
  <si>
    <t>p-000072</t>
  </si>
  <si>
    <t>p-000172</t>
  </si>
  <si>
    <t>p-000112</t>
  </si>
  <si>
    <t>p-000164</t>
  </si>
  <si>
    <t>p-000169</t>
  </si>
  <si>
    <t>p-000094</t>
  </si>
  <si>
    <t>p-000101</t>
  </si>
  <si>
    <t>p-000183</t>
  </si>
  <si>
    <t>p-000034</t>
  </si>
  <si>
    <t>p-000120</t>
  </si>
  <si>
    <t>p-000176</t>
  </si>
  <si>
    <t>p-000180</t>
  </si>
  <si>
    <t>p-000134</t>
  </si>
  <si>
    <t>p-000182</t>
  </si>
  <si>
    <t>p-000155</t>
  </si>
  <si>
    <t>p-000181</t>
  </si>
  <si>
    <t>p-000122</t>
  </si>
  <si>
    <t>p-000143</t>
  </si>
  <si>
    <t>p-000062</t>
  </si>
  <si>
    <t>p-000015</t>
  </si>
  <si>
    <t>p-000150</t>
  </si>
  <si>
    <t>p-000189</t>
  </si>
  <si>
    <t>p-000198</t>
  </si>
  <si>
    <t>p-000184</t>
  </si>
  <si>
    <t>p-000188</t>
  </si>
  <si>
    <t>p-000195</t>
  </si>
  <si>
    <t>p-000196</t>
  </si>
  <si>
    <t>p-000192</t>
  </si>
  <si>
    <t>p-000212</t>
  </si>
  <si>
    <t>p-000224</t>
  </si>
  <si>
    <t>p-000099</t>
  </si>
  <si>
    <t>p-000193</t>
  </si>
  <si>
    <t>p-000203</t>
  </si>
  <si>
    <t>p-000206</t>
  </si>
  <si>
    <t>p-000213</t>
  </si>
  <si>
    <t>p-000058</t>
  </si>
  <si>
    <t>p-000162</t>
  </si>
  <si>
    <t>p-000076</t>
  </si>
  <si>
    <t>p-000171</t>
  </si>
  <si>
    <t>p-000194</t>
  </si>
  <si>
    <t>p-000214</t>
  </si>
  <si>
    <t>p-000107</t>
  </si>
  <si>
    <t>p-000153</t>
  </si>
  <si>
    <t>p-000167</t>
  </si>
  <si>
    <t>p-000209</t>
  </si>
  <si>
    <t>p-000218</t>
  </si>
  <si>
    <t>p-000225</t>
  </si>
  <si>
    <t>p-000174</t>
  </si>
  <si>
    <t>p-000226</t>
  </si>
  <si>
    <t>p-000186</t>
  </si>
  <si>
    <t>p-000178</t>
  </si>
  <si>
    <t>p-000231</t>
  </si>
  <si>
    <t>p-000073</t>
  </si>
  <si>
    <t>p-000201</t>
  </si>
  <si>
    <t>p-000113</t>
  </si>
  <si>
    <t>p-000187</t>
  </si>
  <si>
    <t>p-000229</t>
  </si>
  <si>
    <t>p-000230</t>
  </si>
  <si>
    <t>p-000095</t>
  </si>
  <si>
    <t>p-000215</t>
  </si>
  <si>
    <t>p-000102</t>
  </si>
  <si>
    <t>p-000232</t>
  </si>
  <si>
    <t>p-000221</t>
  </si>
  <si>
    <t>p-000248</t>
  </si>
  <si>
    <t>p-000258</t>
  </si>
  <si>
    <t>p-000267</t>
  </si>
  <si>
    <t>p-000135</t>
  </si>
  <si>
    <t>p-000242</t>
  </si>
  <si>
    <t>p-000245</t>
  </si>
  <si>
    <t>p-000253</t>
  </si>
  <si>
    <t>p-000252</t>
  </si>
  <si>
    <t>p-000123</t>
  </si>
  <si>
    <t>p-000238</t>
  </si>
  <si>
    <t>p-000251</t>
  </si>
  <si>
    <t>p-000144</t>
  </si>
  <si>
    <t>p-000217</t>
  </si>
  <si>
    <t>p-000233</t>
  </si>
  <si>
    <t>p-000256</t>
  </si>
  <si>
    <t>p-000262</t>
  </si>
  <si>
    <t>p-000202</t>
  </si>
  <si>
    <t>p-000236</t>
  </si>
  <si>
    <t>p-000190</t>
  </si>
  <si>
    <t>p-000263</t>
  </si>
  <si>
    <t>p-000268</t>
  </si>
  <si>
    <t>p-000199</t>
  </si>
  <si>
    <t>p-000185</t>
  </si>
  <si>
    <t>p-000257</t>
  </si>
  <si>
    <t>p-000241</t>
  </si>
  <si>
    <t>p-000269</t>
  </si>
  <si>
    <t>p-000271</t>
  </si>
  <si>
    <t>p-000197</t>
  </si>
  <si>
    <t>p-000272</t>
  </si>
  <si>
    <t>(unattributed)</t>
  </si>
  <si>
    <t>p-000277</t>
  </si>
  <si>
    <t>p-000204</t>
  </si>
  <si>
    <t>p-000207</t>
  </si>
  <si>
    <t>p-000273</t>
  </si>
  <si>
    <t>p-000163</t>
  </si>
  <si>
    <t>p-000154</t>
  </si>
  <si>
    <t>p-000168</t>
  </si>
  <si>
    <t>p-000210</t>
  </si>
  <si>
    <t>p-000219</t>
  </si>
  <si>
    <t>p-000175</t>
  </si>
  <si>
    <t>p-000227</t>
  </si>
  <si>
    <t>p-000266</t>
  </si>
  <si>
    <t>p-000270</t>
  </si>
  <si>
    <t>p-000278</t>
  </si>
  <si>
    <t>p-000281</t>
  </si>
  <si>
    <t>p-000283</t>
  </si>
  <si>
    <t>p-000290</t>
  </si>
  <si>
    <t>p-000291</t>
  </si>
  <si>
    <t>p-000179</t>
  </si>
  <si>
    <t>p-000285</t>
  </si>
  <si>
    <t>p-000286</t>
  </si>
  <si>
    <t>p-000292</t>
  </si>
  <si>
    <t>p-000295</t>
  </si>
  <si>
    <t>p-000280</t>
  </si>
  <si>
    <t>p-000216</t>
  </si>
  <si>
    <t>p-000282</t>
  </si>
  <si>
    <t>p-000222</t>
  </si>
  <si>
    <t>p-000249</t>
  </si>
  <si>
    <t>p-000307</t>
  </si>
  <si>
    <t>p-000243</t>
  </si>
  <si>
    <t>p-000246</t>
  </si>
  <si>
    <t>p-000254</t>
  </si>
  <si>
    <t>p-000303</t>
  </si>
  <si>
    <t>p-000305</t>
  </si>
  <si>
    <t>p-000239</t>
  </si>
  <si>
    <t>p-000284</t>
  </si>
  <si>
    <t>p-000299</t>
  </si>
  <si>
    <t>p-000234</t>
  </si>
  <si>
    <t>p-000260</t>
  </si>
  <si>
    <t>p-000289</t>
  </si>
  <si>
    <t>p-000293</t>
  </si>
  <si>
    <t>p-000294</t>
  </si>
  <si>
    <t>p-000314</t>
  </si>
  <si>
    <t>p-000237</t>
  </si>
  <si>
    <t>p-000308</t>
  </si>
  <si>
    <t>p-000191</t>
  </si>
  <si>
    <t>p-000298</t>
  </si>
  <si>
    <t>p-000304</t>
  </si>
  <si>
    <t>p-000264</t>
  </si>
  <si>
    <t>p-000200</t>
  </si>
  <si>
    <t>p-000311</t>
  </si>
  <si>
    <t>p-000317</t>
  </si>
  <si>
    <t>p-000302</t>
  </si>
  <si>
    <t>p-000321</t>
  </si>
  <si>
    <t>p-000325</t>
  </si>
  <si>
    <t>p-000316</t>
  </si>
  <si>
    <t>p-000312</t>
  </si>
  <si>
    <t>p-000315</t>
  </si>
  <si>
    <t>p-000337</t>
  </si>
  <si>
    <t>p-000205</t>
  </si>
  <si>
    <t>p-000208</t>
  </si>
  <si>
    <t>p-000306</t>
  </si>
  <si>
    <t>p-000318</t>
  </si>
  <si>
    <t>p-000327</t>
  </si>
  <si>
    <t>p-000274</t>
  </si>
  <si>
    <t>p-000211</t>
  </si>
  <si>
    <t>p-000220</t>
  </si>
  <si>
    <t>p-000323</t>
  </si>
  <si>
    <t>p-000336</t>
  </si>
  <si>
    <t>p-000228</t>
  </si>
  <si>
    <t>p-000276</t>
  </si>
  <si>
    <t>p-000279</t>
  </si>
  <si>
    <t>p-000331</t>
  </si>
  <si>
    <t>p-000334</t>
  </si>
  <si>
    <t>p-000287</t>
  </si>
  <si>
    <t>p-000296</t>
  </si>
  <si>
    <t>p-000313</t>
  </si>
  <si>
    <t>p-000324</t>
  </si>
  <si>
    <t>p-000330</t>
  </si>
  <si>
    <t>p-000332</t>
  </si>
  <si>
    <t>p-000335</t>
  </si>
  <si>
    <t>p-000338</t>
  </si>
  <si>
    <t>p-000340</t>
  </si>
  <si>
    <t>p-000223</t>
  </si>
  <si>
    <t>p-000351</t>
  </si>
  <si>
    <t>p-000250</t>
  </si>
  <si>
    <t>p-000326</t>
  </si>
  <si>
    <t>p-000244</t>
  </si>
  <si>
    <t>p-000247</t>
  </si>
  <si>
    <t>p-000255</t>
  </si>
  <si>
    <t>p-000341</t>
  </si>
  <si>
    <t>p-000343</t>
  </si>
  <si>
    <t>p-000240</t>
  </si>
  <si>
    <t>p-000300</t>
  </si>
  <si>
    <t>p-000346</t>
  </si>
  <si>
    <t>p-000235</t>
  </si>
  <si>
    <t>p-000261</t>
  </si>
  <si>
    <t>p-000309</t>
  </si>
  <si>
    <t>p-000342</t>
  </si>
  <si>
    <t>p-000265</t>
  </si>
  <si>
    <t>p-000354</t>
  </si>
  <si>
    <t>p-000333</t>
  </si>
  <si>
    <t>p-000355</t>
  </si>
  <si>
    <t>p-000361</t>
  </si>
  <si>
    <t>p-000319</t>
  </si>
  <si>
    <t>p-000328</t>
  </si>
  <si>
    <t>p-000363</t>
  </si>
  <si>
    <t>p-000365</t>
  </si>
  <si>
    <t>p-000372</t>
  </si>
  <si>
    <t>p-000275</t>
  </si>
  <si>
    <t>p-000369</t>
  </si>
  <si>
    <t>p-000373</t>
  </si>
  <si>
    <t>p-000364</t>
  </si>
  <si>
    <t>p-000358</t>
  </si>
  <si>
    <t>p-000374</t>
  </si>
  <si>
    <t>p-000288</t>
  </si>
  <si>
    <t>p-000347</t>
  </si>
  <si>
    <t>p-000297</t>
  </si>
  <si>
    <t>p-000377</t>
  </si>
  <si>
    <t>p-000383</t>
  </si>
  <si>
    <t>p-000350</t>
  </si>
  <si>
    <t>p-000362</t>
  </si>
  <si>
    <t>p-000339</t>
  </si>
  <si>
    <t>p-000368</t>
  </si>
  <si>
    <t>p-000380</t>
  </si>
  <si>
    <t>p-000384</t>
  </si>
  <si>
    <t>p-000385</t>
  </si>
  <si>
    <t>p-000352</t>
  </si>
  <si>
    <t>p-000376</t>
  </si>
  <si>
    <t>p-000370</t>
  </si>
  <si>
    <t>p-000371</t>
  </si>
  <si>
    <t>p-000388</t>
  </si>
  <si>
    <t>p-000344</t>
  </si>
  <si>
    <t>p-000301</t>
  </si>
  <si>
    <t>p-000393</t>
  </si>
  <si>
    <t>p-000310</t>
  </si>
  <si>
    <t>p-000389</t>
  </si>
  <si>
    <t>p-000391</t>
  </si>
  <si>
    <t>p-000356</t>
  </si>
  <si>
    <t>p-000392</t>
  </si>
  <si>
    <t>p-000390</t>
  </si>
  <si>
    <t>p-000394</t>
  </si>
  <si>
    <t>p-000320</t>
  </si>
  <si>
    <t>p-000396</t>
  </si>
  <si>
    <t>p-000401</t>
  </si>
  <si>
    <t>p-000329</t>
  </si>
  <si>
    <t>p-000366</t>
  </si>
  <si>
    <t>p-000420</t>
  </si>
  <si>
    <t>p-000429</t>
  </si>
  <si>
    <t>p-000395</t>
  </si>
  <si>
    <t>p-000400</t>
  </si>
  <si>
    <t>p-000411</t>
  </si>
  <si>
    <t>p-000419</t>
  </si>
  <si>
    <t>p-000414</t>
  </si>
  <si>
    <t>p-000422</t>
  </si>
  <si>
    <t>p-000359</t>
  </si>
  <si>
    <t>p-000375</t>
  </si>
  <si>
    <t>p-000426</t>
  </si>
  <si>
    <t>p-000348</t>
  </si>
  <si>
    <t>p-000397</t>
  </si>
  <si>
    <t>p-000407</t>
  </si>
  <si>
    <t>p-000410</t>
  </si>
  <si>
    <t>p-000378</t>
  </si>
  <si>
    <t>p-000404</t>
  </si>
  <si>
    <t>p-000417</t>
  </si>
  <si>
    <t>p-000381</t>
  </si>
  <si>
    <t>p-000427</t>
  </si>
  <si>
    <t>p-000421</t>
  </si>
  <si>
    <t>p-000430</t>
  </si>
  <si>
    <t>p-000386</t>
  </si>
  <si>
    <t>p-000353</t>
  </si>
  <si>
    <t>p-000425</t>
  </si>
  <si>
    <t>p-000431</t>
  </si>
  <si>
    <t>p-000443</t>
  </si>
  <si>
    <t>p-000418</t>
  </si>
  <si>
    <t>p-000453</t>
  </si>
  <si>
    <t>p-000345</t>
  </si>
  <si>
    <t>p-000406</t>
  </si>
  <si>
    <t>p-000450</t>
  </si>
  <si>
    <t>p-000455</t>
  </si>
  <si>
    <t>p-000402</t>
  </si>
  <si>
    <t>p-000403</t>
  </si>
  <si>
    <t>p-000440</t>
  </si>
  <si>
    <t>p-000434</t>
  </si>
  <si>
    <t>p-000458</t>
  </si>
  <si>
    <t>p-000432</t>
  </si>
  <si>
    <t>p-000442</t>
  </si>
  <si>
    <t>p-000447</t>
  </si>
  <si>
    <t>p-000454</t>
  </si>
  <si>
    <t>p-000435</t>
  </si>
  <si>
    <t>p-000446</t>
  </si>
  <si>
    <t>p-000461</t>
  </si>
  <si>
    <t>p-000448</t>
  </si>
  <si>
    <t>p-000357</t>
  </si>
  <si>
    <t>p-000464</t>
  </si>
  <si>
    <t>p-000475</t>
  </si>
  <si>
    <t>p-000449</t>
  </si>
  <si>
    <t>p-000465</t>
  </si>
  <si>
    <t>p-000460</t>
  </si>
  <si>
    <t>p-000462</t>
  </si>
  <si>
    <t>p-000468</t>
  </si>
  <si>
    <t>p-000436</t>
  </si>
  <si>
    <t>p-000441</t>
  </si>
  <si>
    <t>p-000367</t>
  </si>
  <si>
    <t>p-000428</t>
  </si>
  <si>
    <t>p-000459</t>
  </si>
  <si>
    <t>p-000412</t>
  </si>
  <si>
    <t>p-000497</t>
  </si>
  <si>
    <t>p-000415</t>
  </si>
  <si>
    <t>p-000423</t>
  </si>
  <si>
    <t>p-000476</t>
  </si>
  <si>
    <t>p-000492</t>
  </si>
  <si>
    <t>p-000360</t>
  </si>
  <si>
    <t>p-000473</t>
  </si>
  <si>
    <t>p-000481</t>
  </si>
  <si>
    <t>p-000485</t>
  </si>
  <si>
    <t>p-000493</t>
  </si>
  <si>
    <t>p-000349</t>
  </si>
  <si>
    <t>p-000398</t>
  </si>
  <si>
    <t>p-000408</t>
  </si>
  <si>
    <t>p-000463</t>
  </si>
  <si>
    <t>p-000467</t>
  </si>
  <si>
    <t>p-000486</t>
  </si>
  <si>
    <t>p-000379</t>
  </si>
  <si>
    <t>p-000405</t>
  </si>
  <si>
    <t>p-000477</t>
  </si>
  <si>
    <t>p-000488</t>
  </si>
  <si>
    <t>p-000439</t>
  </si>
  <si>
    <t>p-000382</t>
  </si>
  <si>
    <t>p-000499</t>
  </si>
  <si>
    <t>p-000387</t>
  </si>
  <si>
    <t>p-000487</t>
  </si>
  <si>
    <t>p-000494</t>
  </si>
  <si>
    <t>p-000444</t>
  </si>
  <si>
    <t>p-000479</t>
  </si>
  <si>
    <t>p-000503</t>
  </si>
  <si>
    <t>p-000451</t>
  </si>
  <si>
    <t>p-000456</t>
  </si>
  <si>
    <t>p-000495</t>
  </si>
  <si>
    <t>p-000471</t>
  </si>
  <si>
    <t>p-000496</t>
  </si>
  <si>
    <t>p-000504</t>
  </si>
  <si>
    <t>p-000478</t>
  </si>
  <si>
    <t>p-000433</t>
  </si>
  <si>
    <t>p-000480</t>
  </si>
  <si>
    <t>p-000498</t>
  </si>
  <si>
    <t>p-000506</t>
  </si>
  <si>
    <t>p-000509</t>
  </si>
  <si>
    <t>p-000517</t>
  </si>
  <si>
    <t>p-000521</t>
  </si>
  <si>
    <t>p-000507</t>
  </si>
  <si>
    <t>p-000491</t>
  </si>
  <si>
    <t>p-000513</t>
  </si>
  <si>
    <t>p-000522</t>
  </si>
  <si>
    <t>p-000466</t>
  </si>
  <si>
    <t>p-000523</t>
  </si>
  <si>
    <t>p-000469</t>
  </si>
  <si>
    <t>p-000437</t>
  </si>
  <si>
    <t>p-000502</t>
  </si>
  <si>
    <t>p-000520</t>
  </si>
  <si>
    <t>p-000516</t>
  </si>
  <si>
    <t>p-000536</t>
  </si>
  <si>
    <t>p-000535</t>
  </si>
  <si>
    <t>p-000413</t>
  </si>
  <si>
    <t>p-000524</t>
  </si>
  <si>
    <t>p-000543</t>
  </si>
  <si>
    <t>p-000545</t>
  </si>
  <si>
    <t>p-000416</t>
  </si>
  <si>
    <t>p-000424</t>
  </si>
  <si>
    <t>p-000512</t>
  </si>
  <si>
    <t>p-000474</t>
  </si>
  <si>
    <t>p-000505</t>
  </si>
  <si>
    <t>p-000550</t>
  </si>
  <si>
    <t>p-000399</t>
  </si>
  <si>
    <t>p-000409</t>
  </si>
  <si>
    <t>p-000540</t>
  </si>
  <si>
    <t>p-000549</t>
  </si>
  <si>
    <t>p-000560</t>
  </si>
  <si>
    <t>p-000525</t>
  </si>
  <si>
    <t>p-000530</t>
  </si>
  <si>
    <t>p-000489</t>
  </si>
  <si>
    <t>p-000572</t>
  </si>
  <si>
    <t>p-000573</t>
  </si>
  <si>
    <t>p-000574</t>
  </si>
  <si>
    <t>p-000483</t>
  </si>
  <si>
    <t>p-000556</t>
  </si>
  <si>
    <t>p-000531</t>
  </si>
  <si>
    <t>p-000500</t>
  </si>
  <si>
    <t>p-000563</t>
  </si>
  <si>
    <t>p-000544</t>
  </si>
  <si>
    <t>p-000578</t>
  </si>
  <si>
    <t>p-000558</t>
  </si>
  <si>
    <t>p-000445</t>
  </si>
  <si>
    <t>p-000528</t>
  </si>
  <si>
    <t>p-000557</t>
  </si>
  <si>
    <t>p-000584</t>
  </si>
  <si>
    <t>p-000552</t>
  </si>
  <si>
    <t>p-000588</t>
  </si>
  <si>
    <t>p-000452</t>
  </si>
  <si>
    <t>p-000457</t>
  </si>
  <si>
    <t>p-000548</t>
  </si>
  <si>
    <t>p-000575</t>
  </si>
  <si>
    <t>p-000534</t>
  </si>
  <si>
    <t>p-000472</t>
  </si>
  <si>
    <t>p-000582</t>
  </si>
  <si>
    <t>p-000564</t>
  </si>
  <si>
    <t>p-000568</t>
  </si>
  <si>
    <t>p-000577</t>
  </si>
  <si>
    <t>p-000592</t>
  </si>
  <si>
    <t>p-000599</t>
  </si>
  <si>
    <t>p-000567</t>
  </si>
  <si>
    <t>p-000571</t>
  </si>
  <si>
    <t>p-000589</t>
  </si>
  <si>
    <t>p-000590</t>
  </si>
  <si>
    <t>p-000555</t>
  </si>
  <si>
    <t>p-000510</t>
  </si>
  <si>
    <t>p-000518</t>
  </si>
  <si>
    <t>p-000529</t>
  </si>
  <si>
    <t>p-000585</t>
  </si>
  <si>
    <t>p-000514</t>
  </si>
  <si>
    <t>p-000554</t>
  </si>
  <si>
    <t>p-000559</t>
  </si>
  <si>
    <t>p-000581</t>
  </si>
  <si>
    <t>p-000583</t>
  </si>
  <si>
    <t>p-000595</t>
  </si>
  <si>
    <t>p-000603</t>
  </si>
  <si>
    <t>p-000607</t>
  </si>
  <si>
    <t>p-000606</t>
  </si>
  <si>
    <t>p-000470</t>
  </si>
  <si>
    <t>p-000591</t>
  </si>
  <si>
    <t>p-000438</t>
  </si>
  <si>
    <t>p-000539</t>
  </si>
  <si>
    <t>p-000537</t>
  </si>
  <si>
    <t>p-000602</t>
  </si>
  <si>
    <t>p-000608</t>
  </si>
  <si>
    <t>p-000612</t>
  </si>
  <si>
    <t>p-000613</t>
  </si>
  <si>
    <t>p-000620</t>
  </si>
  <si>
    <t>p-000609</t>
  </si>
  <si>
    <t>p-000623</t>
  </si>
  <si>
    <t>p-000546</t>
  </si>
  <si>
    <t>p-000618</t>
  </si>
  <si>
    <t>p-000598</t>
  </si>
  <si>
    <t>p-000619</t>
  </si>
  <si>
    <t>p-000551</t>
  </si>
  <si>
    <t>p-000586</t>
  </si>
  <si>
    <t>p-000614</t>
  </si>
  <si>
    <t>p-000541</t>
  </si>
  <si>
    <t>p-000561</t>
  </si>
  <si>
    <t>p-000526</t>
  </si>
  <si>
    <t>p-000490</t>
  </si>
  <si>
    <t>p-000600</t>
  </si>
  <si>
    <t>p-000484</t>
  </si>
  <si>
    <t>p-000629</t>
  </si>
  <si>
    <t>p-000645</t>
  </si>
  <si>
    <t>p-000532</t>
  </si>
  <si>
    <t>p-000501</t>
  </si>
  <si>
    <t>p-000601</t>
  </si>
  <si>
    <t>p-000617</t>
  </si>
  <si>
    <t>p-000624</t>
  </si>
  <si>
    <t>p-000626</t>
  </si>
  <si>
    <t>p-000579</t>
  </si>
  <si>
    <t>p-000633</t>
  </si>
  <si>
    <t>p-000625</t>
  </si>
  <si>
    <t>p-000630</t>
  </si>
  <si>
    <t>p-000631</t>
  </si>
  <si>
    <t>p-000639</t>
  </si>
  <si>
    <t>p-000628</t>
  </si>
  <si>
    <t>p-000553</t>
  </si>
  <si>
    <t>p-000576</t>
  </si>
  <si>
    <t>p-000641</t>
  </si>
  <si>
    <t>p-000635</t>
  </si>
  <si>
    <t>p-000646</t>
  </si>
  <si>
    <t>p-000565</t>
  </si>
  <si>
    <t>p-000569</t>
  </si>
  <si>
    <t>p-000593</t>
  </si>
  <si>
    <t>p-000647</t>
  </si>
  <si>
    <t>p-000651</t>
  </si>
  <si>
    <t>p-000644</t>
  </si>
  <si>
    <t>p-000627</t>
  </si>
  <si>
    <t>p-000511</t>
  </si>
  <si>
    <t>p-000519</t>
  </si>
  <si>
    <t>p-000634</t>
  </si>
  <si>
    <t>p-000652</t>
  </si>
  <si>
    <t>p-000638</t>
  </si>
  <si>
    <t>p-000648</t>
  </si>
  <si>
    <t>p-000515</t>
  </si>
  <si>
    <t>p-000596</t>
  </si>
  <si>
    <t>p-000604</t>
  </si>
  <si>
    <t>p-000632</t>
  </si>
  <si>
    <t>p-000636</t>
  </si>
  <si>
    <t>p-000654</t>
  </si>
  <si>
    <t>p-000660</t>
  </si>
  <si>
    <t>p-000637</t>
  </si>
  <si>
    <t>p-000538</t>
  </si>
  <si>
    <t>p-000621</t>
  </si>
  <si>
    <t>p-000610</t>
  </si>
  <si>
    <t>p-000662</t>
  </si>
  <si>
    <t>p-000672</t>
  </si>
  <si>
    <t>p-000615</t>
  </si>
  <si>
    <t>p-000658</t>
  </si>
  <si>
    <t>p-000542</t>
  </si>
  <si>
    <t>p-000562</t>
  </si>
  <si>
    <t>p-000653</t>
  </si>
  <si>
    <t>p-000670</t>
  </si>
  <si>
    <t>p-000527</t>
  </si>
  <si>
    <t>p-000655</t>
  </si>
  <si>
    <t>p-000680</t>
  </si>
  <si>
    <t>p-000679</t>
  </si>
  <si>
    <t>p-000687</t>
  </si>
  <si>
    <t>p-000533</t>
  </si>
  <si>
    <t>p-000661</t>
  </si>
  <si>
    <t>p-000674</t>
  </si>
  <si>
    <t>p-000694</t>
  </si>
  <si>
    <t>p-000671</t>
  </si>
  <si>
    <t>p-000696</t>
  </si>
  <si>
    <t>p-000580</t>
  </si>
  <si>
    <t>p-000640</t>
  </si>
  <si>
    <t>p-000683</t>
  </si>
  <si>
    <t>p-000659</t>
  </si>
  <si>
    <t>p-000678</t>
  </si>
  <si>
    <t>p-000690</t>
  </si>
  <si>
    <t>p-000642</t>
  </si>
  <si>
    <t>p-000665</t>
  </si>
  <si>
    <t>p-000700</t>
  </si>
  <si>
    <t>p-000684</t>
  </si>
  <si>
    <t>p-000704</t>
  </si>
  <si>
    <t>p-000566</t>
  </si>
  <si>
    <t>p-000570</t>
  </si>
  <si>
    <t>p-000594</t>
  </si>
  <si>
    <t>p-000669</t>
  </si>
  <si>
    <t>p-000693</t>
  </si>
  <si>
    <t>p-000705</t>
  </si>
  <si>
    <t>p-000709</t>
  </si>
  <si>
    <t>p-000710</t>
  </si>
  <si>
    <t>p-000649</t>
  </si>
  <si>
    <t>p-000727</t>
  </si>
  <si>
    <t>p-000597</t>
  </si>
  <si>
    <t>p-000605</t>
  </si>
  <si>
    <t>p-000005</t>
  </si>
  <si>
    <t>p-000708</t>
  </si>
  <si>
    <t>p-000718</t>
  </si>
  <si>
    <t>p-000733</t>
  </si>
  <si>
    <t>p-000703</t>
  </si>
  <si>
    <t>p-000711</t>
  </si>
  <si>
    <t>p-000725</t>
  </si>
  <si>
    <t>p-000726</t>
  </si>
  <si>
    <t>p-000728</t>
  </si>
  <si>
    <t>p-000622</t>
  </si>
  <si>
    <t>p-000697</t>
  </si>
  <si>
    <t>p-000714</t>
  </si>
  <si>
    <t>p-000721</t>
  </si>
  <si>
    <t>p-000611</t>
  </si>
  <si>
    <t>p-000716</t>
  </si>
  <si>
    <t>p-000717</t>
  </si>
  <si>
    <t>p-000740</t>
  </si>
  <si>
    <t>p-000024</t>
  </si>
  <si>
    <t>p-000663</t>
  </si>
  <si>
    <t>p-000673</t>
  </si>
  <si>
    <t>p-000734</t>
  </si>
  <si>
    <t>p-000747</t>
  </si>
  <si>
    <t>p-000731</t>
  </si>
  <si>
    <t>p-000009</t>
  </si>
  <si>
    <t>p-000616</t>
  </si>
  <si>
    <t>p-000713</t>
  </si>
  <si>
    <t>p-000722</t>
  </si>
  <si>
    <t>p-000656</t>
  </si>
  <si>
    <t>p-000681</t>
  </si>
  <si>
    <t>p-000685</t>
  </si>
  <si>
    <t>p-000030</t>
  </si>
  <si>
    <t>p-000688</t>
  </si>
  <si>
    <t>p-000738</t>
  </si>
  <si>
    <t>p-000742</t>
  </si>
  <si>
    <t>p-000752</t>
  </si>
  <si>
    <t>p-000695</t>
  </si>
  <si>
    <t>p-000732</t>
  </si>
  <si>
    <t>p-000751</t>
  </si>
  <si>
    <t>p-000756</t>
  </si>
  <si>
    <t>p-000739</t>
  </si>
  <si>
    <t>p-000743</t>
  </si>
  <si>
    <t>p-000749</t>
  </si>
  <si>
    <t>p-000676</t>
  </si>
  <si>
    <t>p-000691</t>
  </si>
  <si>
    <t>p-000760</t>
  </si>
  <si>
    <t>p-000741</t>
  </si>
  <si>
    <t>p-000643</t>
  </si>
  <si>
    <t>p-000701</t>
  </si>
  <si>
    <t>p-000770</t>
  </si>
  <si>
    <t>p-000735</t>
  </si>
  <si>
    <t>p-000737</t>
  </si>
  <si>
    <t>p-000766</t>
  </si>
  <si>
    <t>p-000745</t>
  </si>
  <si>
    <t>p-000755</t>
  </si>
  <si>
    <t>p-000771</t>
  </si>
  <si>
    <t>p-000667</t>
  </si>
  <si>
    <t>p-000724</t>
  </si>
  <si>
    <t>p-000744</t>
  </si>
  <si>
    <t>p-000758</t>
  </si>
  <si>
    <t>p-000761</t>
  </si>
  <si>
    <t>p-000706</t>
  </si>
  <si>
    <t>p-000754</t>
  </si>
  <si>
    <t>p-000767</t>
  </si>
  <si>
    <t>p-000768</t>
  </si>
  <si>
    <t>p-000763</t>
  </si>
  <si>
    <t>p-000650</t>
  </si>
  <si>
    <t>p-000050</t>
  </si>
  <si>
    <t>p-000064</t>
  </si>
  <si>
    <t>p-000746</t>
  </si>
  <si>
    <t>p-000775</t>
  </si>
  <si>
    <t>p-000779</t>
  </si>
  <si>
    <t>p-000719</t>
  </si>
  <si>
    <t>p-000769</t>
  </si>
  <si>
    <t>p-000777</t>
  </si>
  <si>
    <t>p-000712</t>
  </si>
  <si>
    <t>p-000774</t>
  </si>
  <si>
    <t>p-000784</t>
  </si>
  <si>
    <t>p-000729</t>
  </si>
  <si>
    <t>p-000698</t>
  </si>
  <si>
    <t>p-000715</t>
  </si>
  <si>
    <t>p-000795</t>
  </si>
  <si>
    <t>p-000798</t>
  </si>
  <si>
    <t>p-000782</t>
  </si>
  <si>
    <t>p-000783</t>
  </si>
  <si>
    <t>p-000789</t>
  </si>
  <si>
    <t>p-000089</t>
  </si>
  <si>
    <t>p-000664</t>
  </si>
  <si>
    <t>p-000748</t>
  </si>
  <si>
    <t>p-000053</t>
  </si>
  <si>
    <t>p-000793</t>
  </si>
  <si>
    <t>p-000723</t>
  </si>
  <si>
    <t>p-000765</t>
  </si>
  <si>
    <t>p-000780</t>
  </si>
  <si>
    <t>p-000657</t>
  </si>
  <si>
    <t>p-000682</t>
  </si>
  <si>
    <t>p-000781</t>
  </si>
  <si>
    <t>p-000787</t>
  </si>
  <si>
    <t>p-000792</t>
  </si>
  <si>
    <t>p-000686</t>
  </si>
  <si>
    <t>p-000689</t>
  </si>
  <si>
    <t>p-000753</t>
  </si>
  <si>
    <t>p-000786</t>
  </si>
  <si>
    <t>p-000045</t>
  </si>
  <si>
    <t>p-000757</t>
  </si>
  <si>
    <t>p-000803</t>
  </si>
  <si>
    <t>p-000807</t>
  </si>
  <si>
    <t>p-000802</t>
  </si>
  <si>
    <t>p-000067</t>
  </si>
  <si>
    <t>p-000750</t>
  </si>
  <si>
    <t>p-000800</t>
  </si>
  <si>
    <t>p-000677</t>
  </si>
  <si>
    <t>p-000692</t>
  </si>
  <si>
    <t>p-000788</t>
  </si>
  <si>
    <t>p-000791</t>
  </si>
  <si>
    <t>p-000804</t>
  </si>
  <si>
    <t>p-000806</t>
  </si>
  <si>
    <t>p-000797</t>
  </si>
  <si>
    <t>p-000813</t>
  </si>
  <si>
    <t>p-000817</t>
  </si>
  <si>
    <t>p-000702</t>
  </si>
  <si>
    <t>p-000794</t>
  </si>
  <si>
    <t>p-000736</t>
  </si>
  <si>
    <t>p-000799</t>
  </si>
  <si>
    <t>p-000110</t>
  </si>
  <si>
    <t>p-000814</t>
  </si>
  <si>
    <t>p-000668</t>
  </si>
  <si>
    <t>p-000759</t>
  </si>
  <si>
    <t>p-000762</t>
  </si>
  <si>
    <t>p-000805</t>
  </si>
  <si>
    <t>p-000808</t>
  </si>
  <si>
    <t>p-000812</t>
  </si>
  <si>
    <t>p-000082</t>
  </si>
  <si>
    <t>p-000707</t>
  </si>
  <si>
    <t>p-000825</t>
  </si>
  <si>
    <t>p-000137</t>
  </si>
  <si>
    <t>p-000764</t>
  </si>
  <si>
    <t>p-000773</t>
  </si>
  <si>
    <t>p-000801</t>
  </si>
  <si>
    <t>p-000815</t>
  </si>
  <si>
    <t>p-000129</t>
  </si>
  <si>
    <t>p-000823</t>
  </si>
  <si>
    <t>p-000827</t>
  </si>
  <si>
    <t>p-000826</t>
  </si>
  <si>
    <t>p-000776</t>
  </si>
  <si>
    <t>p-000785</t>
  </si>
  <si>
    <t>p-000810</t>
  </si>
  <si>
    <t>p-000811</t>
  </si>
  <si>
    <t>p-000816</t>
  </si>
  <si>
    <t>p-000818</t>
  </si>
  <si>
    <t>p-000819</t>
  </si>
  <si>
    <t>p-000821</t>
  </si>
  <si>
    <t>p-000824</t>
  </si>
  <si>
    <t>p-000828</t>
  </si>
  <si>
    <t>p-000830</t>
  </si>
  <si>
    <t>p-000831</t>
  </si>
  <si>
    <t>p-000832</t>
  </si>
  <si>
    <t>p-000833</t>
  </si>
  <si>
    <t>p-000834</t>
  </si>
  <si>
    <t>p-000835</t>
  </si>
  <si>
    <t>p-000836</t>
  </si>
  <si>
    <t>p-000837</t>
  </si>
  <si>
    <t>p-000838</t>
  </si>
  <si>
    <t>p-000840</t>
  </si>
  <si>
    <t>p-000841</t>
  </si>
  <si>
    <t>p-000842</t>
  </si>
  <si>
    <t>p-000132</t>
  </si>
  <si>
    <t>p-000720</t>
  </si>
  <si>
    <t>p-000839</t>
  </si>
  <si>
    <t>p-000778</t>
  </si>
  <si>
    <t>p-000104</t>
  </si>
  <si>
    <t>p-000117</t>
  </si>
  <si>
    <t>p-000820</t>
  </si>
  <si>
    <t>p-000730</t>
  </si>
  <si>
    <t>p-000809</t>
  </si>
  <si>
    <t>p-000829</t>
  </si>
  <si>
    <t>p-000796</t>
  </si>
  <si>
    <t>p-000822</t>
  </si>
  <si>
    <t>p-000125</t>
  </si>
  <si>
    <t>p-000160</t>
  </si>
  <si>
    <t>p-000843</t>
  </si>
  <si>
    <t>email_id</t>
  </si>
  <si>
    <t>sent_date</t>
  </si>
  <si>
    <t>email_type</t>
  </si>
  <si>
    <t>subject</t>
  </si>
  <si>
    <t>sending_domain</t>
  </si>
  <si>
    <t>sends</t>
  </si>
  <si>
    <t>delivered</t>
  </si>
  <si>
    <t>bounces</t>
  </si>
  <si>
    <t>opens</t>
  </si>
  <si>
    <t>machine_opens</t>
  </si>
  <si>
    <t>human_opens</t>
  </si>
  <si>
    <t>unsubscribes</t>
  </si>
  <si>
    <t>spam_complaints</t>
  </si>
  <si>
    <t>bounce_rate</t>
  </si>
  <si>
    <t>human_open_rate</t>
  </si>
  <si>
    <t>click_rate</t>
  </si>
  <si>
    <t>click_to_open_rate</t>
  </si>
  <si>
    <t>complaint_rate</t>
  </si>
  <si>
    <t>em-20250701-newsletter</t>
  </si>
  <si>
    <t>The pricing conversation most founders avoid (issue 1)</t>
  </si>
  <si>
    <t>em-20250703-nurture</t>
  </si>
  <si>
    <t>Welcome sequence (weekly batch)</t>
  </si>
  <si>
    <t>em-20250707-webinar_invite</t>
  </si>
  <si>
    <t>Live this Thursday: the Growth OS workshop (July)</t>
  </si>
  <si>
    <t>em-20250708-newsletter</t>
  </si>
  <si>
    <t>The discovery call, line by line (issue 4)</t>
  </si>
  <si>
    <t>em-20250710-nurture</t>
  </si>
  <si>
    <t>em-20250715-newsletter</t>
  </si>
  <si>
    <t>A calmer launch calendar (issue 6)</t>
  </si>
  <si>
    <t>em-20250717-nurture</t>
  </si>
  <si>
    <t>em-20250722-newsletter</t>
  </si>
  <si>
    <t>Three numbers to review every Monday (issue 2)</t>
  </si>
  <si>
    <t>em-20250724-nurture</t>
  </si>
  <si>
    <t>em-20250729-newsletter</t>
  </si>
  <si>
    <t>em-20250731-nurture</t>
  </si>
  <si>
    <t>em-20250805-newsletter</t>
  </si>
  <si>
    <t>em-20250807-nurture</t>
  </si>
  <si>
    <t>em-20250811-webinar_invite</t>
  </si>
  <si>
    <t>Live this Thursday: the Growth OS workshop (August)</t>
  </si>
  <si>
    <t>em-20250812-newsletter</t>
  </si>
  <si>
    <t>How we would hire your first operator (issue 3)</t>
  </si>
  <si>
    <t>em-20250814-nurture</t>
  </si>
  <si>
    <t>em-20250819-newsletter</t>
  </si>
  <si>
    <t>Why busy founders stall at $1M (issue 5)</t>
  </si>
  <si>
    <t>em-20250821-nurture</t>
  </si>
  <si>
    <t>em-20250826-newsletter</t>
  </si>
  <si>
    <t>em-20250828-nurture</t>
  </si>
  <si>
    <t>em-20250902-newsletter</t>
  </si>
  <si>
    <t>em-20250904-nurture</t>
  </si>
  <si>
    <t>em-20250908-webinar_invite</t>
  </si>
  <si>
    <t>Live this Thursday: the Growth OS workshop (September)</t>
  </si>
  <si>
    <t>em-20250909-newsletter</t>
  </si>
  <si>
    <t>em-20250911-nurture</t>
  </si>
  <si>
    <t>em-20250916-newsletter</t>
  </si>
  <si>
    <t>em-20250918-nurture</t>
  </si>
  <si>
    <t>em-20250923-newsletter</t>
  </si>
  <si>
    <t>em-20250925-nurture</t>
  </si>
  <si>
    <t>em-20250930-newsletter</t>
  </si>
  <si>
    <t>em-20251002-nurture</t>
  </si>
  <si>
    <t>em-20251006-webinar_invite</t>
  </si>
  <si>
    <t>Live this Thursday: the Growth OS workshop (October)</t>
  </si>
  <si>
    <t>em-20251007-newsletter</t>
  </si>
  <si>
    <t>em-20251009-nurture</t>
  </si>
  <si>
    <t>em-20251014-newsletter</t>
  </si>
  <si>
    <t>em-20251016-nurture</t>
  </si>
  <si>
    <t>em-20251021-newsletter</t>
  </si>
  <si>
    <t>em-20251023-nurture</t>
  </si>
  <si>
    <t>em-20251028-newsletter</t>
  </si>
  <si>
    <t>em-20251030-nurture</t>
  </si>
  <si>
    <t>em-20251104-newsletter</t>
  </si>
  <si>
    <t>em-20251106-nurture</t>
  </si>
  <si>
    <t>em-20251110-webinar_invite</t>
  </si>
  <si>
    <t>Live this Thursday: the Growth OS workshop (November)</t>
  </si>
  <si>
    <t>em-20251111-newsletter</t>
  </si>
  <si>
    <t>em-20251113-nurture</t>
  </si>
  <si>
    <t>em-20251118-newsletter</t>
  </si>
  <si>
    <t>em-20251120-nurture</t>
  </si>
  <si>
    <t>em-20251125-newsletter</t>
  </si>
  <si>
    <t>em-20251127-nurture</t>
  </si>
  <si>
    <t>em-20251202-newsletter</t>
  </si>
  <si>
    <t>em-20251204-nurture</t>
  </si>
  <si>
    <t>em-20251208-webinar_invite</t>
  </si>
  <si>
    <t>Live this Thursday: the Growth OS workshop (December)</t>
  </si>
  <si>
    <t>em-20251209-newsletter</t>
  </si>
  <si>
    <t>em-20251211-nurture</t>
  </si>
  <si>
    <t>em-20251216-newsletter</t>
  </si>
  <si>
    <t>em-20251218-nurture</t>
  </si>
  <si>
    <t>em-20251223-newsletter</t>
  </si>
  <si>
    <t>em-20251225-nurture</t>
  </si>
  <si>
    <t>em-20251230-newsletter</t>
  </si>
  <si>
    <t>em-20260101-nurture</t>
  </si>
  <si>
    <t>em-20260105-webinar_invite</t>
  </si>
  <si>
    <t>Live this Thursday: the Growth OS workshop (January)</t>
  </si>
  <si>
    <t>em-20260106-newsletter</t>
  </si>
  <si>
    <t>em-20260108-nurture</t>
  </si>
  <si>
    <t>em-20260113-newsletter</t>
  </si>
  <si>
    <t>em-20260115-nurture</t>
  </si>
  <si>
    <t>em-20260120-newsletter</t>
  </si>
  <si>
    <t>em-20260122-nurture</t>
  </si>
  <si>
    <t>em-20260127-newsletter</t>
  </si>
  <si>
    <t>em-20260129-nurture</t>
  </si>
  <si>
    <t>em-20260203-newsletter</t>
  </si>
  <si>
    <t>em-20260205-nurture</t>
  </si>
  <si>
    <t>em-20260209-webinar_invite</t>
  </si>
  <si>
    <t>Live this Thursday: the Growth OS workshop (February)</t>
  </si>
  <si>
    <t>em-20260210-newsletter</t>
  </si>
  <si>
    <t>em-20260212-nurture</t>
  </si>
  <si>
    <t>em-20260217-newsletter</t>
  </si>
  <si>
    <t>em-20260219-nurture</t>
  </si>
  <si>
    <t>em-20260224-newsletter</t>
  </si>
  <si>
    <t>em-20260226-nurture</t>
  </si>
  <si>
    <t>em-20260303-newsletter</t>
  </si>
  <si>
    <t>em-20260305-nurture</t>
  </si>
  <si>
    <t>em-20260309-webinar_invite</t>
  </si>
  <si>
    <t>Live this Thursday: the Growth OS workshop (March)</t>
  </si>
  <si>
    <t>em-20260310-newsletter</t>
  </si>
  <si>
    <t>em-20260312-nurture</t>
  </si>
  <si>
    <t>em-20260317-newsletter</t>
  </si>
  <si>
    <t>em-20260319-nurture</t>
  </si>
  <si>
    <t>em-20260324-newsletter</t>
  </si>
  <si>
    <t>em-20260326-nurture</t>
  </si>
  <si>
    <t>em-20260331-newsletter</t>
  </si>
  <si>
    <t>em-20260402-nurture</t>
  </si>
  <si>
    <t>em-20260406-webinar_invite</t>
  </si>
  <si>
    <t>Live this Thursday: the Growth OS workshop (April)</t>
  </si>
  <si>
    <t>em-20260407-newsletter</t>
  </si>
  <si>
    <t>em-20260409-nurture</t>
  </si>
  <si>
    <t>em-20260414-newsletter</t>
  </si>
  <si>
    <t>em-20260416-nurture</t>
  </si>
  <si>
    <t>em-20260421-newsletter</t>
  </si>
  <si>
    <t>em-20260423-nurture</t>
  </si>
  <si>
    <t>em-20260428-newsletter</t>
  </si>
  <si>
    <t>em-20260430-nurture</t>
  </si>
  <si>
    <t>em-20260505-newsletter</t>
  </si>
  <si>
    <t>em-20260507-nurture</t>
  </si>
  <si>
    <t>em-20260511-webinar_invite</t>
  </si>
  <si>
    <t>Live this Thursday: the Growth OS workshop (May)</t>
  </si>
  <si>
    <t>em-20260512-newsletter</t>
  </si>
  <si>
    <t>em-20260514-nurture</t>
  </si>
  <si>
    <t>em-20260519-newsletter</t>
  </si>
  <si>
    <t>em-20260521-nurture</t>
  </si>
  <si>
    <t>em-20260526-newsletter</t>
  </si>
  <si>
    <t>em-20260528-nurture</t>
  </si>
  <si>
    <t>em-20260602-newsletter</t>
  </si>
  <si>
    <t>em-20260604-nurture</t>
  </si>
  <si>
    <t>em-20260608-webinar_invite</t>
  </si>
  <si>
    <t>Live this Thursday: the Growth OS workshop (June)</t>
  </si>
  <si>
    <t>em-20260609-newsletter</t>
  </si>
  <si>
    <t>em-20260611-nurture</t>
  </si>
  <si>
    <t>em-20260616-newsletter</t>
  </si>
  <si>
    <t>em-20260618-nurture</t>
  </si>
  <si>
    <t>em-20260623-newsletter</t>
  </si>
  <si>
    <t>em-20260625-nurture</t>
  </si>
  <si>
    <t>em-20260630-newsletter</t>
  </si>
  <si>
    <t>em-20260702-nurture</t>
  </si>
  <si>
    <t>em-20260706-webinar_invite</t>
  </si>
  <si>
    <t>em-20260707-newsletter</t>
  </si>
  <si>
    <t>em-20260709-nurture</t>
  </si>
  <si>
    <t>em-20260714-newsletter</t>
  </si>
  <si>
    <t>em-20260716-nurture</t>
  </si>
  <si>
    <t>em-20260721-newsletter</t>
  </si>
  <si>
    <t>em-20260723-nurture</t>
  </si>
  <si>
    <t>em-20260728-newsletter</t>
  </si>
  <si>
    <t>em-20260730-nurture</t>
  </si>
  <si>
    <t>em-20260804-newsletter</t>
  </si>
  <si>
    <t>em-20260806-nurture</t>
  </si>
  <si>
    <t>em-20260810-webinar_invite</t>
  </si>
  <si>
    <t>em-20260811-newsletter</t>
  </si>
  <si>
    <t>em-20260813-nurture</t>
  </si>
  <si>
    <t>em-20260818-newsletter</t>
  </si>
  <si>
    <t>em-20260820-nurture</t>
  </si>
  <si>
    <t>em-20260825-newsletter</t>
  </si>
  <si>
    <t>em-20260827-nurture</t>
  </si>
  <si>
    <t>em-20260901-newsletter</t>
  </si>
  <si>
    <t>em-20260903-nurture</t>
  </si>
  <si>
    <t>em-20260907-webinar_invite</t>
  </si>
  <si>
    <t>em-20260908-newsletter</t>
  </si>
  <si>
    <t>em-20260910-nurture</t>
  </si>
  <si>
    <t>em-20260911-promo</t>
  </si>
  <si>
    <t>Enrollment for the Accelerator closes next Friday</t>
  </si>
  <si>
    <t>em-20260915-newsletter</t>
  </si>
  <si>
    <t>em-20260915-promo</t>
  </si>
  <si>
    <t>Three days left to enroll</t>
  </si>
  <si>
    <t>em-20260917-nurture</t>
  </si>
  <si>
    <t>em-20260917-promo</t>
  </si>
  <si>
    <t>Doors close tomorrow</t>
  </si>
  <si>
    <t>em-20260918-promo</t>
  </si>
  <si>
    <t>Last call: enrollment closes tonight</t>
  </si>
  <si>
    <t>em-20260922-newsletter</t>
  </si>
  <si>
    <t>em-20260924-nurture</t>
  </si>
  <si>
    <t>campaign_name</t>
  </si>
  <si>
    <t>source</t>
  </si>
  <si>
    <t>medium</t>
  </si>
  <si>
    <t>channel_group</t>
  </si>
  <si>
    <t>landing_page</t>
  </si>
  <si>
    <t>is_paid</t>
  </si>
  <si>
    <t>registry_valid</t>
  </si>
  <si>
    <t>campaign_order</t>
  </si>
  <si>
    <t>paid_social</t>
  </si>
  <si>
    <t>Paid social</t>
  </si>
  <si>
    <t>/growth-guide</t>
  </si>
  <si>
    <t>paid_search</t>
  </si>
  <si>
    <t>Paid search</t>
  </si>
  <si>
    <t>/executive</t>
  </si>
  <si>
    <t>fb_broad</t>
  </si>
  <si>
    <t>FB</t>
  </si>
  <si>
    <t>/webinar</t>
  </si>
  <si>
    <t>/apply</t>
  </si>
  <si>
    <t>none</t>
  </si>
  <si>
    <t>Direct</t>
  </si>
  <si>
    <t>/</t>
  </si>
  <si>
    <t>email</t>
  </si>
  <si>
    <t>owned_email</t>
  </si>
  <si>
    <t>Owned email</t>
  </si>
  <si>
    <t>partner</t>
  </si>
  <si>
    <t>referral</t>
  </si>
  <si>
    <t>Partner</t>
  </si>
  <si>
    <t>zoom</t>
  </si>
  <si>
    <t>webinar</t>
  </si>
  <si>
    <t>event</t>
  </si>
  <si>
    <t>Webinar</t>
  </si>
  <si>
    <t>youtube</t>
  </si>
  <si>
    <t>organic_video</t>
  </si>
  <si>
    <t>Organic video</t>
  </si>
  <si>
    <t>Unattributed</t>
  </si>
  <si>
    <t>customers</t>
  </si>
  <si>
    <t>net_collected_cents</t>
  </si>
  <si>
    <t>ordinal</t>
  </si>
  <si>
    <t>step</t>
  </si>
  <si>
    <t>kind</t>
  </si>
  <si>
    <t>cents</t>
  </si>
  <si>
    <t>step_label</t>
  </si>
  <si>
    <t>note</t>
  </si>
  <si>
    <t>crm_booked</t>
  </si>
  <si>
    <t>total</t>
  </si>
  <si>
    <t>CRM bookings</t>
  </si>
  <si>
    <t>Closed-won deal value in the CRM</t>
  </si>
  <si>
    <t>duplicate_deals</t>
  </si>
  <si>
    <t>delta</t>
  </si>
  <si>
    <t>Duplicate deals</t>
  </si>
  <si>
    <t>Deals the CRM migration created twice</t>
  </si>
  <si>
    <t>not_yet_collected</t>
  </si>
  <si>
    <t>Not yet collected</t>
  </si>
  <si>
    <t>Booked, with instalments still to come</t>
  </si>
  <si>
    <t>unlinked_payments</t>
  </si>
  <si>
    <t>Unlinked payments</t>
  </si>
  <si>
    <t>Cash whose deal link the migration lost</t>
  </si>
  <si>
    <t>renewals</t>
  </si>
  <si>
    <t>Renewals</t>
  </si>
  <si>
    <t>Subscription renewals, which never pass through a deal</t>
  </si>
  <si>
    <t>gross_collected</t>
  </si>
  <si>
    <t>Payments received</t>
  </si>
  <si>
    <t>refunds</t>
  </si>
  <si>
    <t>Money returned</t>
  </si>
  <si>
    <t>net_collected</t>
  </si>
  <si>
    <t>Cash the business kept</t>
  </si>
  <si>
    <t>reported_conversions</t>
  </si>
  <si>
    <t>reported_value_cents</t>
  </si>
  <si>
    <t>warehouse_net_cash_cents</t>
  </si>
  <si>
    <t>stage</t>
  </si>
  <si>
    <t>people</t>
  </si>
  <si>
    <t>from_previous_rate</t>
  </si>
  <si>
    <t>stage_label</t>
  </si>
  <si>
    <t>lead</t>
  </si>
  <si>
    <t>mql</t>
  </si>
  <si>
    <t>call_booked</t>
  </si>
  <si>
    <t>Call booked</t>
  </si>
  <si>
    <t>call_attended</t>
  </si>
  <si>
    <t>Call attended</t>
  </si>
  <si>
    <t>opportunity</t>
  </si>
  <si>
    <t>closed_won</t>
  </si>
  <si>
    <t>paid</t>
  </si>
  <si>
    <t>Paid</t>
  </si>
  <si>
    <t>activated</t>
  </si>
  <si>
    <t>Access activated</t>
  </si>
  <si>
    <t>renewed</t>
  </si>
  <si>
    <t>Renewed</t>
  </si>
  <si>
    <t>experiment_id</t>
  </si>
  <si>
    <t>variant_id</t>
  </si>
  <si>
    <t>label</t>
  </si>
  <si>
    <t>cta_text</t>
  </si>
  <si>
    <t>visitors</t>
  </si>
  <si>
    <t>lead_rate</t>
  </si>
  <si>
    <t>mql_per_lead</t>
  </si>
  <si>
    <t>net_cash_per_visitor_cents</t>
  </si>
  <si>
    <t>cta_growth_plan</t>
  </si>
  <si>
    <t>cta_a</t>
  </si>
  <si>
    <t>Control: Book a strategy call</t>
  </si>
  <si>
    <t>Book a strategy call</t>
  </si>
  <si>
    <t>cta_b</t>
  </si>
  <si>
    <t>Variant: Get my growth plan</t>
  </si>
  <si>
    <t>Get my growth plan</t>
  </si>
  <si>
    <t>content_id</t>
  </si>
  <si>
    <t>title</t>
  </si>
  <si>
    <t>topic</t>
  </si>
  <si>
    <t>views</t>
  </si>
  <si>
    <t>engaged_leads</t>
  </si>
  <si>
    <t>influenced_net_cash_cents</t>
  </si>
  <si>
    <t>video-01</t>
  </si>
  <si>
    <t>Why founders burn out (ep. 1)</t>
  </si>
  <si>
    <t>mindset</t>
  </si>
  <si>
    <t>video-07</t>
  </si>
  <si>
    <t>The discovery call script (ep. 7)</t>
  </si>
  <si>
    <t>sales</t>
  </si>
  <si>
    <t>video-05</t>
  </si>
  <si>
    <t>Morning routine of a CEO (ep. 5)</t>
  </si>
  <si>
    <t>video-03</t>
  </si>
  <si>
    <t>Delegating the inbox (ep. 3)</t>
  </si>
  <si>
    <t>systems</t>
  </si>
  <si>
    <t>video-13</t>
  </si>
  <si>
    <t>Founder operating system (ep. 13)</t>
  </si>
  <si>
    <t>video-06</t>
  </si>
  <si>
    <t>Value-based pricing teardown (ep. 6)</t>
  </si>
  <si>
    <t>pricing</t>
  </si>
  <si>
    <t>video-02</t>
  </si>
  <si>
    <t>Handling the budget objection (ep. 2)</t>
  </si>
  <si>
    <t>video-15</t>
  </si>
  <si>
    <t>Value-based pricing teardown (ep. 15)</t>
  </si>
  <si>
    <t>video-08</t>
  </si>
  <si>
    <t>Handling the budget objection (ep. 8)</t>
  </si>
  <si>
    <t>video-12</t>
  </si>
  <si>
    <t>Closing without pressure (ep. 12)</t>
  </si>
  <si>
    <t>video-04</t>
  </si>
  <si>
    <t>Your first operations hire (ep. 4)</t>
  </si>
  <si>
    <t>hiring</t>
  </si>
  <si>
    <t>video-16</t>
  </si>
  <si>
    <t>Raise prices without losing clients (ep. 16)</t>
  </si>
  <si>
    <t>video-18</t>
  </si>
  <si>
    <t>Delegating the inbox (ep. 18)</t>
  </si>
  <si>
    <t>video-19</t>
  </si>
  <si>
    <t>Your first operations hire (ep. 19)</t>
  </si>
  <si>
    <t>video-23</t>
  </si>
  <si>
    <t>Weekly metrics that matter (ep. 23)</t>
  </si>
  <si>
    <t>video-10</t>
  </si>
  <si>
    <t>Why founders burn out (ep. 10)</t>
  </si>
  <si>
    <t>video-25</t>
  </si>
  <si>
    <t>Why founders burn out (ep. 25)</t>
  </si>
  <si>
    <t>video-09</t>
  </si>
  <si>
    <t>Scorecards for new hires (ep. 9)</t>
  </si>
  <si>
    <t>video-21</t>
  </si>
  <si>
    <t>Value-based pricing teardown (ep. 21)</t>
  </si>
  <si>
    <t>video-11</t>
  </si>
  <si>
    <t>Pricing a high-ticket offer (ep. 11)</t>
  </si>
  <si>
    <t>video-17</t>
  </si>
  <si>
    <t>Handling the budget objection (ep. 17)</t>
  </si>
  <si>
    <t>video-14</t>
  </si>
  <si>
    <t>Hiring an integrator (ep. 14)</t>
  </si>
  <si>
    <t>video-26</t>
  </si>
  <si>
    <t>Pricing a high-ticket offer (ep. 26)</t>
  </si>
  <si>
    <t>video-28</t>
  </si>
  <si>
    <t>Founder operating system (ep. 28)</t>
  </si>
  <si>
    <t>video-27</t>
  </si>
  <si>
    <t>Closing without pressure (ep. 27)</t>
  </si>
  <si>
    <t>video-20</t>
  </si>
  <si>
    <t>Morning routine of a CEO (ep. 20)</t>
  </si>
  <si>
    <t>video-22</t>
  </si>
  <si>
    <t>The discovery call script (ep. 22)</t>
  </si>
  <si>
    <t>video-24</t>
  </si>
  <si>
    <t>Scorecards for new hires (ep. 24)</t>
  </si>
  <si>
    <t>video-29</t>
  </si>
  <si>
    <t>Handling the budget objection (ep. 29)</t>
  </si>
  <si>
    <t>video-30</t>
  </si>
  <si>
    <t>Thinking in decades (ep. 30)</t>
  </si>
  <si>
    <t>check_order</t>
  </si>
  <si>
    <t>area</t>
  </si>
  <si>
    <t>check_name</t>
  </si>
  <si>
    <t>rate</t>
  </si>
  <si>
    <t>target</t>
  </si>
  <si>
    <t>Tracking</t>
  </si>
  <si>
    <t>UTMs present</t>
  </si>
  <si>
    <t>Registered campaign</t>
  </si>
  <si>
    <t>CRM</t>
  </si>
  <si>
    <t>Owner assigned</t>
  </si>
  <si>
    <t>Attribution</t>
  </si>
  <si>
    <t>Buyer has a touch</t>
  </si>
  <si>
    <t>Payments</t>
  </si>
  <si>
    <t>Payment matched</t>
  </si>
  <si>
    <t>Migration</t>
  </si>
  <si>
    <t>Contact migrated</t>
  </si>
  <si>
    <t>Owner kept</t>
  </si>
  <si>
    <t>Source kept</t>
  </si>
  <si>
    <t>Stage kept</t>
  </si>
  <si>
    <t>eligible_touches</t>
  </si>
  <si>
    <t>touches_with_utm</t>
  </si>
  <si>
    <t>registered_touches</t>
  </si>
  <si>
    <t>owned_contacts</t>
  </si>
  <si>
    <t>contacts</t>
  </si>
  <si>
    <t>duplicate_contact_rows</t>
  </si>
  <si>
    <t>unmatched_payments</t>
  </si>
  <si>
    <t>payments</t>
  </si>
  <si>
    <t>paid_contact_count</t>
  </si>
  <si>
    <t>valid_paid_journeys</t>
  </si>
  <si>
    <t>legacy_contacts</t>
  </si>
  <si>
    <t>migrated_contacts</t>
  </si>
  <si>
    <t>missing_contacts</t>
  </si>
  <si>
    <t>owner_match_rate</t>
  </si>
  <si>
    <t>source_match_rate</t>
  </si>
  <si>
    <t>stage_match_rate</t>
  </si>
  <si>
    <t>duplicate_crm_rows</t>
  </si>
  <si>
    <t>link_id</t>
  </si>
  <si>
    <t>channel</t>
  </si>
  <si>
    <t>utm_source</t>
  </si>
  <si>
    <t>utm_medium</t>
  </si>
  <si>
    <t>utm_campaign</t>
  </si>
  <si>
    <t>missing_utm</t>
  </si>
  <si>
    <t>unregistered_campaign</t>
  </si>
  <si>
    <t>off_taxonomy</t>
  </si>
  <si>
    <t>recent_clicks</t>
  </si>
  <si>
    <t>ig-bio</t>
  </si>
  <si>
    <t>instagram</t>
  </si>
  <si>
    <t>li-launch</t>
  </si>
  <si>
    <t>social</t>
  </si>
  <si>
    <t>nl-deadline</t>
  </si>
  <si>
    <t>nl-guide</t>
  </si>
  <si>
    <t>pod-apply</t>
  </si>
  <si>
    <t>podcast</t>
  </si>
  <si>
    <t>pod-ep41</t>
  </si>
  <si>
    <t>Podcast</t>
  </si>
  <si>
    <t>web-invite</t>
  </si>
  <si>
    <t>yt-guide</t>
  </si>
  <si>
    <t>yt-q3-guide</t>
  </si>
  <si>
    <t>youtube_q3_guide</t>
  </si>
  <si>
    <t>subscription_id</t>
  </si>
  <si>
    <t>customer_id</t>
  </si>
  <si>
    <t>plan_id</t>
  </si>
  <si>
    <t>due_date</t>
  </si>
  <si>
    <t>failed_attempts</t>
  </si>
  <si>
    <t>risk_level</t>
  </si>
  <si>
    <t>risk_order</t>
  </si>
  <si>
    <t>sub-000170</t>
  </si>
  <si>
    <t>c-001776</t>
  </si>
  <si>
    <t>founder_community</t>
  </si>
  <si>
    <t>high</t>
  </si>
  <si>
    <t>sub-000179</t>
  </si>
  <si>
    <t>c-001888</t>
  </si>
  <si>
    <t>sub-000202</t>
  </si>
  <si>
    <t>c-002142</t>
  </si>
  <si>
    <t>sub-000221</t>
  </si>
  <si>
    <t>c-002398</t>
  </si>
  <si>
    <t>not_due</t>
  </si>
  <si>
    <t>sub-000190</t>
  </si>
  <si>
    <t>c-002016</t>
  </si>
  <si>
    <t>sub-000224</t>
  </si>
  <si>
    <t>c-002426</t>
  </si>
  <si>
    <t>sub-000273</t>
  </si>
  <si>
    <t>c-003004</t>
  </si>
  <si>
    <t>sub-000292</t>
  </si>
  <si>
    <t>c-003135</t>
  </si>
  <si>
    <t>sub-000303</t>
  </si>
  <si>
    <t>c-003195</t>
  </si>
  <si>
    <t>sub-000259</t>
  </si>
  <si>
    <t>c-002819</t>
  </si>
  <si>
    <t>sub-000314</t>
  </si>
  <si>
    <t>c-003371</t>
  </si>
  <si>
    <t>sub-000327</t>
  </si>
  <si>
    <t>c-003466</t>
  </si>
  <si>
    <t>sub-000294</t>
  </si>
  <si>
    <t>c-003150</t>
  </si>
  <si>
    <t>sub-000334</t>
  </si>
  <si>
    <t>c-003553</t>
  </si>
  <si>
    <t>sub-000338</t>
  </si>
  <si>
    <t>c-003566</t>
  </si>
  <si>
    <t>sub-000284</t>
  </si>
  <si>
    <t>c-003090</t>
  </si>
  <si>
    <t>sub-000319</t>
  </si>
  <si>
    <t>c-003399</t>
  </si>
  <si>
    <t>sub-000359</t>
  </si>
  <si>
    <t>c-003779</t>
  </si>
  <si>
    <t>sub-000345</t>
  </si>
  <si>
    <t>c-003642</t>
  </si>
  <si>
    <t>sub-000354</t>
  </si>
  <si>
    <t>c-003726</t>
  </si>
  <si>
    <t>sub-000382</t>
  </si>
  <si>
    <t>c-004010</t>
  </si>
  <si>
    <t>sub-000388</t>
  </si>
  <si>
    <t>c-004118</t>
  </si>
  <si>
    <t>sub-000406</t>
  </si>
  <si>
    <t>c-004334</t>
  </si>
  <si>
    <t>sub-000414</t>
  </si>
  <si>
    <t>c-004417</t>
  </si>
  <si>
    <t>sub-000412</t>
  </si>
  <si>
    <t>c-004405</t>
  </si>
  <si>
    <t>sub-000417</t>
  </si>
  <si>
    <t>c-004461</t>
  </si>
  <si>
    <t>sub-000362</t>
  </si>
  <si>
    <t>c-003788</t>
  </si>
  <si>
    <t>sub-000435</t>
  </si>
  <si>
    <t>c-004624</t>
  </si>
  <si>
    <t>sub-000455</t>
  </si>
  <si>
    <t>c-004800</t>
  </si>
  <si>
    <t>sub-000486</t>
  </si>
  <si>
    <t>c-005006</t>
  </si>
  <si>
    <t>sub-000504</t>
  </si>
  <si>
    <t>c-005187</t>
  </si>
  <si>
    <t>sub-000519</t>
  </si>
  <si>
    <t>c-005330</t>
  </si>
  <si>
    <t>sub-000480</t>
  </si>
  <si>
    <t>c-004969</t>
  </si>
  <si>
    <t>sub-000535</t>
  </si>
  <si>
    <t>c-005471</t>
  </si>
  <si>
    <t>sub-000514</t>
  </si>
  <si>
    <t>c-005302</t>
  </si>
  <si>
    <t>sub-000529</t>
  </si>
  <si>
    <t>c-005412</t>
  </si>
  <si>
    <t>sub-000540</t>
  </si>
  <si>
    <t>c-005550</t>
  </si>
  <si>
    <t>sub-000576</t>
  </si>
  <si>
    <t>c-005962</t>
  </si>
  <si>
    <t>sub-000565</t>
  </si>
  <si>
    <t>c-005774</t>
  </si>
  <si>
    <t>sub-000548</t>
  </si>
  <si>
    <t>c-005615</t>
  </si>
  <si>
    <t>sub-000578</t>
  </si>
  <si>
    <t>c-005967</t>
  </si>
  <si>
    <t>sub-000599</t>
  </si>
  <si>
    <t>c-006252</t>
  </si>
  <si>
    <t>sub-000591</t>
  </si>
  <si>
    <t>c-006188</t>
  </si>
  <si>
    <t>sub-000640</t>
  </si>
  <si>
    <t>c-006659</t>
  </si>
  <si>
    <t>sub-000657</t>
  </si>
  <si>
    <t>c-006768</t>
  </si>
  <si>
    <t>sub-000659</t>
  </si>
  <si>
    <t>c-006771</t>
  </si>
  <si>
    <t>sub-000635</t>
  </si>
  <si>
    <t>c-006651</t>
  </si>
  <si>
    <t>sub-000703</t>
  </si>
  <si>
    <t>c-007162</t>
  </si>
  <si>
    <t>sub-000676</t>
  </si>
  <si>
    <t>c-006993</t>
  </si>
  <si>
    <t>sub-000691</t>
  </si>
  <si>
    <t>c-007072</t>
  </si>
  <si>
    <t>sub-000683</t>
  </si>
  <si>
    <t>c-007014</t>
  </si>
  <si>
    <t>sub-000730</t>
  </si>
  <si>
    <t>c-007399</t>
  </si>
  <si>
    <t>sub-000711</t>
  </si>
  <si>
    <t>c-007202</t>
  </si>
  <si>
    <t>sub-000716</t>
  </si>
  <si>
    <t>c-007263</t>
  </si>
  <si>
    <t>sub-000681</t>
  </si>
  <si>
    <t>c-007013</t>
  </si>
  <si>
    <t>sub-000743</t>
  </si>
  <si>
    <t>c-007526</t>
  </si>
  <si>
    <t>sub-000751</t>
  </si>
  <si>
    <t>c-007614</t>
  </si>
  <si>
    <t>sub-000754</t>
  </si>
  <si>
    <t>c-007650</t>
  </si>
  <si>
    <t>sub-000784</t>
  </si>
  <si>
    <t>c-007937</t>
  </si>
  <si>
    <t>sub-000736</t>
  </si>
  <si>
    <t>c-007488</t>
  </si>
  <si>
    <t>sub-000738</t>
  </si>
  <si>
    <t>c-007499</t>
  </si>
  <si>
    <t>sub-000798</t>
  </si>
  <si>
    <t>c-008049</t>
  </si>
  <si>
    <t>sub-000795</t>
  </si>
  <si>
    <t>c-008040</t>
  </si>
  <si>
    <t>sub-000808</t>
  </si>
  <si>
    <t>c-008154</t>
  </si>
  <si>
    <t>sub-000792</t>
  </si>
  <si>
    <t>c-008034</t>
  </si>
  <si>
    <t>sub-000877</t>
  </si>
  <si>
    <t>c-008682</t>
  </si>
  <si>
    <t>sub-000840</t>
  </si>
  <si>
    <t>c-008501</t>
  </si>
  <si>
    <t>sub-000857</t>
  </si>
  <si>
    <t>c-008588</t>
  </si>
  <si>
    <t>sub-000843</t>
  </si>
  <si>
    <t>c-008506</t>
  </si>
  <si>
    <t>sub-000826</t>
  </si>
  <si>
    <t>c-008365</t>
  </si>
  <si>
    <t>sub-000879</t>
  </si>
  <si>
    <t>c-008683</t>
  </si>
  <si>
    <t>sub-000869</t>
  </si>
  <si>
    <t>c-008645</t>
  </si>
  <si>
    <t>sub-000873</t>
  </si>
  <si>
    <t>c-008668</t>
  </si>
  <si>
    <t>sub-000850</t>
  </si>
  <si>
    <t>c-008548</t>
  </si>
  <si>
    <t>sub-000861</t>
  </si>
  <si>
    <t>c-008597</t>
  </si>
  <si>
    <t>sub-000881</t>
  </si>
  <si>
    <t>c-008694</t>
  </si>
  <si>
    <t>sub-000883</t>
  </si>
  <si>
    <t>c-008730</t>
  </si>
  <si>
    <t>sub-000904</t>
  </si>
  <si>
    <t>c-008914</t>
  </si>
  <si>
    <t>sub-000923</t>
  </si>
  <si>
    <t>c-009052</t>
  </si>
  <si>
    <t>sub-000928</t>
  </si>
  <si>
    <t>c-009098</t>
  </si>
  <si>
    <t>sub-000947</t>
  </si>
  <si>
    <t>c-009272</t>
  </si>
  <si>
    <t>sub-000911</t>
  </si>
  <si>
    <t>c-008959</t>
  </si>
  <si>
    <t>sub-000916</t>
  </si>
  <si>
    <t>c-008986</t>
  </si>
  <si>
    <t>sub-000942</t>
  </si>
  <si>
    <t>c-009256</t>
  </si>
  <si>
    <t>sub-000949</t>
  </si>
  <si>
    <t>c-009290</t>
  </si>
  <si>
    <t>sub-000996</t>
  </si>
  <si>
    <t>c-009712</t>
  </si>
  <si>
    <t>sub-000952</t>
  </si>
  <si>
    <t>c-009294</t>
  </si>
  <si>
    <t>sub-000969</t>
  </si>
  <si>
    <t>c-009477</t>
  </si>
  <si>
    <t>sub-001000</t>
  </si>
  <si>
    <t>c-009753</t>
  </si>
  <si>
    <t>sub-000965</t>
  </si>
  <si>
    <t>c-009461</t>
  </si>
  <si>
    <t>sub-000972</t>
  </si>
  <si>
    <t>c-009493</t>
  </si>
  <si>
    <t>sub-001029</t>
  </si>
  <si>
    <t>c-010223</t>
  </si>
  <si>
    <t>sub-001067</t>
  </si>
  <si>
    <t>c-010713</t>
  </si>
  <si>
    <t>sub-001023</t>
  </si>
  <si>
    <t>c-010137</t>
  </si>
  <si>
    <t>sub-001049</t>
  </si>
  <si>
    <t>c-010490</t>
  </si>
  <si>
    <t>sub-001032</t>
  </si>
  <si>
    <t>c-010228</t>
  </si>
  <si>
    <t>sub-001060</t>
  </si>
  <si>
    <t>c-010610</t>
  </si>
  <si>
    <t>sub-001084</t>
  </si>
  <si>
    <t>c-010879</t>
  </si>
  <si>
    <t>sub-000002</t>
  </si>
  <si>
    <t>c-000002</t>
  </si>
  <si>
    <t>sub-001079</t>
  </si>
  <si>
    <t>c-010816</t>
  </si>
  <si>
    <t>sub-001070</t>
  </si>
  <si>
    <t>c-010739</t>
  </si>
  <si>
    <t>sub-001093</t>
  </si>
  <si>
    <t>c-010976</t>
  </si>
  <si>
    <t>sub-001090</t>
  </si>
  <si>
    <t>c-010934</t>
  </si>
  <si>
    <t>sub-000033</t>
  </si>
  <si>
    <t>c-000335</t>
  </si>
  <si>
    <t>sub-000010</t>
  </si>
  <si>
    <t>c-000084</t>
  </si>
  <si>
    <t>sub-001088</t>
  </si>
  <si>
    <t>c-010927</t>
  </si>
  <si>
    <t>sub-000035</t>
  </si>
  <si>
    <t>c-000344</t>
  </si>
  <si>
    <t>sub-001116</t>
  </si>
  <si>
    <t>c-011190</t>
  </si>
  <si>
    <t>sub-001125</t>
  </si>
  <si>
    <t>c-011284</t>
  </si>
  <si>
    <t>sub-001131</t>
  </si>
  <si>
    <t>c-011322</t>
  </si>
  <si>
    <t>sub-001128</t>
  </si>
  <si>
    <t>c-011301</t>
  </si>
  <si>
    <t>sub-001095</t>
  </si>
  <si>
    <t>c-011002</t>
  </si>
  <si>
    <t>sub-001142</t>
  </si>
  <si>
    <t>c-011444</t>
  </si>
  <si>
    <t>sub-001175</t>
  </si>
  <si>
    <t>c-011701</t>
  </si>
  <si>
    <t>sub-000071</t>
  </si>
  <si>
    <t>c-000830</t>
  </si>
  <si>
    <t>sub-000083</t>
  </si>
  <si>
    <t>c-001010</t>
  </si>
  <si>
    <t>sub-001136</t>
  </si>
  <si>
    <t>c-011398</t>
  </si>
  <si>
    <t>sub-001208</t>
  </si>
  <si>
    <t>c-012020</t>
  </si>
  <si>
    <t>sub-000110</t>
  </si>
  <si>
    <t>c-001216</t>
  </si>
  <si>
    <t>sub-000073</t>
  </si>
  <si>
    <t>c-000839</t>
  </si>
  <si>
    <t>sub-001167</t>
  </si>
  <si>
    <t>c-011648</t>
  </si>
  <si>
    <t>sub-001202</t>
  </si>
  <si>
    <t>c-011978</t>
  </si>
  <si>
    <t>sub-000068</t>
  </si>
  <si>
    <t>c-000789</t>
  </si>
  <si>
    <t>sub-000085</t>
  </si>
  <si>
    <t>c-001023</t>
  </si>
  <si>
    <t>sub-001219</t>
  </si>
  <si>
    <t>c-012174</t>
  </si>
  <si>
    <t>sub-001226</t>
  </si>
  <si>
    <t>c-012233</t>
  </si>
  <si>
    <t>sub-001234</t>
  </si>
  <si>
    <t>c-012321</t>
  </si>
  <si>
    <t>sub-001229</t>
  </si>
  <si>
    <t>c-012239</t>
  </si>
  <si>
    <t>sub-000133</t>
  </si>
  <si>
    <t>c-001473</t>
  </si>
  <si>
    <t>sub-001260</t>
  </si>
  <si>
    <t>c-012753</t>
  </si>
  <si>
    <t>sub-000102</t>
  </si>
  <si>
    <t>c-001124</t>
  </si>
  <si>
    <t>sub-000164</t>
  </si>
  <si>
    <t>c-001749</t>
  </si>
  <si>
    <t>sub-001286</t>
  </si>
  <si>
    <t>c-013135</t>
  </si>
  <si>
    <t>sub-000158</t>
  </si>
  <si>
    <t>c-001738</t>
  </si>
  <si>
    <t>sub-001302</t>
  </si>
  <si>
    <t>c-013384</t>
  </si>
  <si>
    <t>sub-000160</t>
  </si>
  <si>
    <t>c-001739</t>
  </si>
  <si>
    <t>sub-001324</t>
  </si>
  <si>
    <t>c-013660</t>
  </si>
  <si>
    <t>sub-000122</t>
  </si>
  <si>
    <t>c-001387</t>
  </si>
  <si>
    <t>sub-000146</t>
  </si>
  <si>
    <t>c-001607</t>
  </si>
  <si>
    <t>sub-001273</t>
  </si>
  <si>
    <t>c-012866</t>
  </si>
  <si>
    <t>sub-001306</t>
  </si>
  <si>
    <t>c-013401</t>
  </si>
  <si>
    <t>sub-001298</t>
  </si>
  <si>
    <t>c-013274</t>
  </si>
  <si>
    <t>sub-000154</t>
  </si>
  <si>
    <t>c-001698</t>
  </si>
  <si>
    <t>sub-000198</t>
  </si>
  <si>
    <t>c-002110</t>
  </si>
  <si>
    <t>incident_id</t>
  </si>
  <si>
    <t>started_on</t>
  </si>
  <si>
    <t>ended_on</t>
  </si>
  <si>
    <t>entity</t>
  </si>
  <si>
    <t>signal</t>
  </si>
  <si>
    <t>description</t>
  </si>
  <si>
    <t>inc_crm_migration</t>
  </si>
  <si>
    <t>migration</t>
  </si>
  <si>
    <t>system:crm</t>
  </si>
  <si>
    <t>migration_defects</t>
  </si>
  <si>
    <t>Legacy CRM cut-over created duplicates, blank owners, overwritten sources and lost deal links.</t>
  </si>
  <si>
    <t>inc_untagged_links</t>
  </si>
  <si>
    <t>tracking</t>
  </si>
  <si>
    <t>short_links</t>
  </si>
  <si>
    <t>link_utm_defects</t>
  </si>
  <si>
    <t>Four short links (Instagram bio, a podcast episode, a YouTube guide and a LinkedIn launch post) carry missing, unregistered or off-taxonomy UTM parameters.</t>
  </si>
  <si>
    <t>inc_meta_broad_quality</t>
  </si>
  <si>
    <t>lead_quality</t>
  </si>
  <si>
    <t>campaign:meta_broad_v17</t>
  </si>
  <si>
    <t>mql_rate_down</t>
  </si>
  <si>
    <t>Broad-audience Meta campaign launched; lead volume rose while qualification fell.</t>
  </si>
  <si>
    <t>inc_email_domain_switch</t>
  </si>
  <si>
    <t>deliverability</t>
  </si>
  <si>
    <t>sending_domain:news.scalelab.example</t>
  </si>
  <si>
    <t>email_bounce_rate_up</t>
  </si>
  <si>
    <t>Bulk email moved to a new sending subdomain without warm-up or DKIM alignment; bounces and complaints rose and inbox placement fell before the enrollment deadline.</t>
  </si>
  <si>
    <t>inc_webinar_utm_break</t>
  </si>
  <si>
    <t>landing_page:/webinar</t>
  </si>
  <si>
    <t>utm_completeness_down</t>
  </si>
  <si>
    <t>A landing-page release stripped UTM parameters from the webinar registration form.</t>
  </si>
  <si>
    <t>inc_access_outage</t>
  </si>
  <si>
    <t>automation</t>
  </si>
  <si>
    <t>provider:community_access</t>
  </si>
  <si>
    <t>workflow_failures_up</t>
  </si>
  <si>
    <t>Community-access provider returned HTTP 503 for six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</si>
</sst>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0.0%"/>
    <numFmt numFmtId="166" formatCode="d\ mmm\ yyyy"/>
    <numFmt numFmtId="167" formatCode="&quot;$&quot;#,##0"/>
    <numFmt numFmtId="168" formatCode="&quot;$&quot;#,##0.00"/>
    <numFmt numFmtId="169" formatCode="0.00&quot;x&quot;"/>
    <numFmt numFmtId="170" formatCode="0.000%"/>
    <numFmt numFmtId="171" formatCode="[Color10]&quot;▲ &quot;\+0.0%;[Red]&quot;▼ &quot;\-0.0%;&quot;– &quot;0.0%"/>
    <numFmt numFmtId="172" formatCode="&quot;▲ &quot;\+0.0%;&quot;▼ &quot;\-0.0%;&quot;– &quot;0.0%"/>
    <numFmt numFmtId="173" formatCode="[Red]&quot;▲ &quot;\+0.0%;[Color10]&quot;▼ &quot;\-0.0%;&quot;– &quot;0.0%"/>
    <numFmt numFmtId="174" formatCode="[Color10]&quot;▲ &quot;\+0.0&quot; pts&quot;;[Red]&quot;▼ &quot;\-0.0&quot; pts&quot;;&quot;– &quot;0.0&quot; pts&quot;"/>
    <numFmt numFmtId="175" formatCode="[Red]&quot;▲ &quot;\+0.00&quot; pts&quot;;[Color10]&quot;▼ &quot;\-0.00&quot; pts&quot;;&quot;– &quot;0.00&quot; pts&quot;"/>
    <numFmt numFmtId="176" formatCode="\+0.0&quot; pts&quot;;\-0.0&quot; pts&quot;"/>
  </numFmts>
  <fonts count="20" x14ac:knownFonts="1">
    <font>
      <sz val="11"/>
      <color theme="1"/>
      <name val="Calibri"/>
      <family val="2"/>
      <scheme val="minor"/>
    </font>
    <font>
      <b/>
      <sz val="9"/>
      <color rgb="FFFFFFFF"/>
      <name val="Segoe UI"/>
    </font>
    <font>
      <sz val="9"/>
      <color rgb="FF1F2328"/>
      <name val="Segoe UI"/>
    </font>
    <font>
      <b/>
      <sz val="18"/>
      <color rgb="FFFFFFFF"/>
      <name val="Segoe UI"/>
    </font>
    <font>
      <sz val="9"/>
      <color rgb="FFC9D1DC"/>
      <name val="Segoe UI"/>
    </font>
    <font>
      <b/>
      <sz val="11"/>
      <color rgb="FF0F1B2D"/>
      <name val="Segoe UI"/>
    </font>
    <font>
      <sz val="10"/>
      <color rgb="FF5B6470"/>
      <name val="Segoe UI"/>
    </font>
    <font>
      <sz val="10"/>
      <color rgb="FF1F2328"/>
      <name val="Segoe UI"/>
    </font>
    <font>
      <b/>
      <sz val="9"/>
      <color rgb="FF5B6470"/>
      <name val="Segoe UI"/>
    </font>
    <font>
      <b/>
      <sz val="9"/>
      <color rgb="FFC62828"/>
      <name val="Segoe UI"/>
    </font>
    <font>
      <b/>
      <sz val="10"/>
      <color rgb="FF1F2328"/>
      <name val="Segoe UI"/>
    </font>
    <font>
      <i/>
      <sz val="9"/>
      <color rgb="FF5B6470"/>
      <name val="Segoe UI"/>
    </font>
    <font>
      <b/>
      <sz val="10"/>
      <color rgb="FFFFFFFF"/>
      <name val="Segoe UI"/>
    </font>
    <font>
      <sz val="9"/>
      <color rgb="FF5B6470"/>
      <name val="Segoe UI"/>
    </font>
    <font>
      <b/>
      <sz val="20"/>
      <color rgb="FF0F1B2D"/>
      <name val="Segoe UI"/>
    </font>
    <font>
      <sz val="8"/>
      <color rgb="FF8A929C"/>
      <name val="Segoe UI"/>
    </font>
    <font>
      <b/>
      <sz val="10"/>
      <color rgb="FF0F1B2D"/>
      <name val="Segoe UI"/>
    </font>
    <font>
      <b/>
      <sz val="10"/>
      <color rgb="FFC62828"/>
      <name val="Segoe UI"/>
    </font>
    <font>
      <b/>
      <sz val="9"/>
      <color rgb="FF1F2328"/>
      <name val="Segoe UI"/>
    </font>
    <font>
      <b/>
      <u/>
      <sz val="10"/>
      <color rgb="FF2F6FD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F1B2D"/>
      </patternFill>
    </fill>
    <fill>
      <patternFill patternType="solid">
        <fgColor rgb="FFE8EEF7"/>
      </patternFill>
    </fill>
    <fill>
      <patternFill patternType="solid">
        <fgColor rgb="FFFFF4CC"/>
      </patternFill>
    </fill>
    <fill>
      <patternFill patternType="solid">
        <fgColor rgb="FFF4F6FA"/>
      </patternFill>
    </fill>
  </fills>
  <borders count="8">
    <border>
      <left/>
      <right/>
      <top/>
      <bottom/>
      <diagonal/>
    </border>
    <border>
      <left/>
      <right/>
      <top/>
      <bottom style="thin">
        <color rgb="FFD6DBE3"/>
      </bottom>
      <diagonal/>
    </border>
    <border>
      <left/>
      <right/>
      <top/>
      <bottom style="thin">
        <color rgb="FF8A929C"/>
      </bottom>
      <diagonal/>
    </border>
    <border>
      <left/>
      <right/>
      <top style="thin">
        <color rgb="FF0F1B2D"/>
      </top>
      <bottom style="thin">
        <color rgb="FF0F1B2D"/>
      </bottom>
      <diagonal/>
    </border>
    <border>
      <left/>
      <right/>
      <top/>
      <bottom style="thin">
        <color rgb="FF8A929C"/>
      </bottom>
      <diagonal/>
    </border>
    <border>
      <left style="thin">
        <color rgb="FFB7791F"/>
      </left>
      <right style="thin">
        <color rgb="FFB7791F"/>
      </right>
      <top style="thin">
        <color rgb="FFB7791F"/>
      </top>
      <bottom style="thin">
        <color rgb="FFB7791F"/>
      </bottom>
      <diagonal/>
    </border>
    <border>
      <left style="thick">
        <color rgb="FF2F6FD6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6" fillId="0" borderId="0" xfId="0" applyFont="1"/>
    <xf numFmtId="0" fontId="5" fillId="0" borderId="0" xfId="0" applyFont="1"/>
    <xf numFmtId="0" fontId="19" fillId="0" borderId="0" xfId="0" applyFont="1"/>
    <xf numFmtId="0" fontId="7" fillId="0" borderId="0" xfId="0" applyFont="1" applyAlignment="1">
      <alignment vertical="top" wrapText="1"/>
    </xf>
    <xf numFmtId="0" fontId="13" fillId="0" borderId="0" xfId="0" applyFont="1" applyAlignment="1">
      <alignment horizontal="right"/>
    </xf>
    <xf numFmtId="0" fontId="9" fillId="0" borderId="0" xfId="0" applyFont="1"/>
    <xf numFmtId="0" fontId="8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7" fontId="7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10" fillId="3" borderId="3" xfId="0" applyFont="1" applyFill="1" applyBorder="1" applyAlignment="1">
      <alignment horizontal="left" vertical="center"/>
    </xf>
    <xf numFmtId="167" fontId="10" fillId="3" borderId="3" xfId="0" applyNumberFormat="1" applyFont="1" applyFill="1" applyBorder="1" applyAlignment="1">
      <alignment horizontal="right" vertical="center"/>
    </xf>
    <xf numFmtId="3" fontId="10" fillId="3" borderId="3" xfId="0" applyNumberFormat="1" applyFont="1" applyFill="1" applyBorder="1" applyAlignment="1">
      <alignment horizontal="right" vertical="center"/>
    </xf>
    <xf numFmtId="10" fontId="10" fillId="3" borderId="3" xfId="0" applyNumberFormat="1" applyFont="1" applyFill="1" applyBorder="1" applyAlignment="1">
      <alignment horizontal="right" vertical="center"/>
    </xf>
    <xf numFmtId="168" fontId="10" fillId="3" borderId="3" xfId="0" applyNumberFormat="1" applyFont="1" applyFill="1" applyBorder="1" applyAlignment="1">
      <alignment horizontal="right" vertical="center"/>
    </xf>
    <xf numFmtId="165" fontId="10" fillId="3" borderId="3" xfId="0" applyNumberFormat="1" applyFont="1" applyFill="1" applyBorder="1" applyAlignment="1">
      <alignment horizontal="right" vertical="center"/>
    </xf>
    <xf numFmtId="169" fontId="10" fillId="3" borderId="3" xfId="0" applyNumberFormat="1" applyFont="1" applyFill="1" applyBorder="1" applyAlignment="1">
      <alignment horizontal="right" vertical="center"/>
    </xf>
    <xf numFmtId="0" fontId="10" fillId="3" borderId="3" xfId="0" applyFont="1" applyFill="1" applyBorder="1" applyAlignment="1">
      <alignment horizontal="right" vertical="center"/>
    </xf>
    <xf numFmtId="0" fontId="11" fillId="0" borderId="0" xfId="0" applyFont="1"/>
    <xf numFmtId="170" fontId="7" fillId="0" borderId="1" xfId="0" applyNumberFormat="1" applyFont="1" applyBorder="1" applyAlignment="1">
      <alignment horizontal="right" vertical="center"/>
    </xf>
    <xf numFmtId="0" fontId="10" fillId="3" borderId="1" xfId="0" applyFont="1" applyFill="1" applyBorder="1" applyAlignment="1">
      <alignment horizontal="left" vertical="center"/>
    </xf>
    <xf numFmtId="167" fontId="10" fillId="3" borderId="1" xfId="0" applyNumberFormat="1" applyFont="1" applyFill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169" fontId="10" fillId="3" borderId="1" xfId="0" applyNumberFormat="1" applyFont="1" applyFill="1" applyBorder="1" applyAlignment="1">
      <alignment horizontal="right" vertical="center"/>
    </xf>
    <xf numFmtId="0" fontId="10" fillId="3" borderId="1" xfId="0" applyFont="1" applyFill="1" applyBorder="1" applyAlignment="1">
      <alignment horizontal="right" vertical="center"/>
    </xf>
    <xf numFmtId="172" fontId="10" fillId="3" borderId="1" xfId="0" applyNumberFormat="1" applyFont="1" applyFill="1" applyBorder="1" applyAlignment="1">
      <alignment horizontal="right" vertical="center"/>
    </xf>
    <xf numFmtId="0" fontId="16" fillId="0" borderId="0" xfId="0" applyFont="1"/>
    <xf numFmtId="176" fontId="7" fillId="0" borderId="1" xfId="0" applyNumberFormat="1" applyFont="1" applyBorder="1" applyAlignment="1">
      <alignment horizontal="right" vertical="center"/>
    </xf>
    <xf numFmtId="0" fontId="8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65" fontId="10" fillId="3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right" vertical="center"/>
    </xf>
    <xf numFmtId="0" fontId="18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8" fillId="0" borderId="0" xfId="0" applyFont="1"/>
    <xf numFmtId="0" fontId="7" fillId="0" borderId="0" xfId="0" applyFont="1"/>
    <xf numFmtId="167" fontId="7" fillId="0" borderId="1" xfId="0" applyNumberFormat="1" applyFont="1" applyBorder="1" applyAlignment="1">
      <alignment horizontal="left" vertical="center"/>
    </xf>
    <xf numFmtId="168" fontId="7" fillId="0" borderId="1" xfId="0" applyNumberFormat="1" applyFont="1" applyBorder="1" applyAlignment="1">
      <alignment horizontal="left" vertical="center"/>
    </xf>
    <xf numFmtId="165" fontId="7" fillId="0" borderId="1" xfId="0" applyNumberFormat="1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0" fontId="7" fillId="0" borderId="1" xfId="0" applyNumberFormat="1" applyFont="1" applyBorder="1" applyAlignment="1">
      <alignment horizontal="left" vertical="center"/>
    </xf>
    <xf numFmtId="164" fontId="2" fillId="0" borderId="0" xfId="0" applyNumberFormat="1" applyFont="1"/>
    <xf numFmtId="0" fontId="2" fillId="0" borderId="0" xfId="0" applyFont="1"/>
    <xf numFmtId="167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0" fontId="1" fillId="2" borderId="0" xfId="0" applyFont="1" applyFill="1"/>
    <xf numFmtId="0" fontId="7" fillId="0" borderId="0" xfId="0" applyFont="1" applyAlignment="1">
      <alignment vertical="top" wrapText="1"/>
    </xf>
    <xf numFmtId="0" fontId="0" fillId="0" borderId="0" xfId="0"/>
    <xf numFmtId="0" fontId="15" fillId="5" borderId="6" xfId="0" applyFont="1" applyFill="1" applyBorder="1" applyAlignment="1">
      <alignment horizontal="left" vertical="center" indent="1"/>
    </xf>
    <xf numFmtId="0" fontId="0" fillId="5" borderId="7" xfId="0" applyFill="1" applyBorder="1"/>
    <xf numFmtId="173" fontId="10" fillId="5" borderId="6" xfId="0" applyNumberFormat="1" applyFont="1" applyFill="1" applyBorder="1" applyAlignment="1">
      <alignment horizontal="left" vertical="center" indent="1"/>
    </xf>
    <xf numFmtId="0" fontId="13" fillId="0" borderId="0" xfId="0" applyFont="1"/>
    <xf numFmtId="165" fontId="14" fillId="5" borderId="6" xfId="0" applyNumberFormat="1" applyFont="1" applyFill="1" applyBorder="1" applyAlignment="1">
      <alignment horizontal="left" vertical="center" indent="1"/>
    </xf>
    <xf numFmtId="0" fontId="10" fillId="4" borderId="5" xfId="0" applyFont="1" applyFill="1" applyBorder="1" applyAlignment="1" applyProtection="1">
      <alignment horizontal="center"/>
      <protection locked="0"/>
    </xf>
    <xf numFmtId="0" fontId="0" fillId="4" borderId="0" xfId="0" applyFill="1"/>
    <xf numFmtId="0" fontId="7" fillId="0" borderId="0" xfId="0" applyFont="1" applyAlignment="1">
      <alignment vertical="center" indent="1"/>
    </xf>
    <xf numFmtId="168" fontId="14" fillId="5" borderId="6" xfId="0" applyNumberFormat="1" applyFont="1" applyFill="1" applyBorder="1" applyAlignment="1">
      <alignment horizontal="left" vertical="center" indent="1"/>
    </xf>
    <xf numFmtId="0" fontId="13" fillId="5" borderId="6" xfId="0" applyFont="1" applyFill="1" applyBorder="1" applyAlignment="1">
      <alignment horizontal="left" vertical="center" indent="1"/>
    </xf>
    <xf numFmtId="174" fontId="10" fillId="5" borderId="6" xfId="0" applyNumberFormat="1" applyFont="1" applyFill="1" applyBorder="1" applyAlignment="1">
      <alignment horizontal="left" vertical="center" indent="1"/>
    </xf>
    <xf numFmtId="171" fontId="10" fillId="5" borderId="6" xfId="0" applyNumberFormat="1" applyFont="1" applyFill="1" applyBorder="1" applyAlignment="1">
      <alignment horizontal="left" vertical="center" indent="1"/>
    </xf>
    <xf numFmtId="166" fontId="10" fillId="4" borderId="5" xfId="0" applyNumberFormat="1" applyFont="1" applyFill="1" applyBorder="1" applyAlignment="1" applyProtection="1">
      <alignment horizontal="center"/>
      <protection locked="0"/>
    </xf>
    <xf numFmtId="167" fontId="14" fillId="5" borderId="6" xfId="0" applyNumberFormat="1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right" vertical="center"/>
    </xf>
    <xf numFmtId="172" fontId="10" fillId="5" borderId="6" xfId="0" applyNumberFormat="1" applyFont="1" applyFill="1" applyBorder="1" applyAlignment="1">
      <alignment horizontal="left" vertical="center" indent="1"/>
    </xf>
    <xf numFmtId="10" fontId="14" fillId="5" borderId="6" xfId="0" applyNumberFormat="1" applyFont="1" applyFill="1" applyBorder="1" applyAlignment="1">
      <alignment horizontal="left" vertical="center" indent="1"/>
    </xf>
    <xf numFmtId="175" fontId="10" fillId="5" borderId="6" xfId="0" applyNumberFormat="1" applyFont="1" applyFill="1" applyBorder="1" applyAlignment="1">
      <alignment horizontal="left" vertical="center" indent="1"/>
    </xf>
    <xf numFmtId="0" fontId="10" fillId="0" borderId="0" xfId="0" applyFont="1"/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0" fillId="0" borderId="4" xfId="0" applyBorder="1"/>
    <xf numFmtId="0" fontId="8" fillId="3" borderId="2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11"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and ad spend by month (bars) · paid MQL rate (line)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Calc!$D$18</c:f>
              <c:strCache>
                <c:ptCount val="1"/>
                <c:pt idx="0">
                  <c:v>Net cash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Calc!$D$19:$D$33</c:f>
              <c:numCache>
                <c:formatCode>"$"#,##0</c:formatCode>
                <c:ptCount val="15"/>
                <c:pt idx="0">
                  <c:v>58800</c:v>
                </c:pt>
                <c:pt idx="1">
                  <c:v>173700</c:v>
                </c:pt>
                <c:pt idx="2">
                  <c:v>194500</c:v>
                </c:pt>
                <c:pt idx="3">
                  <c:v>159250</c:v>
                </c:pt>
                <c:pt idx="4">
                  <c:v>206750</c:v>
                </c:pt>
                <c:pt idx="5">
                  <c:v>211600</c:v>
                </c:pt>
                <c:pt idx="6">
                  <c:v>138800</c:v>
                </c:pt>
                <c:pt idx="7">
                  <c:v>119100</c:v>
                </c:pt>
                <c:pt idx="8">
                  <c:v>285600</c:v>
                </c:pt>
                <c:pt idx="9">
                  <c:v>202350</c:v>
                </c:pt>
                <c:pt idx="10">
                  <c:v>262500</c:v>
                </c:pt>
                <c:pt idx="11">
                  <c:v>242800</c:v>
                </c:pt>
                <c:pt idx="12">
                  <c:v>237200</c:v>
                </c:pt>
                <c:pt idx="13">
                  <c:v>294700</c:v>
                </c:pt>
                <c:pt idx="14">
                  <c:v>269700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793-4D6E-AF81-C9AEFC727ED9}"/>
            </c:ext>
          </c:extLst>
        </c:ser>
        <c:ser>
          <c:idx val="1"/>
          <c:order val="1"/>
          <c:tx>
            <c:strRef>
              <c:f>Calc!$E$18</c:f>
              <c:strCache>
                <c:ptCount val="1"/>
                <c:pt idx="0">
                  <c:v>Ad spend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Calc!$E$19:$E$33</c:f>
              <c:numCache>
                <c:formatCode>"$"#,##0</c:formatCode>
                <c:ptCount val="15"/>
                <c:pt idx="0">
                  <c:v>27223.05</c:v>
                </c:pt>
                <c:pt idx="1">
                  <c:v>27181.7</c:v>
                </c:pt>
                <c:pt idx="2">
                  <c:v>26323.54</c:v>
                </c:pt>
                <c:pt idx="3">
                  <c:v>35171.51</c:v>
                </c:pt>
                <c:pt idx="4">
                  <c:v>34151.839999999997</c:v>
                </c:pt>
                <c:pt idx="5">
                  <c:v>35101.82</c:v>
                </c:pt>
                <c:pt idx="6">
                  <c:v>34863.17</c:v>
                </c:pt>
                <c:pt idx="7">
                  <c:v>30561.26</c:v>
                </c:pt>
                <c:pt idx="8">
                  <c:v>31494.639999999999</c:v>
                </c:pt>
                <c:pt idx="9">
                  <c:v>30075.38</c:v>
                </c:pt>
                <c:pt idx="10">
                  <c:v>30839.5</c:v>
                </c:pt>
                <c:pt idx="11">
                  <c:v>29896.959999999999</c:v>
                </c:pt>
                <c:pt idx="12">
                  <c:v>31281.91</c:v>
                </c:pt>
                <c:pt idx="13">
                  <c:v>41391.22</c:v>
                </c:pt>
                <c:pt idx="14">
                  <c:v>36835.550000000003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793-4D6E-AF81-C9AEFC727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2"/>
          <c:order val="2"/>
          <c:tx>
            <c:strRef>
              <c:f>Calc!$H$18</c:f>
              <c:strCache>
                <c:ptCount val="1"/>
                <c:pt idx="0">
                  <c:v>Paid MQL rate</c:v>
                </c:pt>
              </c:strCache>
            </c:strRef>
          </c:tx>
          <c:spPr>
            <a:ln w="28000">
              <a:solidFill>
                <a:srgbClr val="1A7F37"/>
              </a:solidFill>
              <a:prstDash val="solid"/>
            </a:ln>
          </c:spPr>
          <c:marker>
            <c:symbol val="none"/>
          </c:marker>
          <c:val>
            <c:numRef>
              <c:f>Calc!$H$19:$H$33</c:f>
              <c:numCache>
                <c:formatCode>0.0%</c:formatCode>
                <c:ptCount val="15"/>
                <c:pt idx="0">
                  <c:v>0.26415094339622641</c:v>
                </c:pt>
                <c:pt idx="1">
                  <c:v>0.33166666666666667</c:v>
                </c:pt>
                <c:pt idx="2">
                  <c:v>0.2583201267828843</c:v>
                </c:pt>
                <c:pt idx="3">
                  <c:v>0.30211480362537763</c:v>
                </c:pt>
                <c:pt idx="4">
                  <c:v>0.32590051457975988</c:v>
                </c:pt>
                <c:pt idx="5">
                  <c:v>0.28363636363636363</c:v>
                </c:pt>
                <c:pt idx="6">
                  <c:v>0.29320113314447593</c:v>
                </c:pt>
                <c:pt idx="7">
                  <c:v>0.32446808510638298</c:v>
                </c:pt>
                <c:pt idx="8">
                  <c:v>0.32275132275132273</c:v>
                </c:pt>
                <c:pt idx="9">
                  <c:v>0.31466227347611203</c:v>
                </c:pt>
                <c:pt idx="10">
                  <c:v>0.30368098159509205</c:v>
                </c:pt>
                <c:pt idx="11">
                  <c:v>0.28173374613003094</c:v>
                </c:pt>
                <c:pt idx="12">
                  <c:v>0.30271084337349397</c:v>
                </c:pt>
                <c:pt idx="13">
                  <c:v>0.21268990169794461</c:v>
                </c:pt>
                <c:pt idx="14">
                  <c:v>0.19298245614035087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93-4D6E-AF81-C9AEFC727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ROAS by platform: what the platform reports vs net cash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'Revenue truth'!$G$19</c:f>
              <c:strCache>
                <c:ptCount val="1"/>
                <c:pt idx="0">
                  <c:v>Reported ROAS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truth'!$G$20:$G$22</c:f>
              <c:numCache>
                <c:formatCode>0.00"x"</c:formatCode>
                <c:ptCount val="3"/>
                <c:pt idx="0">
                  <c:v>8.6758232524393151</c:v>
                </c:pt>
                <c:pt idx="1">
                  <c:v>7.7305329740393258</c:v>
                </c:pt>
                <c:pt idx="2">
                  <c:v>7.2672141381662509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1C-42A2-9A2F-B7A3CB37EE4C}"/>
            </c:ext>
          </c:extLst>
        </c:ser>
        <c:ser>
          <c:idx val="1"/>
          <c:order val="1"/>
          <c:tx>
            <c:strRef>
              <c:f>'Revenue truth'!$H$19</c:f>
              <c:strCache>
                <c:ptCount val="1"/>
                <c:pt idx="0">
                  <c:v>Warehouse ROAS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truth'!$H$20:$H$22</c:f>
              <c:numCache>
                <c:formatCode>0.00"x"</c:formatCode>
                <c:ptCount val="3"/>
                <c:pt idx="0">
                  <c:v>5.7786779553784378</c:v>
                </c:pt>
                <c:pt idx="1">
                  <c:v>5.9604475054407295</c:v>
                </c:pt>
                <c:pt idx="2">
                  <c:v>3.2551063327202998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1C-42A2-9A2F-B7A3CB37EE4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per booked call by campaign (window)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'Campaign scorecard'!$M$6</c:f>
              <c:strCache>
                <c:ptCount val="1"/>
                <c:pt idx="0">
                  <c:v>Cost per call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'Campaign scorecard'!$B$7:$B$13</c:f>
              <c:strCache>
                <c:ptCount val="7"/>
                <c:pt idx="0">
                  <c:v>meta_prospecting_founder</c:v>
                </c:pt>
                <c:pt idx="1">
                  <c:v>google_nonbrand_growth</c:v>
                </c:pt>
                <c:pt idx="2">
                  <c:v>linkedin_ceo_abm</c:v>
                </c:pt>
                <c:pt idx="3">
                  <c:v>FB-Broad</c:v>
                </c:pt>
                <c:pt idx="4">
                  <c:v>meta_retargeting_webinar</c:v>
                </c:pt>
                <c:pt idx="5">
                  <c:v>google_brand_search</c:v>
                </c:pt>
                <c:pt idx="6">
                  <c:v>meta_broad_v17</c:v>
                </c:pt>
              </c:strCache>
            </c:strRef>
          </c:cat>
          <c:val>
            <c:numRef>
              <c:f>'Campaign scorecard'!$M$7:$M$13</c:f>
              <c:numCache>
                <c:formatCode>"$"#,##0</c:formatCode>
                <c:ptCount val="7"/>
                <c:pt idx="0">
                  <c:v>444.46440000000001</c:v>
                </c:pt>
                <c:pt idx="1">
                  <c:v>335.03437500000001</c:v>
                </c:pt>
                <c:pt idx="2">
                  <c:v>549.41846153846154</c:v>
                </c:pt>
                <c:pt idx="3">
                  <c:v>0</c:v>
                </c:pt>
                <c:pt idx="4">
                  <c:v>287.41888888888889</c:v>
                </c:pt>
                <c:pt idx="5">
                  <c:v>96.856999999999999</c:v>
                </c:pt>
                <c:pt idx="6">
                  <c:v>1302.5149999999999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EF2-4A72-A599-11A054DF60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Weekly bounce rate by sending domain (last 12 weeks; limit 2%)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Calc!$D$37</c:f>
              <c:strCache>
                <c:ptCount val="1"/>
                <c:pt idx="0">
                  <c:v>mail.scalelab.example</c:v>
                </c:pt>
              </c:strCache>
            </c:strRef>
          </c:tx>
          <c:spPr>
            <a:ln w="28000">
              <a:solidFill>
                <a:srgbClr val="2F6FD6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Calc!$D$38:$D$49</c:f>
              <c:numCache>
                <c:formatCode>0.00%</c:formatCode>
                <c:ptCount val="12"/>
                <c:pt idx="0">
                  <c:v>5.0297918439990716E-3</c:v>
                </c:pt>
                <c:pt idx="1">
                  <c:v>5.1235684147076556E-3</c:v>
                </c:pt>
                <c:pt idx="2">
                  <c:v>4.8824232762056594E-3</c:v>
                </c:pt>
                <c:pt idx="3">
                  <c:v>4.7706604383044278E-3</c:v>
                </c:pt>
                <c:pt idx="4">
                  <c:v>4.6303137776464217E-3</c:v>
                </c:pt>
                <c:pt idx="5">
                  <c:v>4.927206100822026E-3</c:v>
                </c:pt>
                <c:pt idx="6">
                  <c:v>5.1643192488262908E-3</c:v>
                </c:pt>
                <c:pt idx="7">
                  <c:v>5.2459016393442623E-3</c:v>
                </c:pt>
                <c:pt idx="8">
                  <c:v>4.340277777777778E-3</c:v>
                </c:pt>
                <c:pt idx="9">
                  <c:v>5.4577141808842414E-3</c:v>
                </c:pt>
                <c:pt idx="10">
                  <c:v>5.1599587203302374E-3</c:v>
                </c:pt>
                <c:pt idx="11">
                  <c:v>5.08130081300813E-3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4F-4930-A82F-AD2B9AA35C81}"/>
            </c:ext>
          </c:extLst>
        </c:ser>
        <c:ser>
          <c:idx val="1"/>
          <c:order val="1"/>
          <c:tx>
            <c:strRef>
              <c:f>Calc!$E$37</c:f>
              <c:strCache>
                <c:ptCount val="1"/>
                <c:pt idx="0">
                  <c:v>news.scalelab.example</c:v>
                </c:pt>
              </c:strCache>
            </c:strRef>
          </c:tx>
          <c:spPr>
            <a:ln w="28000">
              <a:solidFill>
                <a:srgbClr val="C62828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Calc!$E$38:$E$49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3.674897919502236E-2</c:v>
                </c:pt>
                <c:pt idx="9">
                  <c:v>3.7663428091639681E-2</c:v>
                </c:pt>
                <c:pt idx="10">
                  <c:v>3.8874282982791587E-2</c:v>
                </c:pt>
                <c:pt idx="11">
                  <c:v>3.8456026369846651E-2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4F-4930-A82F-AD2B9AA35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CRM bookings to net cash (axis from $2.8M)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Calc!$E$53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Calc!$E$54:$E$61</c:f>
              <c:numCache>
                <c:formatCode>"$"#,##0</c:formatCode>
                <c:ptCount val="8"/>
                <c:pt idx="0">
                  <c:v>0</c:v>
                </c:pt>
                <c:pt idx="1">
                  <c:v>3318600</c:v>
                </c:pt>
                <c:pt idx="2">
                  <c:v>3129000</c:v>
                </c:pt>
                <c:pt idx="3">
                  <c:v>3129000</c:v>
                </c:pt>
                <c:pt idx="4">
                  <c:v>3162300</c:v>
                </c:pt>
                <c:pt idx="5">
                  <c:v>0</c:v>
                </c:pt>
                <c:pt idx="6">
                  <c:v>3057350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3-406F-9A0B-4FDAE4F9CE5B}"/>
            </c:ext>
          </c:extLst>
        </c:ser>
        <c:ser>
          <c:idx val="1"/>
          <c:order val="1"/>
          <c:tx>
            <c:strRef>
              <c:f>Calc!$F$53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1A7F37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Calc!$F$54:$F$61</c:f>
              <c:numCache>
                <c:formatCode>"$"#,##0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33300</c:v>
                </c:pt>
                <c:pt idx="4">
                  <c:v>28500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B53-406F-9A0B-4FDAE4F9CE5B}"/>
            </c:ext>
          </c:extLst>
        </c:ser>
        <c:ser>
          <c:idx val="2"/>
          <c:order val="2"/>
          <c:tx>
            <c:strRef>
              <c:f>Calc!$G$53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62828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Calc!$G$54:$G$61</c:f>
              <c:numCache>
                <c:formatCode>"$"#,##0</c:formatCode>
                <c:ptCount val="8"/>
                <c:pt idx="0">
                  <c:v>0</c:v>
                </c:pt>
                <c:pt idx="1">
                  <c:v>4800</c:v>
                </c:pt>
                <c:pt idx="2">
                  <c:v>189600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133450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B53-406F-9A0B-4FDAE4F9CE5B}"/>
            </c:ext>
          </c:extLst>
        </c:ser>
        <c:ser>
          <c:idx val="3"/>
          <c:order val="3"/>
          <c:tx>
            <c:strRef>
              <c:f>Calc!$H$53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6FD6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Calc!$H$54:$H$61</c:f>
              <c:numCache>
                <c:formatCode>"$"#,##0</c:formatCode>
                <c:ptCount val="8"/>
                <c:pt idx="0">
                  <c:v>3323400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3190800</c:v>
                </c:pt>
                <c:pt idx="6">
                  <c:v>0</c:v>
                </c:pt>
                <c:pt idx="7">
                  <c:v>3057350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B53-406F-9A0B-4FDAE4F9C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2800000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People at each stage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'Funnel and test'!$C$6</c:f>
              <c:strCache>
                <c:ptCount val="1"/>
                <c:pt idx="0">
                  <c:v>People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'Funnel and test'!$B$7:$B$15</c:f>
              <c:strCache>
                <c:ptCount val="9"/>
                <c:pt idx="0">
                  <c:v>Lead</c:v>
                </c:pt>
                <c:pt idx="1">
                  <c:v>MQL</c:v>
                </c:pt>
                <c:pt idx="2">
                  <c:v>Call booked</c:v>
                </c:pt>
                <c:pt idx="3">
                  <c:v>Call attended</c:v>
                </c:pt>
                <c:pt idx="4">
                  <c:v>Opportunity</c:v>
                </c:pt>
                <c:pt idx="5">
                  <c:v>Closed won</c:v>
                </c:pt>
                <c:pt idx="6">
                  <c:v>Paid</c:v>
                </c:pt>
                <c:pt idx="7">
                  <c:v>Access activated</c:v>
                </c:pt>
                <c:pt idx="8">
                  <c:v>Renewed</c:v>
                </c:pt>
              </c:strCache>
            </c:strRef>
          </c:cat>
          <c:val>
            <c:numRef>
              <c:f>'Funnel and test'!$C$7:$C$15</c:f>
              <c:numCache>
                <c:formatCode>#,##0</c:formatCode>
                <c:ptCount val="9"/>
                <c:pt idx="0">
                  <c:v>14693</c:v>
                </c:pt>
                <c:pt idx="1">
                  <c:v>4115</c:v>
                </c:pt>
                <c:pt idx="2">
                  <c:v>1896</c:v>
                </c:pt>
                <c:pt idx="3">
                  <c:v>1420</c:v>
                </c:pt>
                <c:pt idx="4">
                  <c:v>1199</c:v>
                </c:pt>
                <c:pt idx="5">
                  <c:v>438</c:v>
                </c:pt>
                <c:pt idx="6">
                  <c:v>427</c:v>
                </c:pt>
                <c:pt idx="7">
                  <c:v>418</c:v>
                </c:pt>
                <c:pt idx="8">
                  <c:v>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524-4E7B-BDB0-0DD9C22432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#,##0" sourceLinked="1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3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18</xdr:row>
      <xdr:rowOff>0</xdr:rowOff>
    </xdr:from>
    <xdr:ext cx="4176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46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dly" displayName="t_dly" ref="A1:J453">
  <autoFilter ref="A1:J453" xr:uid="{00000000-0009-0000-0100-000001000000}"/>
  <tableColumns count="10">
    <tableColumn id="1" xr3:uid="{00000000-0010-0000-0000-000001000000}" name="day"/>
    <tableColumn id="2" xr3:uid="{00000000-0010-0000-0000-000002000000}" name="spend_cents"/>
    <tableColumn id="3" xr3:uid="{00000000-0010-0000-0000-000003000000}" name="leads"/>
    <tableColumn id="4" xr3:uid="{00000000-0010-0000-0000-000004000000}" name="mqls"/>
    <tableColumn id="5" xr3:uid="{00000000-0010-0000-0000-000005000000}" name="calls_booked"/>
    <tableColumn id="6" xr3:uid="{00000000-0010-0000-0000-000006000000}" name="closed_won_deals"/>
    <tableColumn id="7" xr3:uid="{00000000-0010-0000-0000-000007000000}" name="booked_cents"/>
    <tableColumn id="8" xr3:uid="{00000000-0010-0000-0000-000008000000}" name="gross_collected_cents"/>
    <tableColumn id="9" xr3:uid="{00000000-0010-0000-0000-000009000000}" name="refunds_cents"/>
    <tableColumn id="10" xr3:uid="{00000000-0010-0000-0000-00000A000000}" name="net_cash_c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pd" displayName="t_pd" ref="A1:J2479">
  <autoFilter ref="A1:J2479" xr:uid="{00000000-0009-0000-0100-000002000000}"/>
  <tableColumns count="10">
    <tableColumn id="1" xr3:uid="{00000000-0010-0000-0100-000001000000}" name="day"/>
    <tableColumn id="2" xr3:uid="{00000000-0010-0000-0100-000002000000}" name="campaign_id"/>
    <tableColumn id="3" xr3:uid="{00000000-0010-0000-0100-000003000000}" name="platform"/>
    <tableColumn id="4" xr3:uid="{00000000-0010-0000-0100-000004000000}" name="spend_cents"/>
    <tableColumn id="5" xr3:uid="{00000000-0010-0000-0100-000005000000}" name="impressions"/>
    <tableColumn id="6" xr3:uid="{00000000-0010-0000-0100-000006000000}" name="clicks"/>
    <tableColumn id="7" xr3:uid="{00000000-0010-0000-0100-000007000000}" name="leads"/>
    <tableColumn id="8" xr3:uid="{00000000-0010-0000-0100-000008000000}" name="mqls"/>
    <tableColumn id="9" xr3:uid="{00000000-0010-0000-0100-000009000000}" name="calls_booked"/>
    <tableColumn id="10" xr3:uid="{00000000-0010-0000-0100-00000A000000}" name="closed_won_deal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att" displayName="t_att" ref="A1:F829">
  <autoFilter ref="A1:F829" xr:uid="{00000000-0009-0000-0100-000003000000}"/>
  <tableColumns count="6">
    <tableColumn id="1" xr3:uid="{00000000-0010-0000-0200-000001000000}" name="payment_id"/>
    <tableColumn id="2" xr3:uid="{00000000-0010-0000-0200-000002000000}" name="paid_date"/>
    <tableColumn id="3" xr3:uid="{00000000-0010-0000-0200-000003000000}" name="campaign_id"/>
    <tableColumn id="4" xr3:uid="{00000000-0010-0000-0200-000004000000}" name="gross_cents"/>
    <tableColumn id="5" xr3:uid="{00000000-0010-0000-0200-000005000000}" name="refund_cents"/>
    <tableColumn id="6" xr3:uid="{00000000-0010-0000-0200-000006000000}" name="net_cash_cent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em" displayName="t_em" ref="A1:S150">
  <autoFilter ref="A1:S150" xr:uid="{00000000-0009-0000-0100-000004000000}"/>
  <tableColumns count="19">
    <tableColumn id="1" xr3:uid="{00000000-0010-0000-0300-000001000000}" name="email_id"/>
    <tableColumn id="2" xr3:uid="{00000000-0010-0000-0300-000002000000}" name="sent_date"/>
    <tableColumn id="3" xr3:uid="{00000000-0010-0000-0300-000003000000}" name="email_type"/>
    <tableColumn id="4" xr3:uid="{00000000-0010-0000-0300-000004000000}" name="subject"/>
    <tableColumn id="5" xr3:uid="{00000000-0010-0000-0300-000005000000}" name="sending_domain"/>
    <tableColumn id="6" xr3:uid="{00000000-0010-0000-0300-000006000000}" name="sends"/>
    <tableColumn id="7" xr3:uid="{00000000-0010-0000-0300-000007000000}" name="delivered"/>
    <tableColumn id="8" xr3:uid="{00000000-0010-0000-0300-000008000000}" name="bounces"/>
    <tableColumn id="9" xr3:uid="{00000000-0010-0000-0300-000009000000}" name="opens"/>
    <tableColumn id="10" xr3:uid="{00000000-0010-0000-0300-00000A000000}" name="machine_opens"/>
    <tableColumn id="11" xr3:uid="{00000000-0010-0000-0300-00000B000000}" name="human_opens"/>
    <tableColumn id="12" xr3:uid="{00000000-0010-0000-0300-00000C000000}" name="clicks"/>
    <tableColumn id="13" xr3:uid="{00000000-0010-0000-0300-00000D000000}" name="unsubscribes"/>
    <tableColumn id="14" xr3:uid="{00000000-0010-0000-0300-00000E000000}" name="spam_complaints"/>
    <tableColumn id="15" xr3:uid="{00000000-0010-0000-0300-00000F000000}" name="bounce_rate"/>
    <tableColumn id="16" xr3:uid="{00000000-0010-0000-0300-000010000000}" name="human_open_rate"/>
    <tableColumn id="17" xr3:uid="{00000000-0010-0000-0300-000011000000}" name="click_rate"/>
    <tableColumn id="18" xr3:uid="{00000000-0010-0000-0300-000012000000}" name="click_to_open_rate"/>
    <tableColumn id="19" xr3:uid="{00000000-0010-0000-0300-000013000000}" name="complaint_ra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c" displayName="t_dc" ref="A1:J14">
  <autoFilter ref="A1:J14" xr:uid="{00000000-0009-0000-0100-000005000000}"/>
  <tableColumns count="10">
    <tableColumn id="1" xr3:uid="{00000000-0010-0000-0400-000001000000}" name="campaign_id"/>
    <tableColumn id="2" xr3:uid="{00000000-0010-0000-0400-000002000000}" name="campaign_name"/>
    <tableColumn id="3" xr3:uid="{00000000-0010-0000-0400-000003000000}" name="platform"/>
    <tableColumn id="4" xr3:uid="{00000000-0010-0000-0400-000004000000}" name="source"/>
    <tableColumn id="5" xr3:uid="{00000000-0010-0000-0400-000005000000}" name="medium"/>
    <tableColumn id="6" xr3:uid="{00000000-0010-0000-0400-000006000000}" name="channel_group"/>
    <tableColumn id="7" xr3:uid="{00000000-0010-0000-0400-000007000000}" name="landing_page"/>
    <tableColumn id="8" xr3:uid="{00000000-0010-0000-0400-000008000000}" name="is_paid"/>
    <tableColumn id="9" xr3:uid="{00000000-0010-0000-0400-000009000000}" name="registry_valid"/>
    <tableColumn id="10" xr3:uid="{00000000-0010-0000-0400-00000A000000}" name="campaign_orde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p" displayName="t_cp" ref="A1:H13">
  <autoFilter ref="A1:H13" xr:uid="{00000000-0009-0000-0100-000006000000}"/>
  <tableColumns count="8">
    <tableColumn id="1" xr3:uid="{00000000-0010-0000-0500-000001000000}" name="campaign_id"/>
    <tableColumn id="2" xr3:uid="{00000000-0010-0000-0500-000002000000}" name="source"/>
    <tableColumn id="3" xr3:uid="{00000000-0010-0000-0500-000003000000}" name="medium"/>
    <tableColumn id="4" xr3:uid="{00000000-0010-0000-0500-000004000000}" name="spend_cents"/>
    <tableColumn id="5" xr3:uid="{00000000-0010-0000-0500-000005000000}" name="leads"/>
    <tableColumn id="6" xr3:uid="{00000000-0010-0000-0500-000006000000}" name="mqls"/>
    <tableColumn id="7" xr3:uid="{00000000-0010-0000-0500-000007000000}" name="customers"/>
    <tableColumn id="8" xr3:uid="{00000000-0010-0000-0500-000008000000}" name="net_cash_cent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rv" displayName="t_rv" ref="A1:D2">
  <autoFilter ref="A1:D2" xr:uid="{00000000-0009-0000-0100-000007000000}"/>
  <tableColumns count="4">
    <tableColumn id="1" xr3:uid="{00000000-0010-0000-0600-000001000000}" name="booked_cents"/>
    <tableColumn id="2" xr3:uid="{00000000-0010-0000-0600-000002000000}" name="gross_collected_cents"/>
    <tableColumn id="3" xr3:uid="{00000000-0010-0000-0600-000003000000}" name="refunds_cents"/>
    <tableColumn id="4" xr3:uid="{00000000-0010-0000-0600-000004000000}" name="net_collected_c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br" displayName="t_br" ref="A1:F9">
  <autoFilter ref="A1:F9" xr:uid="{00000000-0009-0000-0100-000008000000}"/>
  <tableColumns count="6">
    <tableColumn id="1" xr3:uid="{00000000-0010-0000-0700-000001000000}" name="ordinal"/>
    <tableColumn id="2" xr3:uid="{00000000-0010-0000-0700-000002000000}" name="step"/>
    <tableColumn id="3" xr3:uid="{00000000-0010-0000-0700-000003000000}" name="kind"/>
    <tableColumn id="4" xr3:uid="{00000000-0010-0000-0700-000004000000}" name="cents"/>
    <tableColumn id="5" xr3:uid="{00000000-0010-0000-0700-000005000000}" name="step_label"/>
    <tableColumn id="6" xr3:uid="{00000000-0010-0000-0700-000006000000}" name="no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" displayName="t_pl" ref="A1:E4">
  <autoFilter ref="A1:E4" xr:uid="{00000000-0009-0000-0100-000009000000}"/>
  <tableColumns count="5">
    <tableColumn id="1" xr3:uid="{00000000-0010-0000-0800-000001000000}" name="platform"/>
    <tableColumn id="2" xr3:uid="{00000000-0010-0000-0800-000002000000}" name="spend_cents"/>
    <tableColumn id="3" xr3:uid="{00000000-0010-0000-0800-000003000000}" name="reported_conversions"/>
    <tableColumn id="4" xr3:uid="{00000000-0010-0000-0800-000004000000}" name="reported_value_cents"/>
    <tableColumn id="5" xr3:uid="{00000000-0010-0000-0800-000005000000}" name="warehouse_net_cash_c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fn" displayName="t_fn" ref="A1:E10">
  <autoFilter ref="A1:E10" xr:uid="{00000000-0009-0000-0100-00000A000000}"/>
  <tableColumns count="5">
    <tableColumn id="1" xr3:uid="{00000000-0010-0000-0900-000001000000}" name="stage"/>
    <tableColumn id="2" xr3:uid="{00000000-0010-0000-0900-000002000000}" name="ordinal"/>
    <tableColumn id="3" xr3:uid="{00000000-0010-0000-0900-000003000000}" name="people"/>
    <tableColumn id="4" xr3:uid="{00000000-0010-0000-0900-000004000000}" name="from_previous_rate"/>
    <tableColumn id="5" xr3:uid="{00000000-0010-0000-0900-000005000000}" name="stage_labe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ex" displayName="t_ex" ref="A1:L3">
  <autoFilter ref="A1:L3" xr:uid="{00000000-0009-0000-0100-00000B000000}"/>
  <tableColumns count="12">
    <tableColumn id="1" xr3:uid="{00000000-0010-0000-0A00-000001000000}" name="experiment_id"/>
    <tableColumn id="2" xr3:uid="{00000000-0010-0000-0A00-000002000000}" name="variant_id"/>
    <tableColumn id="3" xr3:uid="{00000000-0010-0000-0A00-000003000000}" name="label"/>
    <tableColumn id="4" xr3:uid="{00000000-0010-0000-0A00-000004000000}" name="cta_text"/>
    <tableColumn id="5" xr3:uid="{00000000-0010-0000-0A00-000005000000}" name="visitors"/>
    <tableColumn id="6" xr3:uid="{00000000-0010-0000-0A00-000006000000}" name="leads"/>
    <tableColumn id="7" xr3:uid="{00000000-0010-0000-0A00-000007000000}" name="mqls"/>
    <tableColumn id="8" xr3:uid="{00000000-0010-0000-0A00-000008000000}" name="customers"/>
    <tableColumn id="9" xr3:uid="{00000000-0010-0000-0A00-000009000000}" name="net_cash_cents"/>
    <tableColumn id="10" xr3:uid="{00000000-0010-0000-0A00-00000A000000}" name="lead_rate"/>
    <tableColumn id="11" xr3:uid="{00000000-0010-0000-0A00-00000B000000}" name="mql_per_lead"/>
    <tableColumn id="12" xr3:uid="{00000000-0010-0000-0A00-00000C000000}" name="net_cash_per_visitor_cent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t" displayName="t_ct" ref="A1:K31">
  <autoFilter ref="A1:K31" xr:uid="{00000000-0009-0000-0100-00000C000000}"/>
  <tableColumns count="11">
    <tableColumn id="1" xr3:uid="{00000000-0010-0000-0B00-000001000000}" name="content_id"/>
    <tableColumn id="2" xr3:uid="{00000000-0010-0000-0B00-000002000000}" name="title"/>
    <tableColumn id="3" xr3:uid="{00000000-0010-0000-0B00-000003000000}" name="platform"/>
    <tableColumn id="4" xr3:uid="{00000000-0010-0000-0B00-000004000000}" name="topic"/>
    <tableColumn id="5" xr3:uid="{00000000-0010-0000-0B00-000005000000}" name="views"/>
    <tableColumn id="6" xr3:uid="{00000000-0010-0000-0B00-000006000000}" name="clicks"/>
    <tableColumn id="7" xr3:uid="{00000000-0010-0000-0B00-000007000000}" name="engaged_leads"/>
    <tableColumn id="8" xr3:uid="{00000000-0010-0000-0B00-000008000000}" name="mqls"/>
    <tableColumn id="9" xr3:uid="{00000000-0010-0000-0B00-000009000000}" name="calls_booked"/>
    <tableColumn id="10" xr3:uid="{00000000-0010-0000-0B00-00000A000000}" name="customers"/>
    <tableColumn id="11" xr3:uid="{00000000-0010-0000-0B00-00000B000000}" name="influenced_net_cash_cent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qc" displayName="t_qc" ref="A1:E10">
  <autoFilter ref="A1:E10" xr:uid="{00000000-0009-0000-0100-00000D000000}"/>
  <tableColumns count="5">
    <tableColumn id="1" xr3:uid="{00000000-0010-0000-0C00-000001000000}" name="check_order"/>
    <tableColumn id="2" xr3:uid="{00000000-0010-0000-0C00-000002000000}" name="area"/>
    <tableColumn id="3" xr3:uid="{00000000-0010-0000-0C00-000003000000}" name="check_name"/>
    <tableColumn id="4" xr3:uid="{00000000-0010-0000-0C00-000004000000}" name="rate"/>
    <tableColumn id="5" xr3:uid="{00000000-0010-0000-0C00-000005000000}" name="target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mh" displayName="t_mh" ref="A1:J2">
  <autoFilter ref="A1:J2" xr:uid="{00000000-0009-0000-0100-00000E000000}"/>
  <tableColumns count="10">
    <tableColumn id="1" xr3:uid="{00000000-0010-0000-0D00-000001000000}" name="eligible_touches"/>
    <tableColumn id="2" xr3:uid="{00000000-0010-0000-0D00-000002000000}" name="touches_with_utm"/>
    <tableColumn id="3" xr3:uid="{00000000-0010-0000-0D00-000003000000}" name="registered_touches"/>
    <tableColumn id="4" xr3:uid="{00000000-0010-0000-0D00-000004000000}" name="owned_contacts"/>
    <tableColumn id="5" xr3:uid="{00000000-0010-0000-0D00-000005000000}" name="contacts"/>
    <tableColumn id="6" xr3:uid="{00000000-0010-0000-0D00-000006000000}" name="duplicate_contact_rows"/>
    <tableColumn id="7" xr3:uid="{00000000-0010-0000-0D00-000007000000}" name="unmatched_payments"/>
    <tableColumn id="8" xr3:uid="{00000000-0010-0000-0D00-000008000000}" name="payments"/>
    <tableColumn id="9" xr3:uid="{00000000-0010-0000-0D00-000009000000}" name="paid_contact_count"/>
    <tableColumn id="10" xr3:uid="{00000000-0010-0000-0D00-00000A000000}" name="valid_paid_journey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mg" displayName="t_mg" ref="A1:G2">
  <autoFilter ref="A1:G2" xr:uid="{00000000-0009-0000-0100-00000F000000}"/>
  <tableColumns count="7">
    <tableColumn id="1" xr3:uid="{00000000-0010-0000-0E00-000001000000}" name="legacy_contacts"/>
    <tableColumn id="2" xr3:uid="{00000000-0010-0000-0E00-000002000000}" name="migrated_contacts"/>
    <tableColumn id="3" xr3:uid="{00000000-0010-0000-0E00-000003000000}" name="missing_contacts"/>
    <tableColumn id="4" xr3:uid="{00000000-0010-0000-0E00-000004000000}" name="owner_match_rate"/>
    <tableColumn id="5" xr3:uid="{00000000-0010-0000-0E00-000005000000}" name="source_match_rate"/>
    <tableColumn id="6" xr3:uid="{00000000-0010-0000-0E00-000006000000}" name="stage_match_rate"/>
    <tableColumn id="7" xr3:uid="{00000000-0010-0000-0E00-000007000000}" name="duplicate_crm_row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ln" displayName="t_ln" ref="A1:J10">
  <autoFilter ref="A1:J10" xr:uid="{00000000-0009-0000-0100-000010000000}"/>
  <tableColumns count="10">
    <tableColumn id="1" xr3:uid="{00000000-0010-0000-0F00-000001000000}" name="link_id"/>
    <tableColumn id="2" xr3:uid="{00000000-0010-0000-0F00-000002000000}" name="channel"/>
    <tableColumn id="3" xr3:uid="{00000000-0010-0000-0F00-000003000000}" name="utm_source"/>
    <tableColumn id="4" xr3:uid="{00000000-0010-0000-0F00-000004000000}" name="utm_medium"/>
    <tableColumn id="5" xr3:uid="{00000000-0010-0000-0F00-000005000000}" name="utm_campaign"/>
    <tableColumn id="6" xr3:uid="{00000000-0010-0000-0F00-000006000000}" name="missing_utm"/>
    <tableColumn id="7" xr3:uid="{00000000-0010-0000-0F00-000007000000}" name="unregistered_campaign"/>
    <tableColumn id="8" xr3:uid="{00000000-0010-0000-0F00-000008000000}" name="off_taxonomy"/>
    <tableColumn id="9" xr3:uid="{00000000-0010-0000-0F00-000009000000}" name="clicks"/>
    <tableColumn id="10" xr3:uid="{00000000-0010-0000-0F00-00000A000000}" name="recent_click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rn" displayName="t_rn" ref="A1:G145">
  <autoFilter ref="A1:G145" xr:uid="{00000000-0009-0000-0100-000011000000}"/>
  <tableColumns count="7">
    <tableColumn id="1" xr3:uid="{00000000-0010-0000-1000-000001000000}" name="subscription_id"/>
    <tableColumn id="2" xr3:uid="{00000000-0010-0000-1000-000002000000}" name="customer_id"/>
    <tableColumn id="3" xr3:uid="{00000000-0010-0000-1000-000003000000}" name="plan_id"/>
    <tableColumn id="4" xr3:uid="{00000000-0010-0000-1000-000004000000}" name="due_date"/>
    <tableColumn id="5" xr3:uid="{00000000-0010-0000-1000-000005000000}" name="failed_attempts"/>
    <tableColumn id="6" xr3:uid="{00000000-0010-0000-1000-000006000000}" name="risk_level"/>
    <tableColumn id="7" xr3:uid="{00000000-0010-0000-1000-000007000000}" name="risk_order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inc" displayName="t_inc" ref="A1:G7">
  <autoFilter ref="A1:G7" xr:uid="{00000000-0009-0000-0100-000012000000}"/>
  <tableColumns count="7">
    <tableColumn id="1" xr3:uid="{00000000-0010-0000-1100-000001000000}" name="incident_id"/>
    <tableColumn id="2" xr3:uid="{00000000-0010-0000-1100-000002000000}" name="kind"/>
    <tableColumn id="3" xr3:uid="{00000000-0010-0000-1100-000003000000}" name="started_on"/>
    <tableColumn id="4" xr3:uid="{00000000-0010-0000-1100-000004000000}" name="ended_on"/>
    <tableColumn id="5" xr3:uid="{00000000-0010-0000-1100-000005000000}" name="entity"/>
    <tableColumn id="6" xr3:uid="{00000000-0010-0000-1100-000006000000}" name="signal"/>
    <tableColumn id="7" xr3:uid="{00000000-0010-0000-1100-000007000000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1B2D"/>
    <pageSetUpPr fitToPage="1"/>
  </sheetPr>
  <dimension ref="A1:J23"/>
  <sheetViews>
    <sheetView showGridLines="0" tabSelected="1" workbookViewId="0"/>
  </sheetViews>
  <sheetFormatPr defaultRowHeight="14.5" x14ac:dyDescent="0.35"/>
  <cols>
    <col min="1" max="1" width="2" customWidth="1"/>
    <col min="2" max="2" width="28" customWidth="1"/>
    <col min="3" max="3" width="90" customWidth="1"/>
  </cols>
  <sheetData>
    <row r="1" spans="1:10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</row>
    <row r="3" spans="1:10" ht="20" customHeight="1" x14ac:dyDescent="0.3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</row>
    <row r="5" spans="1:10" ht="16.5" x14ac:dyDescent="0.45">
      <c r="B5" s="4" t="s">
        <v>2</v>
      </c>
      <c r="C5" s="5" t="str">
        <f>TEXT(AsOf,"d mmmm yyyy")</f>
        <v>25 September 2026</v>
      </c>
    </row>
    <row r="6" spans="1:10" ht="16.5" x14ac:dyDescent="0.45">
      <c r="B6" s="4" t="s">
        <v>3</v>
      </c>
      <c r="C6" s="5" t="str">
        <f>Dashboard!E5&amp;": "&amp;TEXT(WinStart,"d mmm yyyy")&amp;" – "&amp;TEXT(WinEnd,"d mmm yyyy")</f>
        <v>Last 28 days: 29 Aug 2026 – 25 Sep 2026</v>
      </c>
    </row>
    <row r="7" spans="1:10" ht="16.5" x14ac:dyDescent="0.45">
      <c r="B7" s="4" t="s">
        <v>4</v>
      </c>
      <c r="C7" s="5" t="str">
        <f>IF(AllChecksPass="Yes","All 14 reconciliation checks are zero","A reconciliation check failed: see Audit")</f>
        <v>All 14 reconciliation checks are zero</v>
      </c>
    </row>
    <row r="9" spans="1:10" ht="16.5" x14ac:dyDescent="0.45">
      <c r="B9" s="5" t="s">
        <v>5</v>
      </c>
    </row>
    <row r="10" spans="1:10" ht="28" customHeight="1" x14ac:dyDescent="0.45">
      <c r="B10" s="6" t="s">
        <v>6</v>
      </c>
      <c r="C10" s="7" t="s">
        <v>7</v>
      </c>
    </row>
    <row r="11" spans="1:10" ht="28" customHeight="1" x14ac:dyDescent="0.45">
      <c r="B11" s="6" t="s">
        <v>8</v>
      </c>
      <c r="C11" s="7" t="s">
        <v>9</v>
      </c>
    </row>
    <row r="12" spans="1:10" ht="28" customHeight="1" x14ac:dyDescent="0.45">
      <c r="B12" s="6" t="s">
        <v>10</v>
      </c>
      <c r="C12" s="7" t="s">
        <v>11</v>
      </c>
    </row>
    <row r="13" spans="1:10" ht="28" customHeight="1" x14ac:dyDescent="0.45">
      <c r="B13" s="6" t="s">
        <v>12</v>
      </c>
      <c r="C13" s="7" t="s">
        <v>13</v>
      </c>
    </row>
    <row r="14" spans="1:10" ht="28" customHeight="1" x14ac:dyDescent="0.45">
      <c r="B14" s="6" t="s">
        <v>14</v>
      </c>
      <c r="C14" s="7" t="s">
        <v>15</v>
      </c>
    </row>
    <row r="15" spans="1:10" ht="28" customHeight="1" x14ac:dyDescent="0.45">
      <c r="B15" s="6" t="s">
        <v>16</v>
      </c>
      <c r="C15" s="7" t="s">
        <v>17</v>
      </c>
    </row>
    <row r="16" spans="1:10" ht="28" customHeight="1" x14ac:dyDescent="0.45">
      <c r="B16" s="6" t="s">
        <v>4</v>
      </c>
      <c r="C16" s="7" t="s">
        <v>18</v>
      </c>
    </row>
    <row r="17" spans="2:3" ht="28" customHeight="1" x14ac:dyDescent="0.45">
      <c r="B17" s="6" t="s">
        <v>19</v>
      </c>
      <c r="C17" s="7" t="s">
        <v>20</v>
      </c>
    </row>
    <row r="18" spans="2:3" ht="28" customHeight="1" x14ac:dyDescent="0.45">
      <c r="B18" s="6" t="s">
        <v>21</v>
      </c>
      <c r="C18" s="7" t="s">
        <v>22</v>
      </c>
    </row>
    <row r="20" spans="2:3" ht="16.5" x14ac:dyDescent="0.45">
      <c r="B20" s="5" t="s">
        <v>23</v>
      </c>
    </row>
    <row r="21" spans="2:3" ht="30" customHeight="1" x14ac:dyDescent="0.35">
      <c r="B21" s="61" t="s">
        <v>24</v>
      </c>
      <c r="C21" s="62"/>
    </row>
    <row r="22" spans="2:3" ht="30" customHeight="1" x14ac:dyDescent="0.35">
      <c r="B22" s="61" t="s">
        <v>25</v>
      </c>
      <c r="C22" s="62"/>
    </row>
    <row r="23" spans="2:3" ht="30" customHeight="1" x14ac:dyDescent="0.35">
      <c r="B23" s="61" t="s">
        <v>26</v>
      </c>
      <c r="C23" s="62"/>
    </row>
  </sheetData>
  <sheetProtection sheet="1" formatColumns="0" sort="0" autoFilter="0"/>
  <mergeCells count="3">
    <mergeCell ref="B23:C23"/>
    <mergeCell ref="B22:C22"/>
    <mergeCell ref="B21:C21"/>
  </mergeCells>
  <hyperlinks>
    <hyperlink ref="B10" location="'Dashboard'!A1" display="Dashboard" xr:uid="{00000000-0004-0000-0000-000000000000}"/>
    <hyperlink ref="B11" location="'Campaign scorecard'!A1" display="Campaign scorecard" xr:uid="{00000000-0004-0000-0000-000001000000}"/>
    <hyperlink ref="B12" location="'Email health'!A1" display="Email health" xr:uid="{00000000-0004-0000-0000-000002000000}"/>
    <hyperlink ref="B13" location="'Revenue truth'!A1" display="Revenue truth" xr:uid="{00000000-0004-0000-0000-000003000000}"/>
    <hyperlink ref="B14" location="'Funnel and test'!A1" display="Funnel and test" xr:uid="{00000000-0004-0000-0000-000004000000}"/>
    <hyperlink ref="B15" location="'Data quality'!A1" display="Data quality" xr:uid="{00000000-0004-0000-0000-000005000000}"/>
    <hyperlink ref="B16" location="'Audit'!A1" display="Audit" xr:uid="{00000000-0004-0000-0000-000006000000}"/>
    <hyperlink ref="B17" location="'Definitions'!A1" display="Definitions" xr:uid="{00000000-0004-0000-0000-000007000000}"/>
    <hyperlink ref="B18" location="'Calc'!A1" display="Calc" xr:uid="{00000000-0004-0000-0000-000008000000}"/>
  </hyperlink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6FD6"/>
    <pageSetUpPr fitToPage="1"/>
  </sheetPr>
  <dimension ref="A1:S17"/>
  <sheetViews>
    <sheetView showGridLines="0" workbookViewId="0">
      <pane ySplit="6" topLeftCell="A7" activePane="bottomLeft" state="frozen"/>
      <selection pane="bottomLeft"/>
    </sheetView>
  </sheetViews>
  <sheetFormatPr defaultRowHeight="14.5" x14ac:dyDescent="0.35"/>
  <cols>
    <col min="1" max="1" width="2" customWidth="1"/>
    <col min="2" max="3" width="10.453125" customWidth="1"/>
    <col min="4" max="4" width="2.453125" customWidth="1"/>
    <col min="5" max="6" width="10.453125" customWidth="1"/>
    <col min="7" max="7" width="2.453125" customWidth="1"/>
    <col min="8" max="9" width="10.453125" customWidth="1"/>
    <col min="10" max="10" width="2.453125" customWidth="1"/>
    <col min="11" max="12" width="10.453125" customWidth="1"/>
    <col min="13" max="13" width="2.453125" customWidth="1"/>
    <col min="14" max="15" width="10.453125" customWidth="1"/>
    <col min="16" max="16" width="2.453125" customWidth="1"/>
    <col min="17" max="19" width="10.453125" customWidth="1"/>
  </cols>
  <sheetData>
    <row r="1" spans="1:19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0" customHeight="1" x14ac:dyDescent="0.35">
      <c r="A2" s="1"/>
      <c r="B2" s="2" t="s">
        <v>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77" t="str">
        <f>"Data through "&amp;TEXT(AsOf,"d mmm yyyy")</f>
        <v>Data through 25 Sep 2026</v>
      </c>
      <c r="R2" s="62"/>
      <c r="S2" s="62"/>
    </row>
    <row r="3" spans="1:19" ht="20" customHeight="1" x14ac:dyDescent="0.35">
      <c r="A3" s="1"/>
      <c r="B3" s="3" t="s">
        <v>28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spans="1:19" ht="16" x14ac:dyDescent="0.45">
      <c r="B5" s="81" t="s">
        <v>3</v>
      </c>
      <c r="C5" s="62"/>
      <c r="E5" s="68" t="s">
        <v>29</v>
      </c>
      <c r="F5" s="69"/>
      <c r="H5" s="8" t="s">
        <v>30</v>
      </c>
      <c r="I5" s="75">
        <v>46266</v>
      </c>
      <c r="J5" s="62"/>
      <c r="K5" s="8" t="s">
        <v>31</v>
      </c>
      <c r="L5" s="75">
        <v>46290</v>
      </c>
      <c r="M5" s="62"/>
      <c r="N5" s="66" t="str">
        <f>TEXT(WinStart,"d mmm yyyy")&amp;" – "&amp;TEXT(WinEnd,"d mmm yyyy")&amp;"  ("&amp;WinDays&amp;" days) · prior: "&amp;TEXT(PriorStart,"d mmm")&amp;" – "&amp;TEXT(PriorEnd,"d mmm")</f>
        <v>29 Aug 2026 – 25 Sep 2026  (28 days) · prior: 1 Aug – 28 Aug</v>
      </c>
      <c r="O5" s="62"/>
      <c r="P5" s="62"/>
      <c r="Q5" s="62"/>
      <c r="R5" s="62"/>
      <c r="S5" s="62"/>
    </row>
    <row r="6" spans="1:19" ht="15" x14ac:dyDescent="0.4">
      <c r="B6" s="9" t="str">
        <f>IF(LEFT(WindowCheck,5)="Ready","","⚠ "&amp;WindowCheck)</f>
        <v/>
      </c>
    </row>
    <row r="8" spans="1:19" x14ac:dyDescent="0.35">
      <c r="B8" s="72" t="s">
        <v>32</v>
      </c>
      <c r="C8" s="64"/>
      <c r="E8" s="72" t="s">
        <v>33</v>
      </c>
      <c r="F8" s="64"/>
      <c r="H8" s="72" t="s">
        <v>34</v>
      </c>
      <c r="I8" s="64"/>
      <c r="K8" s="72" t="s">
        <v>35</v>
      </c>
      <c r="L8" s="64"/>
      <c r="N8" s="72" t="s">
        <v>36</v>
      </c>
      <c r="O8" s="64"/>
      <c r="Q8" s="72" t="s">
        <v>37</v>
      </c>
      <c r="R8" s="64"/>
    </row>
    <row r="9" spans="1:19" ht="29" x14ac:dyDescent="0.35">
      <c r="B9" s="76">
        <f>SUMIFS(dly_net_cash_cents,dly_day,"&gt;="&amp;WinStart,dly_day,"&lt;="&amp;WinEnd)/100</f>
        <v>309900</v>
      </c>
      <c r="C9" s="64"/>
      <c r="E9" s="76">
        <f>SUMIFS(pd_spend_cents,pd_day,"&gt;="&amp;WinStart,pd_day,"&lt;="&amp;WinEnd)/100</f>
        <v>41163.660000000003</v>
      </c>
      <c r="F9" s="64"/>
      <c r="H9" s="71">
        <f>IFERROR(SUMIFS(pd_spend_cents,pd_day,"&gt;="&amp;WinStart,pd_day,"&lt;="&amp;WinEnd)/100/SUMIFS(pd_leads,pd_day,"&gt;="&amp;WinStart,pd_day,"&lt;="&amp;WinEnd),NA())</f>
        <v>40.042470817120623</v>
      </c>
      <c r="I9" s="64"/>
      <c r="K9" s="67">
        <f>IFERROR(SUMIFS(pd_mqls,pd_day,"&gt;="&amp;WinStart,pd_day,"&lt;="&amp;WinEnd)/SUMIFS(pd_leads,pd_day,"&gt;="&amp;WinStart,pd_day,"&lt;="&amp;WinEnd),NA())</f>
        <v>0.19844357976653695</v>
      </c>
      <c r="L9" s="64"/>
      <c r="N9" s="76">
        <f>IFERROR(SUMIFS(pd_spend_cents,pd_day,"&gt;="&amp;WinStart,pd_day,"&lt;="&amp;WinEnd)/100/SUMIFS(pd_calls_booked,pd_day,"&gt;="&amp;WinStart,pd_day,"&lt;="&amp;WinEnd),NA())</f>
        <v>442.62000000000006</v>
      </c>
      <c r="O9" s="64"/>
      <c r="Q9" s="79">
        <f>IFERROR(SUMIFS(em_bounces,em_sent_date,"&gt;="&amp;WinStart,em_sent_date,"&lt;="&amp;WinEnd)/SUMIFS(em_sends,em_sent_date,"&gt;="&amp;WinStart,em_sent_date,"&lt;="&amp;WinEnd),NA())</f>
        <v>3.3987037162567332E-2</v>
      </c>
      <c r="R9" s="64"/>
    </row>
    <row r="10" spans="1:19" x14ac:dyDescent="0.35">
      <c r="B10" s="63" t="str">
        <f>"prior window: "&amp;TEXT(Calc!$K$6,"""$""#,##0")</f>
        <v>prior window: $254,500</v>
      </c>
      <c r="C10" s="64"/>
      <c r="E10" s="63" t="str">
        <f>"prior window: "&amp;TEXT(Calc!$K$7,"""$""#,##0")</f>
        <v>prior window: $37,063</v>
      </c>
      <c r="F10" s="64"/>
      <c r="H10" s="63" t="str">
        <f>"prior window: "&amp;TEXT(Calc!$K$8,"""$""#,##0.00")</f>
        <v>prior window: $36.95</v>
      </c>
      <c r="I10" s="64"/>
      <c r="K10" s="63" t="str">
        <f>"prior window: "&amp;TEXT(Calc!$K$9,"0.0%")</f>
        <v>prior window: 20.9%</v>
      </c>
      <c r="L10" s="64"/>
      <c r="N10" s="63" t="str">
        <f>"prior window: "&amp;TEXT(Calc!$K$10,"""$""#,##0")</f>
        <v>prior window: $363</v>
      </c>
      <c r="O10" s="64"/>
      <c r="Q10" s="63" t="str">
        <f>"prior window: "&amp;TEXT(Calc!$K$11,"0.00%")</f>
        <v>prior window: 0.50%</v>
      </c>
      <c r="R10" s="64"/>
    </row>
    <row r="11" spans="1:19" ht="16" x14ac:dyDescent="0.35">
      <c r="B11" s="74">
        <f>IFERROR(ROUND(B9/Calc!$K$6-1,3),NA())</f>
        <v>0.218</v>
      </c>
      <c r="C11" s="64"/>
      <c r="E11" s="78">
        <f>IFERROR(ROUND(E9/Calc!$K$7-1,3),NA())</f>
        <v>0.111</v>
      </c>
      <c r="F11" s="64"/>
      <c r="H11" s="65">
        <f>IFERROR(ROUND(H9/Calc!$K$8-1,3),NA())</f>
        <v>8.4000000000000005E-2</v>
      </c>
      <c r="I11" s="64"/>
      <c r="K11" s="73">
        <f>IFERROR(ROUND((K9-Calc!$K$9)*100,1),NA())</f>
        <v>-1.1000000000000001</v>
      </c>
      <c r="L11" s="64"/>
      <c r="N11" s="65">
        <f>IFERROR(ROUND(N9/Calc!$K$10-1,3),NA())</f>
        <v>0.218</v>
      </c>
      <c r="O11" s="64"/>
      <c r="Q11" s="80">
        <f>IFERROR(ROUND((Q9-Calc!$K$11)*100,2),NA())</f>
        <v>2.9</v>
      </c>
      <c r="R11" s="64"/>
    </row>
    <row r="12" spans="1:19" x14ac:dyDescent="0.35">
      <c r="B12" s="63" t="s">
        <v>38</v>
      </c>
      <c r="C12" s="64"/>
      <c r="E12" s="63" t="s">
        <v>38</v>
      </c>
      <c r="F12" s="64"/>
      <c r="H12" s="63" t="s">
        <v>38</v>
      </c>
      <c r="I12" s="64"/>
      <c r="K12" s="63" t="s">
        <v>38</v>
      </c>
      <c r="L12" s="64"/>
      <c r="N12" s="63" t="s">
        <v>38</v>
      </c>
      <c r="O12" s="64"/>
      <c r="Q12" s="63" t="s">
        <v>38</v>
      </c>
      <c r="R12" s="64"/>
    </row>
    <row r="14" spans="1:19" ht="16.5" x14ac:dyDescent="0.45">
      <c r="B14" s="5" t="s">
        <v>39</v>
      </c>
    </row>
    <row r="15" spans="1:19" ht="20" customHeight="1" x14ac:dyDescent="0.35">
      <c r="B15" s="70" t="str">
        <f>"Net cash was "&amp;TEXT(B9,"$#,##0")&amp;" ("&amp;TEXT(ROUND(B11,2),"+0%;-0%;+0%")&amp;" on the prior window) on "&amp;TEXT(E9,"$#,##0")&amp;" of paid spend."</f>
        <v>Net cash was $309,900 (+22% on the prior window) on $41,164 of paid spend.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</row>
    <row r="16" spans="1:19" ht="20" customHeight="1" x14ac:dyDescent="0.35">
      <c r="B16" s="70" t="str">
        <f>"Paid media bought leads at "&amp;TEXT(H9,"$#,##0.00")&amp;" each, and "&amp;TEXT(K9,"0.0%")&amp;" of them qualified ("&amp;TEXT(Calc!$K$9,"0.0%")&amp;" in the prior window). Lowest MQL rate at scale (50+ leads): "&amp;IFERROR(INDEX('Campaign scorecard'!$B$7:$B$13,MATCH(MIN('Campaign scorecard'!$Q$7:$Q$13),'Campaign scorecard'!$Q$7:$Q$13,0))&amp;" at "&amp;TEXT(MIN('Campaign scorecard'!$Q$7:$Q$13),"0.0%"),"none with 50+ leads")&amp;"."</f>
        <v>Paid media bought leads at $40.04 each, and 19.8% of them qualified (20.9% in the prior window). Lowest MQL rate at scale (50+ leads): meta_broad_v17 at 8.3%.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</row>
    <row r="17" spans="2:19" ht="20" customHeight="1" x14ac:dyDescent="0.35">
      <c r="B17" s="70" t="str">
        <f>"Email bounced at "&amp;TEXT(Q9,"0.00%")&amp;IF(Q9&gt;0.02,", above the 2% limit: check the sending domain on Email health.",", inside the 2% limit.")</f>
        <v>Email bounced at 3.40%, above the 2% limit: check the sending domain on Email health.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</row>
  </sheetData>
  <sheetProtection sheet="1" formatColumns="0" sort="0" autoFilter="0"/>
  <mergeCells count="39">
    <mergeCell ref="Q2:S2"/>
    <mergeCell ref="H11:I11"/>
    <mergeCell ref="B15:S15"/>
    <mergeCell ref="K12:L12"/>
    <mergeCell ref="K8:L8"/>
    <mergeCell ref="B10:C10"/>
    <mergeCell ref="E11:F11"/>
    <mergeCell ref="N10:O10"/>
    <mergeCell ref="I5:J5"/>
    <mergeCell ref="Q9:R9"/>
    <mergeCell ref="B9:C9"/>
    <mergeCell ref="N9:O9"/>
    <mergeCell ref="H12:I12"/>
    <mergeCell ref="Q11:R11"/>
    <mergeCell ref="B5:C5"/>
    <mergeCell ref="K10:L10"/>
    <mergeCell ref="B17:S17"/>
    <mergeCell ref="H9:I9"/>
    <mergeCell ref="E8:F8"/>
    <mergeCell ref="Q8:R8"/>
    <mergeCell ref="B12:C12"/>
    <mergeCell ref="K11:L11"/>
    <mergeCell ref="B11:C11"/>
    <mergeCell ref="E10:F10"/>
    <mergeCell ref="N12:O12"/>
    <mergeCell ref="Q10:R10"/>
    <mergeCell ref="E9:F9"/>
    <mergeCell ref="B8:C8"/>
    <mergeCell ref="N8:O8"/>
    <mergeCell ref="B16:S16"/>
    <mergeCell ref="H8:I8"/>
    <mergeCell ref="E12:F12"/>
    <mergeCell ref="N11:O11"/>
    <mergeCell ref="Q12:R12"/>
    <mergeCell ref="H10:I10"/>
    <mergeCell ref="N5:S5"/>
    <mergeCell ref="K9:L9"/>
    <mergeCell ref="E5:F5"/>
    <mergeCell ref="L5:M5"/>
  </mergeCells>
  <dataValidations count="2">
    <dataValidation type="list" showErrorMessage="1" errorTitle="Reporting window" error="Choose a window from the list." sqref="E5" xr:uid="{00000000-0002-0000-0100-000000000000}">
      <formula1>WindowList</formula1>
    </dataValidation>
    <dataValidation type="date" showErrorMessage="1" errorTitle="Custom dates" error="Choose a date inside the data (see Calc for the range)." sqref="I5 L5" xr:uid="{00000000-0002-0000-0100-000001000000}">
      <formula1>FirstDay</formula1>
      <formula2>AsOf</formula2>
    </dataValidation>
  </dataValidations>
  <printOptions horizontalCentered="1"/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FD6"/>
    <pageSetUpPr fitToPage="1"/>
  </sheetPr>
  <dimension ref="A1:Q17"/>
  <sheetViews>
    <sheetView showGridLines="0"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26" customWidth="1"/>
    <col min="3" max="3" width="10" customWidth="1"/>
    <col min="4" max="4" width="12" customWidth="1"/>
    <col min="5" max="5" width="13" customWidth="1"/>
    <col min="6" max="6" width="10" customWidth="1"/>
    <col min="7" max="7" width="8" customWidth="1"/>
    <col min="8" max="8" width="9" customWidth="1"/>
    <col min="9" max="9" width="11" customWidth="1"/>
    <col min="10" max="12" width="9" customWidth="1"/>
    <col min="13" max="13" width="11" customWidth="1"/>
    <col min="14" max="14" width="14" customWidth="1"/>
    <col min="15" max="15" width="10" customWidth="1"/>
    <col min="16" max="16" width="24" customWidth="1"/>
    <col min="17" max="17" width="13" hidden="1" customWidth="1"/>
  </cols>
  <sheetData>
    <row r="1" spans="1:17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0" customHeight="1" x14ac:dyDescent="0.35">
      <c r="A2" s="1"/>
      <c r="B2" s="2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" customHeight="1" x14ac:dyDescent="0.35">
      <c r="A3" s="1"/>
      <c r="B3" s="3" t="str">
        <f>"Paid campaigns in the window "&amp;TEXT(WinStart,"d mmm")&amp;" – "&amp;TEXT(WinEnd,"d mmm yyyy")&amp;" · activity basis: each lead, MQL and call is credited to the campaign that created the lead"</f>
        <v>Paid campaigns in the window 29 Aug – 25 Sep 2026 · activity basis: each lead, MQL and call is credited to the campaign that created the lead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6" spans="1:17" ht="32" customHeight="1" x14ac:dyDescent="0.35">
      <c r="B6" s="10" t="s">
        <v>40</v>
      </c>
      <c r="C6" s="10" t="s">
        <v>41</v>
      </c>
      <c r="D6" s="11" t="s">
        <v>42</v>
      </c>
      <c r="E6" s="11" t="s">
        <v>43</v>
      </c>
      <c r="F6" s="11" t="s">
        <v>44</v>
      </c>
      <c r="G6" s="11" t="s">
        <v>45</v>
      </c>
      <c r="H6" s="11" t="s">
        <v>46</v>
      </c>
      <c r="I6" s="11" t="s">
        <v>47</v>
      </c>
      <c r="J6" s="11" t="s">
        <v>48</v>
      </c>
      <c r="K6" s="11" t="s">
        <v>49</v>
      </c>
      <c r="L6" s="11" t="s">
        <v>50</v>
      </c>
      <c r="M6" s="11" t="s">
        <v>51</v>
      </c>
      <c r="N6" s="11" t="s">
        <v>52</v>
      </c>
      <c r="O6" s="11" t="s">
        <v>53</v>
      </c>
      <c r="P6" s="12" t="s">
        <v>54</v>
      </c>
    </row>
    <row r="7" spans="1:17" ht="16" x14ac:dyDescent="0.35">
      <c r="B7" s="13" t="s">
        <v>55</v>
      </c>
      <c r="C7" s="13" t="s">
        <v>56</v>
      </c>
      <c r="D7" s="14">
        <f t="shared" ref="D7:D13" si="0">SUMIFS(pd_spend_cents,pd_day,"&gt;="&amp;WinStart,pd_day,"&lt;="&amp;WinEnd,pd_campaign_id,$B7)/100</f>
        <v>11111.61</v>
      </c>
      <c r="E7" s="15">
        <f t="shared" ref="E7:E13" si="1">SUMIFS(pd_impressions,pd_day,"&gt;="&amp;WinStart,pd_day,"&lt;="&amp;WinEnd,pd_campaign_id,$B7)</f>
        <v>793674</v>
      </c>
      <c r="F7" s="15">
        <f t="shared" ref="F7:F13" si="2">SUMIFS(pd_clicks,pd_day,"&gt;="&amp;WinStart,pd_day,"&lt;="&amp;WinEnd,pd_campaign_id,$B7)</f>
        <v>8780</v>
      </c>
      <c r="G7" s="16">
        <f t="shared" ref="G7:G13" si="3">IFERROR(F7/E7,"–")</f>
        <v>1.106247653318617E-2</v>
      </c>
      <c r="H7" s="15">
        <f t="shared" ref="H7:H13" si="4">SUMIFS(pd_leads,pd_day,"&gt;="&amp;WinStart,pd_day,"&lt;="&amp;WinEnd,pd_campaign_id,$B7)</f>
        <v>249</v>
      </c>
      <c r="I7" s="17">
        <f t="shared" ref="I7:I13" si="5">IFERROR(D7/H7,"–")</f>
        <v>44.624939759036145</v>
      </c>
      <c r="J7" s="15">
        <f t="shared" ref="J7:J13" si="6">SUMIFS(pd_mqls,pd_day,"&gt;="&amp;WinStart,pd_day,"&lt;="&amp;WinEnd,pd_campaign_id,$B7)</f>
        <v>52</v>
      </c>
      <c r="K7" s="18">
        <f t="shared" ref="K7:K13" si="7">IFERROR(J7/H7,"–")</f>
        <v>0.20883534136546184</v>
      </c>
      <c r="L7" s="15">
        <f t="shared" ref="L7:L13" si="8">SUMIFS(pd_calls_booked,pd_day,"&gt;="&amp;WinStart,pd_day,"&lt;="&amp;WinEnd,pd_campaign_id,$B7)</f>
        <v>25</v>
      </c>
      <c r="M7" s="14">
        <f t="shared" ref="M7:M13" si="9">IFERROR(D7/L7,"–")</f>
        <v>444.46440000000001</v>
      </c>
      <c r="N7" s="14">
        <f t="shared" ref="N7:N13" si="10">SUMIFS(att_net_cash_cents,att_paid_date,"&gt;="&amp;WinStart,att_paid_date,"&lt;="&amp;WinEnd,att_campaign_id,$B7)/100</f>
        <v>45800</v>
      </c>
      <c r="O7" s="19">
        <f t="shared" ref="O7:O13" si="11">IFERROR(N7/D7,"–")</f>
        <v>4.1218149305096201</v>
      </c>
      <c r="P7" s="20" t="str">
        <f t="shared" ref="P7:P13" si="12">IF(D7=0,"No spend",IF(IFERROR(K7&lt;0.75*$K$14,FALSE),"Low lead quality",IF(IFERROR(O7&lt;1,FALSE),"Returned less than it cost","")))</f>
        <v/>
      </c>
      <c r="Q7" s="18">
        <f t="shared" ref="Q7:Q13" si="13">IF(AND(ISNUMBER(K7),H7&gt;=50),K7,"")</f>
        <v>0.20883534136546184</v>
      </c>
    </row>
    <row r="8" spans="1:17" ht="16" x14ac:dyDescent="0.35">
      <c r="B8" s="13" t="s">
        <v>57</v>
      </c>
      <c r="C8" s="13" t="s">
        <v>58</v>
      </c>
      <c r="D8" s="14">
        <f t="shared" si="0"/>
        <v>5360.55</v>
      </c>
      <c r="E8" s="15">
        <f t="shared" si="1"/>
        <v>111663</v>
      </c>
      <c r="F8" s="15">
        <f t="shared" si="2"/>
        <v>5827</v>
      </c>
      <c r="G8" s="16">
        <f t="shared" si="3"/>
        <v>5.218380305024941E-2</v>
      </c>
      <c r="H8" s="15">
        <f t="shared" si="4"/>
        <v>86</v>
      </c>
      <c r="I8" s="17">
        <f t="shared" si="5"/>
        <v>62.331976744186051</v>
      </c>
      <c r="J8" s="15">
        <f t="shared" si="6"/>
        <v>23</v>
      </c>
      <c r="K8" s="18">
        <f t="shared" si="7"/>
        <v>0.26744186046511625</v>
      </c>
      <c r="L8" s="15">
        <f t="shared" si="8"/>
        <v>16</v>
      </c>
      <c r="M8" s="14">
        <f t="shared" si="9"/>
        <v>335.03437500000001</v>
      </c>
      <c r="N8" s="14">
        <f t="shared" si="10"/>
        <v>43600</v>
      </c>
      <c r="O8" s="19">
        <f t="shared" si="11"/>
        <v>8.1334937646323606</v>
      </c>
      <c r="P8" s="20" t="str">
        <f t="shared" si="12"/>
        <v/>
      </c>
      <c r="Q8" s="18">
        <f t="shared" si="13"/>
        <v>0.26744186046511625</v>
      </c>
    </row>
    <row r="9" spans="1:17" ht="16" x14ac:dyDescent="0.35">
      <c r="B9" s="13" t="s">
        <v>59</v>
      </c>
      <c r="C9" s="13" t="s">
        <v>60</v>
      </c>
      <c r="D9" s="14">
        <f t="shared" si="0"/>
        <v>7142.44</v>
      </c>
      <c r="E9" s="15">
        <f t="shared" si="1"/>
        <v>137341</v>
      </c>
      <c r="F9" s="15">
        <f t="shared" si="2"/>
        <v>874</v>
      </c>
      <c r="G9" s="16">
        <f t="shared" si="3"/>
        <v>6.3637224135545834E-3</v>
      </c>
      <c r="H9" s="15">
        <f t="shared" si="4"/>
        <v>57</v>
      </c>
      <c r="I9" s="17">
        <f t="shared" si="5"/>
        <v>125.3059649122807</v>
      </c>
      <c r="J9" s="15">
        <f t="shared" si="6"/>
        <v>25</v>
      </c>
      <c r="K9" s="18">
        <f t="shared" si="7"/>
        <v>0.43859649122807015</v>
      </c>
      <c r="L9" s="15">
        <f t="shared" si="8"/>
        <v>13</v>
      </c>
      <c r="M9" s="14">
        <f t="shared" si="9"/>
        <v>549.41846153846154</v>
      </c>
      <c r="N9" s="14">
        <f t="shared" si="10"/>
        <v>56400</v>
      </c>
      <c r="O9" s="19">
        <f t="shared" si="11"/>
        <v>7.8964611533313551</v>
      </c>
      <c r="P9" s="20" t="str">
        <f t="shared" si="12"/>
        <v/>
      </c>
      <c r="Q9" s="18">
        <f t="shared" si="13"/>
        <v>0.43859649122807015</v>
      </c>
    </row>
    <row r="10" spans="1:17" ht="16" x14ac:dyDescent="0.35">
      <c r="B10" s="13" t="s">
        <v>61</v>
      </c>
      <c r="C10" s="13" t="s">
        <v>56</v>
      </c>
      <c r="D10" s="14">
        <f t="shared" si="0"/>
        <v>0</v>
      </c>
      <c r="E10" s="15">
        <f t="shared" si="1"/>
        <v>0</v>
      </c>
      <c r="F10" s="15">
        <f t="shared" si="2"/>
        <v>0</v>
      </c>
      <c r="G10" s="16" t="str">
        <f t="shared" si="3"/>
        <v>–</v>
      </c>
      <c r="H10" s="15">
        <f t="shared" si="4"/>
        <v>0</v>
      </c>
      <c r="I10" s="17" t="str">
        <f t="shared" si="5"/>
        <v>–</v>
      </c>
      <c r="J10" s="15">
        <f t="shared" si="6"/>
        <v>0</v>
      </c>
      <c r="K10" s="18" t="str">
        <f t="shared" si="7"/>
        <v>–</v>
      </c>
      <c r="L10" s="15">
        <f t="shared" si="8"/>
        <v>0</v>
      </c>
      <c r="M10" s="14" t="str">
        <f t="shared" si="9"/>
        <v>–</v>
      </c>
      <c r="N10" s="14">
        <f t="shared" si="10"/>
        <v>0</v>
      </c>
      <c r="O10" s="19" t="str">
        <f t="shared" si="11"/>
        <v>–</v>
      </c>
      <c r="P10" s="20" t="str">
        <f t="shared" si="12"/>
        <v>No spend</v>
      </c>
      <c r="Q10" s="18" t="str">
        <f t="shared" si="13"/>
        <v/>
      </c>
    </row>
    <row r="11" spans="1:17" ht="16" x14ac:dyDescent="0.35">
      <c r="B11" s="13" t="s">
        <v>62</v>
      </c>
      <c r="C11" s="13" t="s">
        <v>56</v>
      </c>
      <c r="D11" s="14">
        <f t="shared" si="0"/>
        <v>2586.77</v>
      </c>
      <c r="E11" s="15">
        <f t="shared" si="1"/>
        <v>184759</v>
      </c>
      <c r="F11" s="15">
        <f t="shared" si="2"/>
        <v>2046</v>
      </c>
      <c r="G11" s="16">
        <f t="shared" si="3"/>
        <v>1.1073885439951504E-2</v>
      </c>
      <c r="H11" s="15">
        <f t="shared" si="4"/>
        <v>43</v>
      </c>
      <c r="I11" s="17">
        <f t="shared" si="5"/>
        <v>60.157441860465113</v>
      </c>
      <c r="J11" s="15">
        <f t="shared" si="6"/>
        <v>17</v>
      </c>
      <c r="K11" s="18">
        <f t="shared" si="7"/>
        <v>0.39534883720930231</v>
      </c>
      <c r="L11" s="15">
        <f t="shared" si="8"/>
        <v>9</v>
      </c>
      <c r="M11" s="14">
        <f t="shared" si="9"/>
        <v>287.41888888888889</v>
      </c>
      <c r="N11" s="14">
        <f t="shared" si="10"/>
        <v>14600</v>
      </c>
      <c r="O11" s="19">
        <f t="shared" si="11"/>
        <v>5.6441044236634879</v>
      </c>
      <c r="P11" s="20" t="str">
        <f t="shared" si="12"/>
        <v/>
      </c>
      <c r="Q11" s="18" t="str">
        <f t="shared" si="13"/>
        <v/>
      </c>
    </row>
    <row r="12" spans="1:17" ht="16" x14ac:dyDescent="0.35">
      <c r="B12" s="13" t="s">
        <v>63</v>
      </c>
      <c r="C12" s="13" t="s">
        <v>58</v>
      </c>
      <c r="D12" s="14">
        <f t="shared" si="0"/>
        <v>1937.14</v>
      </c>
      <c r="E12" s="15">
        <f t="shared" si="1"/>
        <v>40345</v>
      </c>
      <c r="F12" s="15">
        <f t="shared" si="2"/>
        <v>2061</v>
      </c>
      <c r="G12" s="16">
        <f t="shared" si="3"/>
        <v>5.1084397075226176E-2</v>
      </c>
      <c r="H12" s="15">
        <f t="shared" si="4"/>
        <v>75</v>
      </c>
      <c r="I12" s="17">
        <f t="shared" si="5"/>
        <v>25.828533333333336</v>
      </c>
      <c r="J12" s="15">
        <f t="shared" si="6"/>
        <v>44</v>
      </c>
      <c r="K12" s="18">
        <f t="shared" si="7"/>
        <v>0.58666666666666667</v>
      </c>
      <c r="L12" s="15">
        <f t="shared" si="8"/>
        <v>20</v>
      </c>
      <c r="M12" s="14">
        <f t="shared" si="9"/>
        <v>96.856999999999999</v>
      </c>
      <c r="N12" s="14">
        <f t="shared" si="10"/>
        <v>47100</v>
      </c>
      <c r="O12" s="19">
        <f t="shared" si="11"/>
        <v>24.314195153680167</v>
      </c>
      <c r="P12" s="20" t="str">
        <f t="shared" si="12"/>
        <v/>
      </c>
      <c r="Q12" s="18">
        <f t="shared" si="13"/>
        <v>0.58666666666666667</v>
      </c>
    </row>
    <row r="13" spans="1:17" ht="16" x14ac:dyDescent="0.35">
      <c r="B13" s="13" t="s">
        <v>64</v>
      </c>
      <c r="C13" s="13" t="s">
        <v>56</v>
      </c>
      <c r="D13" s="14">
        <f t="shared" si="0"/>
        <v>13025.15</v>
      </c>
      <c r="E13" s="15">
        <f t="shared" si="1"/>
        <v>930355</v>
      </c>
      <c r="F13" s="15">
        <f t="shared" si="2"/>
        <v>10289</v>
      </c>
      <c r="G13" s="16">
        <f t="shared" si="3"/>
        <v>1.1059219330255655E-2</v>
      </c>
      <c r="H13" s="15">
        <f t="shared" si="4"/>
        <v>518</v>
      </c>
      <c r="I13" s="17">
        <f t="shared" si="5"/>
        <v>25.145077220077219</v>
      </c>
      <c r="J13" s="15">
        <f t="shared" si="6"/>
        <v>43</v>
      </c>
      <c r="K13" s="18">
        <f t="shared" si="7"/>
        <v>8.3011583011583012E-2</v>
      </c>
      <c r="L13" s="15">
        <f t="shared" si="8"/>
        <v>10</v>
      </c>
      <c r="M13" s="14">
        <f t="shared" si="9"/>
        <v>1302.5149999999999</v>
      </c>
      <c r="N13" s="14">
        <f t="shared" si="10"/>
        <v>3400</v>
      </c>
      <c r="O13" s="19">
        <f t="shared" si="11"/>
        <v>0.26103346218661588</v>
      </c>
      <c r="P13" s="20" t="str">
        <f t="shared" si="12"/>
        <v>Low lead quality</v>
      </c>
      <c r="Q13" s="18">
        <f t="shared" si="13"/>
        <v>8.3011583011583012E-2</v>
      </c>
    </row>
    <row r="14" spans="1:17" ht="16" x14ac:dyDescent="0.35">
      <c r="B14" s="21" t="s">
        <v>65</v>
      </c>
      <c r="C14" s="21"/>
      <c r="D14" s="22">
        <f>SUM(D7:D13)</f>
        <v>41163.659999999996</v>
      </c>
      <c r="E14" s="23">
        <f>SUM(E7:E13)</f>
        <v>2198137</v>
      </c>
      <c r="F14" s="23">
        <f>SUM(F7:F13)</f>
        <v>29877</v>
      </c>
      <c r="G14" s="24">
        <f>IFERROR(F14/E14,NA())</f>
        <v>1.3591964468092754E-2</v>
      </c>
      <c r="H14" s="23">
        <f>SUM(H7:H13)</f>
        <v>1028</v>
      </c>
      <c r="I14" s="25">
        <f>IFERROR(D14/H14,NA())</f>
        <v>40.042470817120616</v>
      </c>
      <c r="J14" s="23">
        <f>SUM(J7:J13)</f>
        <v>204</v>
      </c>
      <c r="K14" s="26">
        <f>IFERROR(J14/H14,NA())</f>
        <v>0.19844357976653695</v>
      </c>
      <c r="L14" s="23">
        <f>SUM(L7:L13)</f>
        <v>93</v>
      </c>
      <c r="M14" s="22">
        <f>IFERROR(D14/L14,NA())</f>
        <v>442.61999999999995</v>
      </c>
      <c r="N14" s="22">
        <f>SUM(N7:N13)</f>
        <v>210900</v>
      </c>
      <c r="O14" s="27">
        <f>IFERROR(N14/D14,NA())</f>
        <v>5.123451121693261</v>
      </c>
      <c r="P14" s="28"/>
    </row>
    <row r="16" spans="1:17" ht="15" x14ac:dyDescent="0.4">
      <c r="B16" s="29" t="s">
        <v>66</v>
      </c>
    </row>
    <row r="17" spans="2:2" ht="15" x14ac:dyDescent="0.4">
      <c r="B17" s="29" t="s">
        <v>67</v>
      </c>
    </row>
  </sheetData>
  <sheetProtection sheet="1" formatColumns="0" sort="0" autoFilter="0"/>
  <conditionalFormatting sqref="D7:D13">
    <cfRule type="dataBar" priority="1">
      <dataBar>
        <cfvo type="num" val="0"/>
        <cfvo type="max"/>
        <color rgb="FF9DBBEB"/>
      </dataBar>
    </cfRule>
  </conditionalFormatting>
  <conditionalFormatting sqref="I7:I13">
    <cfRule type="colorScale" priority="2">
      <colorScale>
        <cfvo type="min"/>
        <cfvo type="percentile" val="50"/>
        <cfvo type="max"/>
        <color rgb="FFD8F0DE"/>
        <color rgb="FFFFFFFF"/>
        <color rgb="FFF8D7D5"/>
      </colorScale>
    </cfRule>
  </conditionalFormatting>
  <conditionalFormatting sqref="K7:K13">
    <cfRule type="colorScale" priority="3">
      <colorScale>
        <cfvo type="min"/>
        <cfvo type="percentile" val="50"/>
        <cfvo type="max"/>
        <color rgb="FFF8D7D5"/>
        <color rgb="FFFFFFFF"/>
        <color rgb="FFD8F0DE"/>
      </colorScale>
    </cfRule>
  </conditionalFormatting>
  <conditionalFormatting sqref="O7:O13">
    <cfRule type="cellIs" dxfId="10" priority="4" operator="lessThan">
      <formula>1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D6"/>
    <pageSetUpPr fitToPage="1"/>
  </sheetPr>
  <dimension ref="A1:L16"/>
  <sheetViews>
    <sheetView showGridLines="0" workbookViewId="0"/>
  </sheetViews>
  <sheetFormatPr defaultRowHeight="14.5" x14ac:dyDescent="0.35"/>
  <cols>
    <col min="1" max="1" width="2" customWidth="1"/>
    <col min="2" max="2" width="26" customWidth="1"/>
    <col min="3" max="5" width="11" customWidth="1"/>
    <col min="6" max="7" width="12" customWidth="1"/>
    <col min="8" max="8" width="10" customWidth="1"/>
    <col min="9" max="9" width="11" customWidth="1"/>
    <col min="10" max="11" width="12" customWidth="1"/>
    <col min="12" max="12" width="20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tr">
        <f>"Sends in the window "&amp;TEXT(WinStart,"d mmm")&amp;" – "&amp;TEXT(WinEnd,"d mmm yyyy")&amp;" · human opens exclude privacy-proxy machine opens · limits: bounce 2%, complaints 0.1%"</f>
        <v>Sends in the window 29 Aug – 25 Sep 2026 · human opens exclude privacy-proxy machine opens · limits: bounce 2%, complaints 0.1%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68</v>
      </c>
    </row>
    <row r="6" spans="1:12" ht="32" customHeight="1" x14ac:dyDescent="0.35">
      <c r="B6" s="10" t="s">
        <v>68</v>
      </c>
      <c r="C6" s="11" t="s">
        <v>69</v>
      </c>
      <c r="D6" s="11" t="s">
        <v>70</v>
      </c>
      <c r="E6" s="11" t="s">
        <v>71</v>
      </c>
      <c r="F6" s="11" t="s">
        <v>72</v>
      </c>
      <c r="G6" s="11" t="s">
        <v>73</v>
      </c>
      <c r="H6" s="11" t="s">
        <v>74</v>
      </c>
      <c r="I6" s="11" t="s">
        <v>75</v>
      </c>
      <c r="J6" s="11" t="s">
        <v>76</v>
      </c>
      <c r="K6" s="11" t="s">
        <v>77</v>
      </c>
      <c r="L6" s="12" t="s">
        <v>78</v>
      </c>
    </row>
    <row r="7" spans="1:12" ht="16" x14ac:dyDescent="0.35">
      <c r="B7" s="13" t="s">
        <v>79</v>
      </c>
      <c r="C7" s="15">
        <f>SUMIFS(em_sends,em_sent_date,"&gt;="&amp;WinStart,em_sent_date,"&lt;="&amp;WinEnd,em_sending_domain,$B7)</f>
        <v>24909</v>
      </c>
      <c r="D7" s="15">
        <f>SUMIFS(em_delivered,em_sent_date,"&gt;="&amp;WinStart,em_sent_date,"&lt;="&amp;WinEnd,em_sending_domain,$B7)</f>
        <v>24775</v>
      </c>
      <c r="E7" s="16">
        <f>IFERROR(SUMIFS(em_bounces,em_sent_date,"&gt;="&amp;WinStart,em_sent_date,"&lt;="&amp;WinEnd,em_sending_domain,$B7)/C7,NA())</f>
        <v>5.3795816773053919E-3</v>
      </c>
      <c r="F7" s="18">
        <f>IFERROR(SUMIFS(em_human_opens,em_sent_date,"&gt;="&amp;WinStart,em_sent_date,"&lt;="&amp;WinEnd,em_sending_domain,$B7)/D7,NA())</f>
        <v>0.26696266397578206</v>
      </c>
      <c r="G7" s="18">
        <f>IFERROR(SUMIFS(em_opens,em_sent_date,"&gt;="&amp;WinStart,em_sent_date,"&lt;="&amp;WinEnd,em_sending_domain,$B7)/D7,NA())</f>
        <v>0.56032290615539859</v>
      </c>
      <c r="H7" s="16">
        <f>IFERROR(SUMIFS(em_clicks,em_sent_date,"&gt;="&amp;WinStart,em_sent_date,"&lt;="&amp;WinEnd,em_sending_domain,$B7)/D7,NA())</f>
        <v>3.2169525731584256E-2</v>
      </c>
      <c r="I7" s="18">
        <f>IFERROR(SUMIFS(em_clicks,em_sent_date,"&gt;="&amp;WinStart,em_sent_date,"&lt;="&amp;WinEnd,em_sending_domain,$B7)/SUMIFS(em_human_opens,em_sent_date,"&gt;="&amp;WinStart,em_sent_date,"&lt;="&amp;WinEnd,em_sending_domain,$B7),NA())</f>
        <v>0.12050196552766858</v>
      </c>
      <c r="J7" s="30">
        <f>IFERROR(SUMIFS(em_spam_complaints,em_sent_date,"&gt;="&amp;WinStart,em_sent_date,"&lt;="&amp;WinEnd,em_sending_domain,$B7)/D7,NA())</f>
        <v>1.2108980827447023E-4</v>
      </c>
      <c r="K7" s="16">
        <f>IFERROR(SUMIFS(em_unsubscribes,em_sent_date,"&gt;="&amp;WinStart,em_sent_date,"&lt;="&amp;WinEnd,em_sending_domain,$B7)/D7,NA())</f>
        <v>1.6145307769929364E-3</v>
      </c>
      <c r="L7" s="13" t="str">
        <f>IF(C7=0,"No sends",IF(OR(IFERROR(E7&gt;0.02,FALSE),IFERROR(J7&gt;0.001,FALSE)),"Over limit","OK"))</f>
        <v>OK</v>
      </c>
    </row>
    <row r="8" spans="1:12" ht="16" x14ac:dyDescent="0.35">
      <c r="B8" s="13" t="s">
        <v>80</v>
      </c>
      <c r="C8" s="15">
        <f>SUMIFS(em_sends,em_sent_date,"&gt;="&amp;WinStart,em_sent_date,"&lt;="&amp;WinEnd,em_sending_domain,$B8)</f>
        <v>166870</v>
      </c>
      <c r="D8" s="15">
        <f>SUMIFS(em_delivered,em_sent_date,"&gt;="&amp;WinStart,em_sent_date,"&lt;="&amp;WinEnd,em_sending_domain,$B8)</f>
        <v>160486</v>
      </c>
      <c r="E8" s="16">
        <f>IFERROR(SUMIFS(em_bounces,em_sent_date,"&gt;="&amp;WinStart,em_sent_date,"&lt;="&amp;WinEnd,em_sending_domain,$B8)/C8,NA())</f>
        <v>3.8257326062204111E-2</v>
      </c>
      <c r="F8" s="18">
        <f>IFERROR(SUMIFS(em_human_opens,em_sent_date,"&gt;="&amp;WinStart,em_sent_date,"&lt;="&amp;WinEnd,em_sending_domain,$B8)/D8,NA())</f>
        <v>0.14829330907368868</v>
      </c>
      <c r="G8" s="18">
        <f>IFERROR(SUMIFS(em_opens,em_sent_date,"&gt;="&amp;WinStart,em_sent_date,"&lt;="&amp;WinEnd,em_sending_domain,$B8)/D8,NA())</f>
        <v>0.36061089440823496</v>
      </c>
      <c r="H8" s="16">
        <f>IFERROR(SUMIFS(em_clicks,em_sent_date,"&gt;="&amp;WinStart,em_sent_date,"&lt;="&amp;WinEnd,em_sending_domain,$B8)/D8,NA())</f>
        <v>1.1664568872051145E-2</v>
      </c>
      <c r="I8" s="18">
        <f>IFERROR(SUMIFS(em_clicks,em_sent_date,"&gt;="&amp;WinStart,em_sent_date,"&lt;="&amp;WinEnd,em_sending_domain,$B8)/SUMIFS(em_human_opens,em_sent_date,"&gt;="&amp;WinStart,em_sent_date,"&lt;="&amp;WinEnd,em_sending_domain,$B8),NA())</f>
        <v>7.865876717509139E-2</v>
      </c>
      <c r="J8" s="30">
        <f>IFERROR(SUMIFS(em_spam_complaints,em_sent_date,"&gt;="&amp;WinStart,em_sent_date,"&lt;="&amp;WinEnd,em_sending_domain,$B8)/D8,NA())</f>
        <v>1.5826925713146318E-3</v>
      </c>
      <c r="K8" s="16">
        <f>IFERROR(SUMIFS(em_unsubscribes,em_sent_date,"&gt;="&amp;WinStart,em_sent_date,"&lt;="&amp;WinEnd,em_sending_domain,$B8)/D8,NA())</f>
        <v>2.6668992933963089E-3</v>
      </c>
      <c r="L8" s="13" t="str">
        <f>IF(C8=0,"No sends",IF(OR(IFERROR(E8&gt;0.02,FALSE),IFERROR(J8&gt;0.001,FALSE)),"Over limit","OK"))</f>
        <v>Over limit</v>
      </c>
    </row>
    <row r="11" spans="1:12" ht="16.5" x14ac:dyDescent="0.45">
      <c r="B11" s="5" t="s">
        <v>81</v>
      </c>
    </row>
    <row r="12" spans="1:12" ht="32" customHeight="1" x14ac:dyDescent="0.35">
      <c r="B12" s="10" t="s">
        <v>81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2" t="s">
        <v>78</v>
      </c>
    </row>
    <row r="13" spans="1:12" ht="16" x14ac:dyDescent="0.35">
      <c r="B13" s="13" t="s">
        <v>82</v>
      </c>
      <c r="C13" s="15">
        <f>SUMIFS(em_sends,em_sent_date,"&gt;="&amp;WinStart,em_sent_date,"&lt;="&amp;WinEnd,em_email_type,$B13)</f>
        <v>83237</v>
      </c>
      <c r="D13" s="15">
        <f>SUMIFS(em_delivered,em_sent_date,"&gt;="&amp;WinStart,em_sent_date,"&lt;="&amp;WinEnd,em_email_type,$B13)</f>
        <v>80054</v>
      </c>
      <c r="E13" s="16">
        <f>IFERROR(SUMIFS(em_bounces,em_sent_date,"&gt;="&amp;WinStart,em_sent_date,"&lt;="&amp;WinEnd,em_email_type,$B13)/C13,NA())</f>
        <v>3.8240205677763497E-2</v>
      </c>
      <c r="F13" s="18">
        <f>IFERROR(SUMIFS(em_human_opens,em_sent_date,"&gt;="&amp;WinStart,em_sent_date,"&lt;="&amp;WinEnd,em_email_type,$B13)/D13,NA())</f>
        <v>0.16144102730656806</v>
      </c>
      <c r="G13" s="18">
        <f>IFERROR(SUMIFS(em_opens,em_sent_date,"&gt;="&amp;WinStart,em_sent_date,"&lt;="&amp;WinEnd,em_email_type,$B13)/D13,NA())</f>
        <v>0.37308566717465713</v>
      </c>
      <c r="H13" s="16">
        <f>IFERROR(SUMIFS(em_clicks,em_sent_date,"&gt;="&amp;WinStart,em_sent_date,"&lt;="&amp;WinEnd,em_email_type,$B13)/D13,NA())</f>
        <v>1.220426212306693E-2</v>
      </c>
      <c r="I13" s="18">
        <f>IFERROR(SUMIFS(em_clicks,em_sent_date,"&gt;="&amp;WinStart,em_sent_date,"&lt;="&amp;WinEnd,em_email_type,$B13)/SUMIFS(em_human_opens,em_sent_date,"&gt;="&amp;WinStart,em_sent_date,"&lt;="&amp;WinEnd,em_email_type,$B13),NA())</f>
        <v>7.5595790776849275E-2</v>
      </c>
      <c r="J13" s="30">
        <f>IFERROR(SUMIFS(em_spam_complaints,em_sent_date,"&gt;="&amp;WinStart,em_sent_date,"&lt;="&amp;WinEnd,em_email_type,$B13)/D13,NA())</f>
        <v>1.5739375921253154E-3</v>
      </c>
      <c r="K13" s="16">
        <f>IFERROR(SUMIFS(em_unsubscribes,em_sent_date,"&gt;="&amp;WinStart,em_sent_date,"&lt;="&amp;WinEnd,em_email_type,$B13)/D13,NA())</f>
        <v>1.8237689559547307E-3</v>
      </c>
      <c r="L13" s="13" t="str">
        <f>IF(C13=0,"No sends",IF(OR(IFERROR(E13&gt;0.02,FALSE),IFERROR(J13&gt;0.001,FALSE)),"Over limit","OK"))</f>
        <v>Over limit</v>
      </c>
    </row>
    <row r="14" spans="1:12" ht="16" x14ac:dyDescent="0.35">
      <c r="B14" s="13" t="s">
        <v>83</v>
      </c>
      <c r="C14" s="15">
        <f>SUMIFS(em_sends,em_sent_date,"&gt;="&amp;WinStart,em_sent_date,"&lt;="&amp;WinEnd,em_email_type,$B14)</f>
        <v>4125</v>
      </c>
      <c r="D14" s="15">
        <f>SUMIFS(em_delivered,em_sent_date,"&gt;="&amp;WinStart,em_sent_date,"&lt;="&amp;WinEnd,em_email_type,$B14)</f>
        <v>4105</v>
      </c>
      <c r="E14" s="16">
        <f>IFERROR(SUMIFS(em_bounces,em_sent_date,"&gt;="&amp;WinStart,em_sent_date,"&lt;="&amp;WinEnd,em_email_type,$B14)/C14,NA())</f>
        <v>4.8484848484848485E-3</v>
      </c>
      <c r="F14" s="18">
        <f>IFERROR(SUMIFS(em_human_opens,em_sent_date,"&gt;="&amp;WinStart,em_sent_date,"&lt;="&amp;WinEnd,em_email_type,$B14)/D14,NA())</f>
        <v>0.40682095006090135</v>
      </c>
      <c r="G14" s="18">
        <f>IFERROR(SUMIFS(em_opens,em_sent_date,"&gt;="&amp;WinStart,em_sent_date,"&lt;="&amp;WinEnd,em_email_type,$B14)/D14,NA())</f>
        <v>0.69671132764920829</v>
      </c>
      <c r="H14" s="16">
        <f>IFERROR(SUMIFS(em_clicks,em_sent_date,"&gt;="&amp;WinStart,em_sent_date,"&lt;="&amp;WinEnd,em_email_type,$B14)/D14,NA())</f>
        <v>5.2618757612667481E-2</v>
      </c>
      <c r="I14" s="18">
        <f>IFERROR(SUMIFS(em_clicks,em_sent_date,"&gt;="&amp;WinStart,em_sent_date,"&lt;="&amp;WinEnd,em_email_type,$B14)/SUMIFS(em_human_opens,em_sent_date,"&gt;="&amp;WinStart,em_sent_date,"&lt;="&amp;WinEnd,em_email_type,$B14),NA())</f>
        <v>0.12934131736526946</v>
      </c>
      <c r="J14" s="30">
        <f>IFERROR(SUMIFS(em_spam_complaints,em_sent_date,"&gt;="&amp;WinStart,em_sent_date,"&lt;="&amp;WinEnd,em_email_type,$B14)/D14,NA())</f>
        <v>0</v>
      </c>
      <c r="K14" s="16">
        <f>IFERROR(SUMIFS(em_unsubscribes,em_sent_date,"&gt;="&amp;WinStart,em_sent_date,"&lt;="&amp;WinEnd,em_email_type,$B14)/D14,NA())</f>
        <v>2.1924482338611449E-3</v>
      </c>
      <c r="L14" s="13" t="str">
        <f>IF(C14=0,"No sends",IF(OR(IFERROR(E14&gt;0.02,FALSE),IFERROR(J14&gt;0.001,FALSE)),"Over limit","OK"))</f>
        <v>OK</v>
      </c>
    </row>
    <row r="15" spans="1:12" ht="16" x14ac:dyDescent="0.35">
      <c r="B15" s="13" t="s">
        <v>84</v>
      </c>
      <c r="C15" s="15">
        <f>SUMIFS(em_sends,em_sent_date,"&gt;="&amp;WinStart,em_sent_date,"&lt;="&amp;WinEnd,em_email_type,$B15)</f>
        <v>83633</v>
      </c>
      <c r="D15" s="15">
        <f>SUMIFS(em_delivered,em_sent_date,"&gt;="&amp;WinStart,em_sent_date,"&lt;="&amp;WinEnd,em_email_type,$B15)</f>
        <v>80432</v>
      </c>
      <c r="E15" s="16">
        <f>IFERROR(SUMIFS(em_bounces,em_sent_date,"&gt;="&amp;WinStart,em_sent_date,"&lt;="&amp;WinEnd,em_email_type,$B15)/C15,NA())</f>
        <v>3.827436538208602E-2</v>
      </c>
      <c r="F15" s="18">
        <f>IFERROR(SUMIFS(em_human_opens,em_sent_date,"&gt;="&amp;WinStart,em_sent_date,"&lt;="&amp;WinEnd,em_email_type,$B15)/D15,NA())</f>
        <v>0.1352073801472051</v>
      </c>
      <c r="G15" s="18">
        <f>IFERROR(SUMIFS(em_opens,em_sent_date,"&gt;="&amp;WinStart,em_sent_date,"&lt;="&amp;WinEnd,em_email_type,$B15)/D15,NA())</f>
        <v>0.34819474835886216</v>
      </c>
      <c r="H15" s="16">
        <f>IFERROR(SUMIFS(em_clicks,em_sent_date,"&gt;="&amp;WinStart,em_sent_date,"&lt;="&amp;WinEnd,em_email_type,$B15)/D15,NA())</f>
        <v>1.11274119753332E-2</v>
      </c>
      <c r="I15" s="18">
        <f>IFERROR(SUMIFS(em_clicks,em_sent_date,"&gt;="&amp;WinStart,em_sent_date,"&lt;="&amp;WinEnd,em_email_type,$B15)/SUMIFS(em_human_opens,em_sent_date,"&gt;="&amp;WinStart,em_sent_date,"&lt;="&amp;WinEnd,em_email_type,$B15),NA())</f>
        <v>8.2298850574712645E-2</v>
      </c>
      <c r="J15" s="30">
        <f>IFERROR(SUMIFS(em_spam_complaints,em_sent_date,"&gt;="&amp;WinStart,em_sent_date,"&lt;="&amp;WinEnd,em_email_type,$B15)/D15,NA())</f>
        <v>1.5914064054107818E-3</v>
      </c>
      <c r="K15" s="16">
        <f>IFERROR(SUMIFS(em_unsubscribes,em_sent_date,"&gt;="&amp;WinStart,em_sent_date,"&lt;="&amp;WinEnd,em_email_type,$B15)/D15,NA())</f>
        <v>3.5060672369206288E-3</v>
      </c>
      <c r="L15" s="13" t="str">
        <f>IF(C15=0,"No sends",IF(OR(IFERROR(E15&gt;0.02,FALSE),IFERROR(J15&gt;0.001,FALSE)),"Over limit","OK"))</f>
        <v>Over limit</v>
      </c>
    </row>
    <row r="16" spans="1:12" ht="16" x14ac:dyDescent="0.35">
      <c r="B16" s="13" t="s">
        <v>85</v>
      </c>
      <c r="C16" s="15">
        <f>SUMIFS(em_sends,em_sent_date,"&gt;="&amp;WinStart,em_sent_date,"&lt;="&amp;WinEnd,em_email_type,$B16)</f>
        <v>20784</v>
      </c>
      <c r="D16" s="15">
        <f>SUMIFS(em_delivered,em_sent_date,"&gt;="&amp;WinStart,em_sent_date,"&lt;="&amp;WinEnd,em_email_type,$B16)</f>
        <v>20670</v>
      </c>
      <c r="E16" s="16">
        <f>IFERROR(SUMIFS(em_bounces,em_sent_date,"&gt;="&amp;WinStart,em_sent_date,"&lt;="&amp;WinEnd,em_email_type,$B16)/C16,NA())</f>
        <v>5.484988452655889E-3</v>
      </c>
      <c r="F16" s="18">
        <f>IFERROR(SUMIFS(em_human_opens,em_sent_date,"&gt;="&amp;WinStart,em_sent_date,"&lt;="&amp;WinEnd,em_email_type,$B16)/D16,NA())</f>
        <v>0.23918722786647315</v>
      </c>
      <c r="G16" s="18">
        <f>IFERROR(SUMIFS(em_opens,em_sent_date,"&gt;="&amp;WinStart,em_sent_date,"&lt;="&amp;WinEnd,em_email_type,$B16)/D16,NA())</f>
        <v>0.53323657474600872</v>
      </c>
      <c r="H16" s="16">
        <f>IFERROR(SUMIFS(em_clicks,em_sent_date,"&gt;="&amp;WinStart,em_sent_date,"&lt;="&amp;WinEnd,em_email_type,$B16)/D16,NA())</f>
        <v>2.810836961780358E-2</v>
      </c>
      <c r="I16" s="18">
        <f>IFERROR(SUMIFS(em_clicks,em_sent_date,"&gt;="&amp;WinStart,em_sent_date,"&lt;="&amp;WinEnd,em_email_type,$B16)/SUMIFS(em_human_opens,em_sent_date,"&gt;="&amp;WinStart,em_sent_date,"&lt;="&amp;WinEnd,em_email_type,$B16),NA())</f>
        <v>0.11751618122977346</v>
      </c>
      <c r="J16" s="30">
        <f>IFERROR(SUMIFS(em_spam_complaints,em_sent_date,"&gt;="&amp;WinStart,em_sent_date,"&lt;="&amp;WinEnd,em_email_type,$B16)/D16,NA())</f>
        <v>1.4513788098693758E-4</v>
      </c>
      <c r="K16" s="16">
        <f>IFERROR(SUMIFS(em_unsubscribes,em_sent_date,"&gt;="&amp;WinStart,em_sent_date,"&lt;="&amp;WinEnd,em_email_type,$B16)/D16,NA())</f>
        <v>1.4997581035316883E-3</v>
      </c>
      <c r="L16" s="13" t="str">
        <f>IF(C16=0,"No sends",IF(OR(IFERROR(E16&gt;0.02,FALSE),IFERROR(J16&gt;0.001,FALSE)),"Over limit","OK"))</f>
        <v>OK</v>
      </c>
    </row>
  </sheetData>
  <sheetProtection sheet="1" formatColumns="0" sort="0" autoFilter="0"/>
  <conditionalFormatting sqref="E7:E8">
    <cfRule type="cellIs" dxfId="9" priority="1" operator="greaterThan">
      <formula>0.02</formula>
    </cfRule>
  </conditionalFormatting>
  <conditionalFormatting sqref="E13:E16">
    <cfRule type="cellIs" dxfId="8" priority="4" operator="greaterThan">
      <formula>0.02</formula>
    </cfRule>
  </conditionalFormatting>
  <conditionalFormatting sqref="J7:J8">
    <cfRule type="cellIs" dxfId="7" priority="2" operator="greaterThan">
      <formula>0.001</formula>
    </cfRule>
  </conditionalFormatting>
  <conditionalFormatting sqref="J13:J16">
    <cfRule type="cellIs" dxfId="6" priority="5" operator="greaterThan">
      <formula>0.001</formula>
    </cfRule>
  </conditionalFormatting>
  <conditionalFormatting sqref="L7:L8">
    <cfRule type="expression" dxfId="5" priority="3">
      <formula>L7="Over limit"</formula>
    </cfRule>
  </conditionalFormatting>
  <conditionalFormatting sqref="L13:L16">
    <cfRule type="expression" dxfId="4" priority="6">
      <formula>L13="Over limit"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D6"/>
    <pageSetUpPr fitToPage="1"/>
  </sheetPr>
  <dimension ref="A1:L24"/>
  <sheetViews>
    <sheetView showGridLines="0" workbookViewId="0"/>
  </sheetViews>
  <sheetFormatPr defaultRowHeight="14.5" x14ac:dyDescent="0.35"/>
  <cols>
    <col min="1" max="1" width="2" customWidth="1"/>
    <col min="2" max="2" width="24" customWidth="1"/>
    <col min="3" max="3" width="13" customWidth="1"/>
    <col min="4" max="5" width="16" customWidth="1"/>
    <col min="6" max="6" width="14" customWidth="1"/>
    <col min="7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86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87</v>
      </c>
    </row>
    <row r="6" spans="1:12" ht="32" customHeight="1" x14ac:dyDescent="0.35">
      <c r="B6" s="10" t="s">
        <v>88</v>
      </c>
      <c r="C6" s="11" t="s">
        <v>89</v>
      </c>
      <c r="D6" s="84" t="s">
        <v>90</v>
      </c>
      <c r="E6" s="85"/>
      <c r="F6" s="85"/>
      <c r="G6" s="85"/>
      <c r="H6" s="85"/>
      <c r="I6" s="85"/>
    </row>
    <row r="7" spans="1:12" ht="16" x14ac:dyDescent="0.35">
      <c r="B7" s="31" t="str">
        <f>Bridge!E2</f>
        <v>CRM bookings</v>
      </c>
      <c r="C7" s="32">
        <f>Bridge!D2/100</f>
        <v>3323400</v>
      </c>
      <c r="D7" s="83" t="str">
        <f>Bridge!F2</f>
        <v>Closed-won deal value in the CRM</v>
      </c>
      <c r="E7" s="62"/>
      <c r="F7" s="62"/>
      <c r="G7" s="62"/>
      <c r="H7" s="62"/>
      <c r="I7" s="62"/>
    </row>
    <row r="8" spans="1:12" ht="16" x14ac:dyDescent="0.35">
      <c r="B8" s="13" t="str">
        <f>Bridge!E3</f>
        <v>Duplicate deals</v>
      </c>
      <c r="C8" s="14">
        <f>Bridge!D3/100</f>
        <v>-4800</v>
      </c>
      <c r="D8" s="82" t="str">
        <f>Bridge!F3</f>
        <v>Deals the CRM migration created twice</v>
      </c>
      <c r="E8" s="62"/>
      <c r="F8" s="62"/>
      <c r="G8" s="62"/>
      <c r="H8" s="62"/>
      <c r="I8" s="62"/>
    </row>
    <row r="9" spans="1:12" ht="16" x14ac:dyDescent="0.35">
      <c r="B9" s="13" t="str">
        <f>Bridge!E4</f>
        <v>Not yet collected</v>
      </c>
      <c r="C9" s="14">
        <f>Bridge!D4/100</f>
        <v>-189600</v>
      </c>
      <c r="D9" s="82" t="str">
        <f>Bridge!F4</f>
        <v>Booked, with instalments still to come</v>
      </c>
      <c r="E9" s="62"/>
      <c r="F9" s="62"/>
      <c r="G9" s="62"/>
      <c r="H9" s="62"/>
      <c r="I9" s="62"/>
    </row>
    <row r="10" spans="1:12" ht="16" x14ac:dyDescent="0.35">
      <c r="B10" s="13" t="str">
        <f>Bridge!E5</f>
        <v>Unlinked payments</v>
      </c>
      <c r="C10" s="14">
        <f>Bridge!D5/100</f>
        <v>33300</v>
      </c>
      <c r="D10" s="82" t="str">
        <f>Bridge!F5</f>
        <v>Cash whose deal link the migration lost</v>
      </c>
      <c r="E10" s="62"/>
      <c r="F10" s="62"/>
      <c r="G10" s="62"/>
      <c r="H10" s="62"/>
      <c r="I10" s="62"/>
    </row>
    <row r="11" spans="1:12" ht="16" x14ac:dyDescent="0.35">
      <c r="B11" s="13" t="str">
        <f>Bridge!E6</f>
        <v>Renewals</v>
      </c>
      <c r="C11" s="14">
        <f>Bridge!D6/100</f>
        <v>28500</v>
      </c>
      <c r="D11" s="82" t="str">
        <f>Bridge!F6</f>
        <v>Subscription renewals, which never pass through a deal</v>
      </c>
      <c r="E11" s="62"/>
      <c r="F11" s="62"/>
      <c r="G11" s="62"/>
      <c r="H11" s="62"/>
      <c r="I11" s="62"/>
    </row>
    <row r="12" spans="1:12" ht="16" x14ac:dyDescent="0.35">
      <c r="B12" s="31" t="str">
        <f>Bridge!E7</f>
        <v>Gross collected</v>
      </c>
      <c r="C12" s="32">
        <f>Bridge!D7/100</f>
        <v>3190800</v>
      </c>
      <c r="D12" s="83" t="str">
        <f>Bridge!F7</f>
        <v>Payments received</v>
      </c>
      <c r="E12" s="62"/>
      <c r="F12" s="62"/>
      <c r="G12" s="62"/>
      <c r="H12" s="62"/>
      <c r="I12" s="62"/>
    </row>
    <row r="13" spans="1:12" ht="16" x14ac:dyDescent="0.35">
      <c r="B13" s="13" t="str">
        <f>Bridge!E8</f>
        <v>Refunds</v>
      </c>
      <c r="C13" s="14">
        <f>Bridge!D8/100</f>
        <v>-133450</v>
      </c>
      <c r="D13" s="82" t="str">
        <f>Bridge!F8</f>
        <v>Money returned</v>
      </c>
      <c r="E13" s="62"/>
      <c r="F13" s="62"/>
      <c r="G13" s="62"/>
      <c r="H13" s="62"/>
      <c r="I13" s="62"/>
    </row>
    <row r="14" spans="1:12" ht="16" x14ac:dyDescent="0.35">
      <c r="B14" s="31" t="str">
        <f>Bridge!E9</f>
        <v>Net collected</v>
      </c>
      <c r="C14" s="32">
        <f>Bridge!D9/100</f>
        <v>3057350</v>
      </c>
      <c r="D14" s="83" t="str">
        <f>Bridge!F9</f>
        <v>Cash the business kept</v>
      </c>
      <c r="E14" s="62"/>
      <c r="F14" s="62"/>
      <c r="G14" s="62"/>
      <c r="H14" s="62"/>
      <c r="I14" s="62"/>
    </row>
    <row r="15" spans="1:12" ht="16" x14ac:dyDescent="0.35">
      <c r="B15" s="13" t="s">
        <v>91</v>
      </c>
      <c r="C15" s="33">
        <f>Audit!C8+Audit!C9</f>
        <v>0</v>
      </c>
    </row>
    <row r="18" spans="2:9" ht="16.5" x14ac:dyDescent="0.45">
      <c r="B18" s="5" t="s">
        <v>92</v>
      </c>
    </row>
    <row r="19" spans="2:9" ht="32" customHeight="1" x14ac:dyDescent="0.35">
      <c r="B19" s="10" t="s">
        <v>41</v>
      </c>
      <c r="C19" s="11" t="s">
        <v>42</v>
      </c>
      <c r="D19" s="11" t="s">
        <v>93</v>
      </c>
      <c r="E19" s="11" t="s">
        <v>94</v>
      </c>
      <c r="F19" s="11" t="s">
        <v>95</v>
      </c>
      <c r="G19" s="11" t="s">
        <v>96</v>
      </c>
      <c r="H19" s="11" t="s">
        <v>97</v>
      </c>
      <c r="I19" s="11" t="s">
        <v>98</v>
      </c>
    </row>
    <row r="20" spans="2:9" ht="16" x14ac:dyDescent="0.35">
      <c r="B20" s="13" t="str">
        <f>Platforms!A2</f>
        <v>google</v>
      </c>
      <c r="C20" s="14">
        <f>Platforms!B2/100</f>
        <v>124898.81</v>
      </c>
      <c r="D20" s="14">
        <f>Platforms!D2/100</f>
        <v>1083600</v>
      </c>
      <c r="E20" s="14">
        <f>Platforms!E2/100</f>
        <v>721750</v>
      </c>
      <c r="F20" s="14">
        <f>D20-E20</f>
        <v>361850</v>
      </c>
      <c r="G20" s="19">
        <f>IFERROR(D20/C20,NA())</f>
        <v>8.6758232524393151</v>
      </c>
      <c r="H20" s="19">
        <f>IFERROR(E20/C20,NA())</f>
        <v>5.7786779553784378</v>
      </c>
      <c r="I20" s="19">
        <f>IFERROR(D20/E20,NA())</f>
        <v>1.5013508832698303</v>
      </c>
    </row>
    <row r="21" spans="2:9" ht="16" x14ac:dyDescent="0.35">
      <c r="B21" s="13" t="str">
        <f>Platforms!A3</f>
        <v>linkedin</v>
      </c>
      <c r="C21" s="14">
        <f>Platforms!B3/100</f>
        <v>91972.96</v>
      </c>
      <c r="D21" s="14">
        <f>Platforms!D3/100</f>
        <v>711000</v>
      </c>
      <c r="E21" s="14">
        <f>Platforms!E3/100</f>
        <v>548200</v>
      </c>
      <c r="F21" s="14">
        <f>D21-E21</f>
        <v>162800</v>
      </c>
      <c r="G21" s="19">
        <f>IFERROR(D21/C21,NA())</f>
        <v>7.7305329740393258</v>
      </c>
      <c r="H21" s="19">
        <f>IFERROR(E21/C21,NA())</f>
        <v>5.9604475054407295</v>
      </c>
      <c r="I21" s="19">
        <f>IFERROR(D21/E21,NA())</f>
        <v>1.2969719080627509</v>
      </c>
    </row>
    <row r="22" spans="2:9" ht="16" x14ac:dyDescent="0.35">
      <c r="B22" s="13" t="str">
        <f>Platforms!A4</f>
        <v>meta</v>
      </c>
      <c r="C22" s="14">
        <f>Platforms!B4/100</f>
        <v>265521.28000000003</v>
      </c>
      <c r="D22" s="14">
        <f>Platforms!D4/100</f>
        <v>1929600</v>
      </c>
      <c r="E22" s="14">
        <f>Platforms!E4/100</f>
        <v>864300</v>
      </c>
      <c r="F22" s="14">
        <f>D22-E22</f>
        <v>1065300</v>
      </c>
      <c r="G22" s="19">
        <f>IFERROR(D22/C22,NA())</f>
        <v>7.2672141381662509</v>
      </c>
      <c r="H22" s="19">
        <f>IFERROR(E22/C22,NA())</f>
        <v>3.2551063327202998</v>
      </c>
      <c r="I22" s="19">
        <f>IFERROR(D22/E22,NA())</f>
        <v>2.2325581395348837</v>
      </c>
    </row>
    <row r="23" spans="2:9" ht="16" x14ac:dyDescent="0.35">
      <c r="B23" s="31" t="s">
        <v>99</v>
      </c>
      <c r="C23" s="32">
        <f>SUM(C20:C22)</f>
        <v>482393.05000000005</v>
      </c>
      <c r="D23" s="32">
        <f>SUM(D20:D22)</f>
        <v>3724200</v>
      </c>
      <c r="E23" s="32">
        <f>SUM(E20:E22)</f>
        <v>2134250</v>
      </c>
      <c r="F23" s="32">
        <f>SUM(F20:F22)</f>
        <v>1589950</v>
      </c>
      <c r="G23" s="34">
        <f>D23/C23</f>
        <v>7.7202604805355293</v>
      </c>
      <c r="H23" s="34">
        <f>E23/C23</f>
        <v>4.4242967430811859</v>
      </c>
      <c r="I23" s="34">
        <f>D23/E23</f>
        <v>1.7449689586505799</v>
      </c>
    </row>
    <row r="24" spans="2:9" ht="15" x14ac:dyDescent="0.4">
      <c r="B24" s="29" t="s">
        <v>100</v>
      </c>
    </row>
  </sheetData>
  <sheetProtection sheet="1" formatColumns="0" sort="0" autoFilter="0"/>
  <mergeCells count="9">
    <mergeCell ref="D6:I6"/>
    <mergeCell ref="D7:I7"/>
    <mergeCell ref="D8:I8"/>
    <mergeCell ref="D11:I11"/>
    <mergeCell ref="D10:I10"/>
    <mergeCell ref="D13:I13"/>
    <mergeCell ref="D14:I14"/>
    <mergeCell ref="D9:I9"/>
    <mergeCell ref="D12:I12"/>
  </mergeCells>
  <printOptions horizontalCentered="1"/>
  <pageMargins left="0.75" right="0.75" top="1" bottom="1" header="0.5" footer="0.5"/>
  <pageSetup fitToHeight="0" orientation="landscape"/>
  <rowBreaks count="1" manualBreakCount="1">
    <brk id="24" max="16383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6FD6"/>
    <pageSetUpPr fitToPage="1"/>
  </sheetPr>
  <dimension ref="A1:O23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3" width="12" customWidth="1"/>
    <col min="4" max="4" width="10" customWidth="1"/>
    <col min="5" max="7" width="12" customWidth="1"/>
    <col min="8" max="8" width="14" customWidth="1"/>
  </cols>
  <sheetData>
    <row r="1" spans="1:15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0" customHeight="1" x14ac:dyDescent="0.35">
      <c r="A2" s="1"/>
      <c r="B2" s="2" t="s">
        <v>101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0" customHeight="1" x14ac:dyDescent="0.35">
      <c r="A3" s="1"/>
      <c r="B3" s="3" t="s">
        <v>102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5" spans="1:15" ht="16.5" x14ac:dyDescent="0.45">
      <c r="B5" s="5" t="s">
        <v>103</v>
      </c>
    </row>
    <row r="6" spans="1:15" ht="32" customHeight="1" x14ac:dyDescent="0.35">
      <c r="B6" s="10" t="s">
        <v>104</v>
      </c>
      <c r="C6" s="11" t="s">
        <v>105</v>
      </c>
      <c r="D6" s="11" t="s">
        <v>106</v>
      </c>
      <c r="E6" s="11" t="s">
        <v>107</v>
      </c>
    </row>
    <row r="7" spans="1:15" ht="16" x14ac:dyDescent="0.35">
      <c r="B7" s="13" t="str">
        <f>Funnel!E2</f>
        <v>Lead</v>
      </c>
      <c r="C7" s="15">
        <f>Funnel!C2</f>
        <v>14693</v>
      </c>
      <c r="D7" s="18"/>
      <c r="E7" s="16">
        <f t="shared" ref="E7:E15" si="0">IFERROR(C7/$C$7,NA())</f>
        <v>1</v>
      </c>
    </row>
    <row r="8" spans="1:15" ht="16" x14ac:dyDescent="0.35">
      <c r="B8" s="13" t="str">
        <f>Funnel!E3</f>
        <v>MQL</v>
      </c>
      <c r="C8" s="15">
        <f>Funnel!C3</f>
        <v>4115</v>
      </c>
      <c r="D8" s="18">
        <f t="shared" ref="D8:D15" si="1">IFERROR(C8/C7,NA())</f>
        <v>0.28006533723541821</v>
      </c>
      <c r="E8" s="16">
        <f t="shared" si="0"/>
        <v>0.28006533723541821</v>
      </c>
    </row>
    <row r="9" spans="1:15" ht="16" x14ac:dyDescent="0.35">
      <c r="B9" s="13" t="str">
        <f>Funnel!E4</f>
        <v>Call booked</v>
      </c>
      <c r="C9" s="15">
        <f>Funnel!C4</f>
        <v>1896</v>
      </c>
      <c r="D9" s="18">
        <f t="shared" si="1"/>
        <v>0.46075334143377888</v>
      </c>
      <c r="E9" s="16">
        <f t="shared" si="0"/>
        <v>0.12904103995099708</v>
      </c>
    </row>
    <row r="10" spans="1:15" ht="16" x14ac:dyDescent="0.35">
      <c r="B10" s="13" t="str">
        <f>Funnel!E5</f>
        <v>Call attended</v>
      </c>
      <c r="C10" s="15">
        <f>Funnel!C5</f>
        <v>1420</v>
      </c>
      <c r="D10" s="18">
        <f t="shared" si="1"/>
        <v>0.74894514767932485</v>
      </c>
      <c r="E10" s="16">
        <f t="shared" si="0"/>
        <v>9.6644660722793166E-2</v>
      </c>
    </row>
    <row r="11" spans="1:15" ht="16" x14ac:dyDescent="0.35">
      <c r="B11" s="13" t="str">
        <f>Funnel!E6</f>
        <v>Opportunity</v>
      </c>
      <c r="C11" s="15">
        <f>Funnel!C6</f>
        <v>1199</v>
      </c>
      <c r="D11" s="18">
        <f t="shared" si="1"/>
        <v>0.84436619718309858</v>
      </c>
      <c r="E11" s="16">
        <f t="shared" si="0"/>
        <v>8.1603484652555638E-2</v>
      </c>
    </row>
    <row r="12" spans="1:15" ht="16" x14ac:dyDescent="0.35">
      <c r="B12" s="13" t="str">
        <f>Funnel!E7</f>
        <v>Closed won</v>
      </c>
      <c r="C12" s="15">
        <f>Funnel!C7</f>
        <v>438</v>
      </c>
      <c r="D12" s="18">
        <f t="shared" si="1"/>
        <v>0.36530442035029193</v>
      </c>
      <c r="E12" s="16">
        <f t="shared" si="0"/>
        <v>2.981011365956578E-2</v>
      </c>
    </row>
    <row r="13" spans="1:15" ht="16" x14ac:dyDescent="0.35">
      <c r="B13" s="13" t="str">
        <f>Funnel!E8</f>
        <v>Paid</v>
      </c>
      <c r="C13" s="15">
        <f>Funnel!C8</f>
        <v>427</v>
      </c>
      <c r="D13" s="18">
        <f t="shared" si="1"/>
        <v>0.97488584474885842</v>
      </c>
      <c r="E13" s="16">
        <f t="shared" si="0"/>
        <v>2.906145783706527E-2</v>
      </c>
    </row>
    <row r="14" spans="1:15" ht="16" x14ac:dyDescent="0.35">
      <c r="B14" s="13" t="str">
        <f>Funnel!E9</f>
        <v>Access activated</v>
      </c>
      <c r="C14" s="15">
        <f>Funnel!C9</f>
        <v>418</v>
      </c>
      <c r="D14" s="18">
        <f t="shared" si="1"/>
        <v>0.97892271662763464</v>
      </c>
      <c r="E14" s="16">
        <f t="shared" si="0"/>
        <v>2.8448921255019397E-2</v>
      </c>
    </row>
    <row r="15" spans="1:15" ht="16" x14ac:dyDescent="0.35">
      <c r="B15" s="13" t="str">
        <f>Funnel!E10</f>
        <v>Renewed</v>
      </c>
      <c r="C15" s="15">
        <f>Funnel!C10</f>
        <v>19</v>
      </c>
      <c r="D15" s="18">
        <f t="shared" si="1"/>
        <v>4.5454545454545456E-2</v>
      </c>
      <c r="E15" s="16">
        <f t="shared" si="0"/>
        <v>1.2931327843190635E-3</v>
      </c>
    </row>
    <row r="18" spans="2:8" ht="16.5" x14ac:dyDescent="0.45">
      <c r="B18" s="5" t="s">
        <v>108</v>
      </c>
    </row>
    <row r="19" spans="2:8" ht="32" customHeight="1" x14ac:dyDescent="0.35">
      <c r="B19" s="10" t="s">
        <v>109</v>
      </c>
      <c r="C19" s="11" t="s">
        <v>110</v>
      </c>
      <c r="D19" s="11" t="s">
        <v>46</v>
      </c>
      <c r="E19" s="11" t="s">
        <v>111</v>
      </c>
      <c r="F19" s="11" t="s">
        <v>112</v>
      </c>
      <c r="G19" s="11" t="s">
        <v>113</v>
      </c>
      <c r="H19" s="11" t="s">
        <v>114</v>
      </c>
    </row>
    <row r="20" spans="2:8" ht="16" x14ac:dyDescent="0.35">
      <c r="B20" s="13" t="str">
        <f>Experiment!C2</f>
        <v>Control: Book a strategy call</v>
      </c>
      <c r="C20" s="15">
        <f>Experiment!E2</f>
        <v>7951</v>
      </c>
      <c r="D20" s="15">
        <f>Experiment!F2</f>
        <v>524</v>
      </c>
      <c r="E20" s="16">
        <f>IFERROR(D20/C20,NA())</f>
        <v>6.5903659916991569E-2</v>
      </c>
      <c r="F20" s="18">
        <f>IFERROR(Experiment!G2/D20,NA())</f>
        <v>0.22900763358778625</v>
      </c>
      <c r="G20" s="15">
        <f>Experiment!H2</f>
        <v>6</v>
      </c>
      <c r="H20" s="17">
        <f>IFERROR(Experiment!I2/100/C20,NA())</f>
        <v>6.4520186140108162</v>
      </c>
    </row>
    <row r="21" spans="2:8" ht="16" x14ac:dyDescent="0.35">
      <c r="B21" s="13" t="str">
        <f>Experiment!C3</f>
        <v>Variant: Get my growth plan</v>
      </c>
      <c r="C21" s="15">
        <f>Experiment!E3</f>
        <v>7940</v>
      </c>
      <c r="D21" s="15">
        <f>Experiment!F3</f>
        <v>787</v>
      </c>
      <c r="E21" s="16">
        <f>IFERROR(D21/C21,NA())</f>
        <v>9.9118387909319899E-2</v>
      </c>
      <c r="F21" s="18">
        <f>IFERROR(Experiment!G3/D21,NA())</f>
        <v>0.19695044472681067</v>
      </c>
      <c r="G21" s="15">
        <f>Experiment!H3</f>
        <v>9</v>
      </c>
      <c r="H21" s="17">
        <f>IFERROR(Experiment!I3/100/C21,NA())</f>
        <v>5.5919395465994963</v>
      </c>
    </row>
    <row r="22" spans="2:8" ht="16" x14ac:dyDescent="0.35">
      <c r="B22" s="31" t="s">
        <v>115</v>
      </c>
      <c r="C22" s="35"/>
      <c r="D22" s="35"/>
      <c r="E22" s="36">
        <f>IFERROR(ROUND(E21/E20-1,3),NA())</f>
        <v>0.504</v>
      </c>
      <c r="F22" s="35"/>
      <c r="G22" s="35"/>
      <c r="H22" s="36">
        <f>IFERROR(ROUND(H21/H20-1,3),NA())</f>
        <v>-0.13300000000000001</v>
      </c>
    </row>
    <row r="23" spans="2:8" ht="16" x14ac:dyDescent="0.45">
      <c r="B23" s="37" t="str">
        <f>"Decision: "&amp;IF(AND(E22&gt;0,H22&lt;=0),"keep the control. The variant lifts leads "&amp;TEXT(E22,"0%")&amp;" but cash per visitor moves "&amp;TEXT(ROUND(H22,2),"+0%;-0%;+0%")&amp;" on only "&amp;G20+G21&amp;" buyers.","review with the API's bootstrap interval before shipping.")</f>
        <v>Decision: keep the control. The variant lifts leads 50% but cash per visitor moves -13% on only 15 buyers.</v>
      </c>
    </row>
  </sheetData>
  <sheetProtection sheet="1" formatColumns="0" sort="0" autoFilter="0"/>
  <conditionalFormatting sqref="C7:C15">
    <cfRule type="dataBar" priority="1">
      <dataBar>
        <cfvo type="num" val="0"/>
        <cfvo type="max"/>
        <color rgb="FF9DBBEB"/>
      </dataBar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6FD6"/>
    <pageSetUpPr fitToPage="1"/>
  </sheetPr>
  <dimension ref="A1:L46"/>
  <sheetViews>
    <sheetView showGridLines="0" workbookViewId="0"/>
  </sheetViews>
  <sheetFormatPr defaultRowHeight="14.5" x14ac:dyDescent="0.35"/>
  <cols>
    <col min="1" max="1" width="2" customWidth="1"/>
    <col min="2" max="2" width="14" customWidth="1"/>
    <col min="3" max="3" width="26" customWidth="1"/>
    <col min="4" max="4" width="22" customWidth="1"/>
    <col min="5" max="5" width="11" customWidth="1"/>
    <col min="6" max="6" width="13" customWidth="1"/>
    <col min="7" max="8" width="14" customWidth="1"/>
    <col min="9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117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118</v>
      </c>
    </row>
    <row r="6" spans="1:12" ht="32" customHeight="1" x14ac:dyDescent="0.35">
      <c r="B6" s="10" t="s">
        <v>119</v>
      </c>
      <c r="C6" s="10" t="s">
        <v>120</v>
      </c>
      <c r="D6" s="11" t="s">
        <v>121</v>
      </c>
      <c r="E6" s="11" t="s">
        <v>122</v>
      </c>
      <c r="F6" s="11" t="s">
        <v>123</v>
      </c>
      <c r="G6" s="10" t="s">
        <v>78</v>
      </c>
    </row>
    <row r="7" spans="1:12" ht="16" x14ac:dyDescent="0.35">
      <c r="B7" s="13" t="str">
        <f>Quality!B2</f>
        <v>Tracking</v>
      </c>
      <c r="C7" s="13" t="str">
        <f>Quality!C2</f>
        <v>UTMs present</v>
      </c>
      <c r="D7" s="18">
        <f>Quality!D2</f>
        <v>0.97509999999999997</v>
      </c>
      <c r="E7" s="18">
        <f>Quality!E2</f>
        <v>0.95</v>
      </c>
      <c r="F7" s="38">
        <f t="shared" ref="F7:F15" si="0">(D7-E7)*100</f>
        <v>2.5100000000000011</v>
      </c>
      <c r="G7" s="13" t="str">
        <f t="shared" ref="G7:G15" si="1">IF(D7&gt;=E7,"✓ On target","✗ Below target")</f>
        <v>✓ On target</v>
      </c>
    </row>
    <row r="8" spans="1:12" ht="16" x14ac:dyDescent="0.35">
      <c r="B8" s="13" t="str">
        <f>Quality!B3</f>
        <v>Tracking</v>
      </c>
      <c r="C8" s="13" t="str">
        <f>Quality!C3</f>
        <v>Registered campaign</v>
      </c>
      <c r="D8" s="18">
        <f>Quality!D3</f>
        <v>0.92379999999999995</v>
      </c>
      <c r="E8" s="18">
        <f>Quality!E3</f>
        <v>0.95</v>
      </c>
      <c r="F8" s="38">
        <f t="shared" si="0"/>
        <v>-2.62</v>
      </c>
      <c r="G8" s="13" t="str">
        <f t="shared" si="1"/>
        <v>✗ Below target</v>
      </c>
    </row>
    <row r="9" spans="1:12" ht="16" x14ac:dyDescent="0.35">
      <c r="B9" s="13" t="str">
        <f>Quality!B4</f>
        <v>CRM</v>
      </c>
      <c r="C9" s="13" t="str">
        <f>Quality!C4</f>
        <v>Owner assigned</v>
      </c>
      <c r="D9" s="18">
        <f>Quality!D4</f>
        <v>0.95979999999999999</v>
      </c>
      <c r="E9" s="18">
        <f>Quality!E4</f>
        <v>0.98</v>
      </c>
      <c r="F9" s="38">
        <f t="shared" si="0"/>
        <v>-2.0199999999999996</v>
      </c>
      <c r="G9" s="13" t="str">
        <f t="shared" si="1"/>
        <v>✗ Below target</v>
      </c>
    </row>
    <row r="10" spans="1:12" ht="16" x14ac:dyDescent="0.35">
      <c r="B10" s="13" t="str">
        <f>Quality!B5</f>
        <v>Attribution</v>
      </c>
      <c r="C10" s="13" t="str">
        <f>Quality!C5</f>
        <v>Buyer has a touch</v>
      </c>
      <c r="D10" s="18">
        <f>Quality!D5</f>
        <v>0.97660000000000002</v>
      </c>
      <c r="E10" s="18">
        <f>Quality!E5</f>
        <v>0.98</v>
      </c>
      <c r="F10" s="38">
        <f t="shared" si="0"/>
        <v>-0.33999999999999586</v>
      </c>
      <c r="G10" s="13" t="str">
        <f t="shared" si="1"/>
        <v>✗ Below target</v>
      </c>
    </row>
    <row r="11" spans="1:12" ht="16" x14ac:dyDescent="0.35">
      <c r="B11" s="13" t="str">
        <f>Quality!B6</f>
        <v>Payments</v>
      </c>
      <c r="C11" s="13" t="str">
        <f>Quality!C6</f>
        <v>Payment matched</v>
      </c>
      <c r="D11" s="18">
        <f>Quality!D6</f>
        <v>0.9889</v>
      </c>
      <c r="E11" s="18">
        <f>Quality!E6</f>
        <v>0.99</v>
      </c>
      <c r="F11" s="38">
        <f t="shared" si="0"/>
        <v>-0.10999999999999899</v>
      </c>
      <c r="G11" s="13" t="str">
        <f t="shared" si="1"/>
        <v>✗ Below target</v>
      </c>
    </row>
    <row r="12" spans="1:12" ht="16" x14ac:dyDescent="0.35">
      <c r="B12" s="13" t="str">
        <f>Quality!B7</f>
        <v>Migration</v>
      </c>
      <c r="C12" s="13" t="str">
        <f>Quality!C7</f>
        <v>Contact migrated</v>
      </c>
      <c r="D12" s="18">
        <f>Quality!D7</f>
        <v>0.995</v>
      </c>
      <c r="E12" s="18">
        <f>Quality!E7</f>
        <v>0.99</v>
      </c>
      <c r="F12" s="38">
        <f t="shared" si="0"/>
        <v>0.50000000000000044</v>
      </c>
      <c r="G12" s="13" t="str">
        <f t="shared" si="1"/>
        <v>✓ On target</v>
      </c>
    </row>
    <row r="13" spans="1:12" ht="16" x14ac:dyDescent="0.35">
      <c r="B13" s="13" t="str">
        <f>Quality!B8</f>
        <v>Migration</v>
      </c>
      <c r="C13" s="13" t="str">
        <f>Quality!C8</f>
        <v>Owner kept</v>
      </c>
      <c r="D13" s="18">
        <f>Quality!D8</f>
        <v>0.9526</v>
      </c>
      <c r="E13" s="18">
        <f>Quality!E8</f>
        <v>0.98</v>
      </c>
      <c r="F13" s="38">
        <f t="shared" si="0"/>
        <v>-2.739999999999998</v>
      </c>
      <c r="G13" s="13" t="str">
        <f t="shared" si="1"/>
        <v>✗ Below target</v>
      </c>
    </row>
    <row r="14" spans="1:12" ht="16" x14ac:dyDescent="0.35">
      <c r="B14" s="13" t="str">
        <f>Quality!B9</f>
        <v>Migration</v>
      </c>
      <c r="C14" s="13" t="str">
        <f>Quality!C9</f>
        <v>Source kept</v>
      </c>
      <c r="D14" s="18">
        <f>Quality!D9</f>
        <v>0.92220000000000002</v>
      </c>
      <c r="E14" s="18">
        <f>Quality!E9</f>
        <v>0.98</v>
      </c>
      <c r="F14" s="38">
        <f t="shared" si="0"/>
        <v>-5.7799999999999958</v>
      </c>
      <c r="G14" s="13" t="str">
        <f t="shared" si="1"/>
        <v>✗ Below target</v>
      </c>
    </row>
    <row r="15" spans="1:12" ht="16" x14ac:dyDescent="0.35">
      <c r="B15" s="13" t="str">
        <f>Quality!B10</f>
        <v>Migration</v>
      </c>
      <c r="C15" s="13" t="str">
        <f>Quality!C10</f>
        <v>Stage kept</v>
      </c>
      <c r="D15" s="18">
        <f>Quality!D10</f>
        <v>0.98709999999999998</v>
      </c>
      <c r="E15" s="18">
        <f>Quality!E10</f>
        <v>0.98</v>
      </c>
      <c r="F15" s="38">
        <f t="shared" si="0"/>
        <v>0.70999999999999952</v>
      </c>
      <c r="G15" s="13" t="str">
        <f t="shared" si="1"/>
        <v>✓ On target</v>
      </c>
    </row>
    <row r="16" spans="1:12" ht="16" x14ac:dyDescent="0.35">
      <c r="B16" s="31" t="s">
        <v>124</v>
      </c>
      <c r="C16" s="31"/>
      <c r="D16" s="31"/>
      <c r="E16" s="31"/>
      <c r="F16" s="31"/>
      <c r="G16" s="35" t="str">
        <f>COUNTIF(G7:G15,"✗*")&amp;" of 9"</f>
        <v>6 of 9</v>
      </c>
    </row>
    <row r="19" spans="2:9" ht="16.5" x14ac:dyDescent="0.45">
      <c r="B19" s="5" t="s">
        <v>125</v>
      </c>
    </row>
    <row r="20" spans="2:9" ht="32" customHeight="1" x14ac:dyDescent="0.35">
      <c r="B20" s="10" t="s">
        <v>126</v>
      </c>
      <c r="C20" s="10" t="s">
        <v>127</v>
      </c>
      <c r="D20" s="10" t="s">
        <v>128</v>
      </c>
      <c r="E20" s="39" t="s">
        <v>129</v>
      </c>
      <c r="F20" s="39" t="s">
        <v>130</v>
      </c>
      <c r="G20" s="39" t="s">
        <v>131</v>
      </c>
      <c r="H20" s="11" t="s">
        <v>132</v>
      </c>
      <c r="I20" s="10" t="s">
        <v>133</v>
      </c>
    </row>
    <row r="21" spans="2:9" ht="16" x14ac:dyDescent="0.35">
      <c r="B21" s="13" t="str">
        <f>Links!A2</f>
        <v>ig-bio</v>
      </c>
      <c r="C21" s="13" t="str">
        <f>Links!B2</f>
        <v>instagram</v>
      </c>
      <c r="D21" s="13" t="str">
        <f>IF(Links!E2="","(none)",Links!E2)</f>
        <v>(none)</v>
      </c>
      <c r="E21" s="40" t="str">
        <f>IF(Links!F2,"Yes","")</f>
        <v>Yes</v>
      </c>
      <c r="F21" s="40" t="str">
        <f>IF(Links!G2,"Yes","")</f>
        <v/>
      </c>
      <c r="G21" s="40" t="str">
        <f>IF(Links!H2,"Yes","")</f>
        <v/>
      </c>
      <c r="H21" s="15">
        <f>Links!J2</f>
        <v>910</v>
      </c>
      <c r="I21" s="41" t="str">
        <f t="shared" ref="I21:I29" si="2">IF(COUNTIF(E21:G21,"Yes")&gt;0,"Fix","")</f>
        <v>Fix</v>
      </c>
    </row>
    <row r="22" spans="2:9" ht="16" x14ac:dyDescent="0.35">
      <c r="B22" s="13" t="str">
        <f>Links!A3</f>
        <v>li-launch</v>
      </c>
      <c r="C22" s="13" t="str">
        <f>Links!B3</f>
        <v>linkedin</v>
      </c>
      <c r="D22" s="13" t="str">
        <f>IF(Links!E3="","(none)",Links!E3)</f>
        <v>linkedin_ceo_abm</v>
      </c>
      <c r="E22" s="40" t="str">
        <f>IF(Links!F3,"Yes","")</f>
        <v/>
      </c>
      <c r="F22" s="40" t="str">
        <f>IF(Links!G3,"Yes","")</f>
        <v/>
      </c>
      <c r="G22" s="40" t="str">
        <f>IF(Links!H3,"Yes","")</f>
        <v>Yes</v>
      </c>
      <c r="H22" s="15">
        <f>Links!J3</f>
        <v>139</v>
      </c>
      <c r="I22" s="41" t="str">
        <f t="shared" si="2"/>
        <v>Fix</v>
      </c>
    </row>
    <row r="23" spans="2:9" ht="16" x14ac:dyDescent="0.35">
      <c r="B23" s="13" t="str">
        <f>Links!A4</f>
        <v>nl-deadline</v>
      </c>
      <c r="C23" s="13" t="str">
        <f>Links!B4</f>
        <v>newsletter</v>
      </c>
      <c r="D23" s="13" t="str">
        <f>IF(Links!E4="","(none)",Links!E4)</f>
        <v>newsletter_weekly</v>
      </c>
      <c r="E23" s="40" t="str">
        <f>IF(Links!F4,"Yes","")</f>
        <v/>
      </c>
      <c r="F23" s="40" t="str">
        <f>IF(Links!G4,"Yes","")</f>
        <v/>
      </c>
      <c r="G23" s="40" t="str">
        <f>IF(Links!H4,"Yes","")</f>
        <v/>
      </c>
      <c r="H23" s="15">
        <f>Links!J4</f>
        <v>271</v>
      </c>
      <c r="I23" s="41" t="str">
        <f t="shared" si="2"/>
        <v/>
      </c>
    </row>
    <row r="24" spans="2:9" ht="16" x14ac:dyDescent="0.35">
      <c r="B24" s="13" t="str">
        <f>Links!A5</f>
        <v>nl-guide</v>
      </c>
      <c r="C24" s="13" t="str">
        <f>Links!B5</f>
        <v>newsletter</v>
      </c>
      <c r="D24" s="13" t="str">
        <f>IF(Links!E5="","(none)",Links!E5)</f>
        <v>newsletter_weekly</v>
      </c>
      <c r="E24" s="40" t="str">
        <f>IF(Links!F5,"Yes","")</f>
        <v/>
      </c>
      <c r="F24" s="40" t="str">
        <f>IF(Links!G5,"Yes","")</f>
        <v/>
      </c>
      <c r="G24" s="40" t="str">
        <f>IF(Links!H5,"Yes","")</f>
        <v/>
      </c>
      <c r="H24" s="15">
        <f>Links!J5</f>
        <v>438</v>
      </c>
      <c r="I24" s="41" t="str">
        <f t="shared" si="2"/>
        <v/>
      </c>
    </row>
    <row r="25" spans="2:9" ht="16" x14ac:dyDescent="0.35">
      <c r="B25" s="13" t="str">
        <f>Links!A6</f>
        <v>pod-apply</v>
      </c>
      <c r="C25" s="13" t="str">
        <f>Links!B6</f>
        <v>podcast</v>
      </c>
      <c r="D25" s="13" t="str">
        <f>IF(Links!E6="","(none)",Links!E6)</f>
        <v>partner_podcast</v>
      </c>
      <c r="E25" s="40" t="str">
        <f>IF(Links!F6,"Yes","")</f>
        <v/>
      </c>
      <c r="F25" s="40" t="str">
        <f>IF(Links!G6,"Yes","")</f>
        <v/>
      </c>
      <c r="G25" s="40" t="str">
        <f>IF(Links!H6,"Yes","")</f>
        <v/>
      </c>
      <c r="H25" s="15">
        <f>Links!J6</f>
        <v>100</v>
      </c>
      <c r="I25" s="41" t="str">
        <f t="shared" si="2"/>
        <v/>
      </c>
    </row>
    <row r="26" spans="2:9" ht="16" x14ac:dyDescent="0.35">
      <c r="B26" s="13" t="str">
        <f>Links!A7</f>
        <v>pod-ep41</v>
      </c>
      <c r="C26" s="13" t="str">
        <f>Links!B7</f>
        <v>podcast</v>
      </c>
      <c r="D26" s="13" t="str">
        <f>IF(Links!E7="","(none)",Links!E7)</f>
        <v>partner_podcast</v>
      </c>
      <c r="E26" s="40" t="str">
        <f>IF(Links!F7,"Yes","")</f>
        <v/>
      </c>
      <c r="F26" s="40" t="str">
        <f>IF(Links!G7,"Yes","")</f>
        <v/>
      </c>
      <c r="G26" s="40" t="str">
        <f>IF(Links!H7,"Yes","")</f>
        <v>Yes</v>
      </c>
      <c r="H26" s="15">
        <f>Links!J7</f>
        <v>202</v>
      </c>
      <c r="I26" s="41" t="str">
        <f t="shared" si="2"/>
        <v>Fix</v>
      </c>
    </row>
    <row r="27" spans="2:9" ht="16" x14ac:dyDescent="0.35">
      <c r="B27" s="13" t="str">
        <f>Links!A8</f>
        <v>web-invite</v>
      </c>
      <c r="C27" s="13" t="str">
        <f>Links!B8</f>
        <v>email</v>
      </c>
      <c r="D27" s="13" t="str">
        <f>IF(Links!E8="","(none)",Links!E8)</f>
        <v>webinar_growth_os</v>
      </c>
      <c r="E27" s="40" t="str">
        <f>IF(Links!F8,"Yes","")</f>
        <v/>
      </c>
      <c r="F27" s="40" t="str">
        <f>IF(Links!G8,"Yes","")</f>
        <v/>
      </c>
      <c r="G27" s="40" t="str">
        <f>IF(Links!H8,"Yes","")</f>
        <v/>
      </c>
      <c r="H27" s="15">
        <f>Links!J8</f>
        <v>290</v>
      </c>
      <c r="I27" s="41" t="str">
        <f t="shared" si="2"/>
        <v/>
      </c>
    </row>
    <row r="28" spans="2:9" ht="16" x14ac:dyDescent="0.35">
      <c r="B28" s="13" t="str">
        <f>Links!A9</f>
        <v>yt-guide</v>
      </c>
      <c r="C28" s="13" t="str">
        <f>Links!B9</f>
        <v>youtube</v>
      </c>
      <c r="D28" s="13" t="str">
        <f>IF(Links!E9="","(none)",Links!E9)</f>
        <v>youtube_founder_guide</v>
      </c>
      <c r="E28" s="40" t="str">
        <f>IF(Links!F9,"Yes","")</f>
        <v/>
      </c>
      <c r="F28" s="40" t="str">
        <f>IF(Links!G9,"Yes","")</f>
        <v/>
      </c>
      <c r="G28" s="40" t="str">
        <f>IF(Links!H9,"Yes","")</f>
        <v/>
      </c>
      <c r="H28" s="15">
        <f>Links!J9</f>
        <v>694</v>
      </c>
      <c r="I28" s="41" t="str">
        <f t="shared" si="2"/>
        <v/>
      </c>
    </row>
    <row r="29" spans="2:9" ht="16" x14ac:dyDescent="0.35">
      <c r="B29" s="13" t="str">
        <f>Links!A10</f>
        <v>yt-q3-guide</v>
      </c>
      <c r="C29" s="13" t="str">
        <f>Links!B10</f>
        <v>youtube</v>
      </c>
      <c r="D29" s="13" t="str">
        <f>IF(Links!E10="","(none)",Links!E10)</f>
        <v>youtube_q3_guide</v>
      </c>
      <c r="E29" s="40" t="str">
        <f>IF(Links!F10,"Yes","")</f>
        <v/>
      </c>
      <c r="F29" s="40" t="str">
        <f>IF(Links!G10,"Yes","")</f>
        <v>Yes</v>
      </c>
      <c r="G29" s="40" t="str">
        <f>IF(Links!H10,"Yes","")</f>
        <v/>
      </c>
      <c r="H29" s="15">
        <f>Links!J10</f>
        <v>374</v>
      </c>
      <c r="I29" s="41" t="str">
        <f t="shared" si="2"/>
        <v>Fix</v>
      </c>
    </row>
    <row r="30" spans="2:9" ht="16" x14ac:dyDescent="0.35">
      <c r="B30" s="31" t="s">
        <v>134</v>
      </c>
      <c r="C30" s="31"/>
      <c r="D30" s="31"/>
      <c r="E30" s="31"/>
      <c r="F30" s="31"/>
      <c r="G30" s="31"/>
      <c r="H30" s="42">
        <f>IFERROR(SUMIF(I21:I29,"Fix",H21:H29)/SUM(H21:H29),NA())</f>
        <v>0.47542422469280282</v>
      </c>
      <c r="I30" s="35"/>
    </row>
    <row r="33" spans="2:12" ht="16.5" x14ac:dyDescent="0.45">
      <c r="B33" s="5" t="s">
        <v>135</v>
      </c>
    </row>
    <row r="34" spans="2:12" ht="32" customHeight="1" x14ac:dyDescent="0.35">
      <c r="B34" s="10" t="s">
        <v>136</v>
      </c>
      <c r="C34" s="10" t="s">
        <v>137</v>
      </c>
      <c r="D34" s="10" t="s">
        <v>138</v>
      </c>
      <c r="E34" s="86" t="s">
        <v>139</v>
      </c>
      <c r="F34" s="85"/>
      <c r="G34" s="85"/>
      <c r="H34" s="85"/>
      <c r="I34" s="85"/>
      <c r="J34" s="85"/>
      <c r="K34" s="85"/>
      <c r="L34" s="85"/>
    </row>
    <row r="35" spans="2:12" ht="30" customHeight="1" x14ac:dyDescent="0.35">
      <c r="B35" s="43">
        <f>Incidents!C2</f>
        <v>46096</v>
      </c>
      <c r="C35" s="43" t="str">
        <f>IF(Incidents!D2="","open",Incidents!D2)</f>
        <v>open</v>
      </c>
      <c r="D35" s="13" t="str">
        <f>Incidents!B2</f>
        <v>migration</v>
      </c>
      <c r="E35" s="87" t="str">
        <f>Incidents!G2</f>
        <v>Legacy CRM cut-over created duplicates, blank owners, overwritten sources and lost deal links.</v>
      </c>
      <c r="F35" s="88"/>
      <c r="G35" s="88"/>
      <c r="H35" s="88"/>
      <c r="I35" s="88"/>
      <c r="J35" s="88"/>
      <c r="K35" s="88"/>
      <c r="L35" s="88"/>
    </row>
    <row r="36" spans="2:12" ht="30" customHeight="1" x14ac:dyDescent="0.35">
      <c r="B36" s="43">
        <f>Incidents!C3</f>
        <v>46174</v>
      </c>
      <c r="C36" s="43" t="str">
        <f>IF(Incidents!D3="","open",Incidents!D3)</f>
        <v>open</v>
      </c>
      <c r="D36" s="13" t="str">
        <f>Incidents!B3</f>
        <v>tracking</v>
      </c>
      <c r="E36" s="87" t="str">
        <f>Incidents!G3</f>
        <v>Four short links (Instagram bio, a podcast episode, a YouTube guide and a LinkedIn launch post) carry missing, unregistered or off-taxonomy UTM parameters.</v>
      </c>
      <c r="F36" s="88"/>
      <c r="G36" s="88"/>
      <c r="H36" s="88"/>
      <c r="I36" s="88"/>
      <c r="J36" s="88"/>
      <c r="K36" s="88"/>
      <c r="L36" s="88"/>
    </row>
    <row r="37" spans="2:12" ht="30" customHeight="1" x14ac:dyDescent="0.35">
      <c r="B37" s="43">
        <f>Incidents!C4</f>
        <v>46244</v>
      </c>
      <c r="C37" s="43" t="str">
        <f>IF(Incidents!D4="","open",Incidents!D4)</f>
        <v>open</v>
      </c>
      <c r="D37" s="13" t="str">
        <f>Incidents!B4</f>
        <v>lead_quality</v>
      </c>
      <c r="E37" s="87" t="str">
        <f>Incidents!G4</f>
        <v>Broad-audience Meta campaign launched; lead volume rose while qualification fell.</v>
      </c>
      <c r="F37" s="88"/>
      <c r="G37" s="88"/>
      <c r="H37" s="88"/>
      <c r="I37" s="88"/>
      <c r="J37" s="88"/>
      <c r="K37" s="88"/>
      <c r="L37" s="88"/>
    </row>
    <row r="38" spans="2:12" ht="30" customHeight="1" x14ac:dyDescent="0.35">
      <c r="B38" s="43">
        <f>Incidents!C5</f>
        <v>46266</v>
      </c>
      <c r="C38" s="43" t="str">
        <f>IF(Incidents!D5="","open",Incidents!D5)</f>
        <v>open</v>
      </c>
      <c r="D38" s="13" t="str">
        <f>Incidents!B5</f>
        <v>deliverability</v>
      </c>
      <c r="E38" s="87" t="str">
        <f>Incidents!G5</f>
        <v>Bulk email moved to a new sending subdomain without warm-up or DKIM alignment; bounces and complaints rose and inbox placement fell before the enrollment deadline.</v>
      </c>
      <c r="F38" s="88"/>
      <c r="G38" s="88"/>
      <c r="H38" s="88"/>
      <c r="I38" s="88"/>
      <c r="J38" s="88"/>
      <c r="K38" s="88"/>
      <c r="L38" s="88"/>
    </row>
    <row r="39" spans="2:12" ht="30" customHeight="1" x14ac:dyDescent="0.35">
      <c r="B39" s="43">
        <f>Incidents!C6</f>
        <v>46268</v>
      </c>
      <c r="C39" s="43">
        <f>IF(Incidents!D6="","open",Incidents!D6)</f>
        <v>46279</v>
      </c>
      <c r="D39" s="13" t="str">
        <f>Incidents!B6</f>
        <v>tracking</v>
      </c>
      <c r="E39" s="87" t="str">
        <f>Incidents!G6</f>
        <v>A landing-page release stripped UTM parameters from the webinar registration form.</v>
      </c>
      <c r="F39" s="88"/>
      <c r="G39" s="88"/>
      <c r="H39" s="88"/>
      <c r="I39" s="88"/>
      <c r="J39" s="88"/>
      <c r="K39" s="88"/>
      <c r="L39" s="88"/>
    </row>
    <row r="40" spans="2:12" ht="30" customHeight="1" x14ac:dyDescent="0.35">
      <c r="B40" s="43">
        <f>Incidents!C7</f>
        <v>46283</v>
      </c>
      <c r="C40" s="43">
        <f>IF(Incidents!D7="","open",Incidents!D7)</f>
        <v>46283</v>
      </c>
      <c r="D40" s="13" t="str">
        <f>Incidents!B7</f>
        <v>automation</v>
      </c>
      <c r="E40" s="87" t="str">
        <f>Incidents!G7</f>
        <v>Community-access provider returned HTTP 503 for six hours.</v>
      </c>
      <c r="F40" s="88"/>
      <c r="G40" s="88"/>
      <c r="H40" s="88"/>
      <c r="I40" s="88"/>
      <c r="J40" s="88"/>
      <c r="K40" s="88"/>
      <c r="L40" s="88"/>
    </row>
    <row r="42" spans="2:12" ht="16.5" x14ac:dyDescent="0.45">
      <c r="B42" s="5" t="s">
        <v>140</v>
      </c>
    </row>
    <row r="43" spans="2:12" ht="16" x14ac:dyDescent="0.35">
      <c r="B43" s="82" t="s">
        <v>141</v>
      </c>
      <c r="C43" s="88"/>
      <c r="D43" s="88"/>
      <c r="E43" s="88"/>
      <c r="F43" s="44">
        <f>COUNTA(rn_subscription_id)</f>
        <v>144</v>
      </c>
    </row>
    <row r="44" spans="2:12" ht="16" x14ac:dyDescent="0.35">
      <c r="B44" s="82" t="s">
        <v>142</v>
      </c>
      <c r="C44" s="88"/>
      <c r="D44" s="88"/>
      <c r="E44" s="88"/>
      <c r="F44" s="44">
        <f>COUNTIF(rn_risk_level,"high")</f>
        <v>1</v>
      </c>
    </row>
    <row r="45" spans="2:12" ht="16" x14ac:dyDescent="0.35">
      <c r="B45" s="82" t="s">
        <v>143</v>
      </c>
      <c r="C45" s="88"/>
      <c r="D45" s="88"/>
      <c r="E45" s="88"/>
      <c r="F45" s="44">
        <f>COUNTIF(rn_risk_level,"medium")</f>
        <v>2</v>
      </c>
    </row>
    <row r="46" spans="2:12" ht="16" x14ac:dyDescent="0.35">
      <c r="B46" s="82" t="s">
        <v>144</v>
      </c>
      <c r="C46" s="88"/>
      <c r="D46" s="88"/>
      <c r="E46" s="88"/>
      <c r="F46" s="44">
        <f>SUM(rn_failed_attempts)</f>
        <v>1</v>
      </c>
    </row>
  </sheetData>
  <sheetProtection sheet="1" formatColumns="0" sort="0" autoFilter="0"/>
  <mergeCells count="11">
    <mergeCell ref="B46:E46"/>
    <mergeCell ref="E39:L39"/>
    <mergeCell ref="E34:L34"/>
    <mergeCell ref="E35:L35"/>
    <mergeCell ref="E40:L40"/>
    <mergeCell ref="B45:E45"/>
    <mergeCell ref="B43:E43"/>
    <mergeCell ref="E38:L38"/>
    <mergeCell ref="B44:E44"/>
    <mergeCell ref="E36:L36"/>
    <mergeCell ref="E37:L37"/>
  </mergeCells>
  <conditionalFormatting sqref="G7:G15">
    <cfRule type="expression" dxfId="3" priority="1">
      <formula>LEFT(G7,1)="✗"</formula>
    </cfRule>
    <cfRule type="expression" dxfId="2" priority="2">
      <formula>LEFT(G7,1)="✓"</formula>
    </cfRule>
  </conditionalFormatting>
  <printOptions horizontalCentered="1"/>
  <pageMargins left="0.75" right="0.75" top="1" bottom="1" header="0.5" footer="0.5"/>
  <pageSetup fitToHeight="0" orientation="landscape"/>
  <rowBreaks count="1" manualBreakCount="1">
    <brk id="32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A7F37"/>
    <pageSetUpPr fitToPage="1"/>
  </sheetPr>
  <dimension ref="A1:F22"/>
  <sheetViews>
    <sheetView showGridLines="0" workbookViewId="0"/>
  </sheetViews>
  <sheetFormatPr defaultRowHeight="14.5" x14ac:dyDescent="0.35"/>
  <cols>
    <col min="1" max="1" width="2" customWidth="1"/>
    <col min="2" max="2" width="66" customWidth="1"/>
    <col min="3" max="3" width="22" customWidth="1"/>
    <col min="4" max="4" width="16" customWidth="1"/>
  </cols>
  <sheetData>
    <row r="1" spans="1:6" ht="8" customHeight="1" x14ac:dyDescent="0.35">
      <c r="A1" s="1"/>
      <c r="B1" s="1"/>
      <c r="C1" s="1"/>
      <c r="D1" s="1"/>
      <c r="E1" s="1"/>
      <c r="F1" s="1"/>
    </row>
    <row r="2" spans="1:6" ht="30" customHeight="1" x14ac:dyDescent="0.35">
      <c r="A2" s="1"/>
      <c r="B2" s="2" t="s">
        <v>4</v>
      </c>
      <c r="C2" s="1"/>
      <c r="D2" s="1"/>
      <c r="E2" s="1"/>
      <c r="F2" s="1"/>
    </row>
    <row r="3" spans="1:6" ht="20" customHeight="1" x14ac:dyDescent="0.35">
      <c r="A3" s="1"/>
      <c r="B3" s="3" t="s">
        <v>145</v>
      </c>
      <c r="C3" s="1"/>
      <c r="D3" s="1"/>
      <c r="E3" s="1"/>
      <c r="F3" s="1"/>
    </row>
    <row r="6" spans="1:6" ht="32" customHeight="1" x14ac:dyDescent="0.35">
      <c r="B6" s="10" t="s">
        <v>120</v>
      </c>
      <c r="C6" s="11" t="s">
        <v>146</v>
      </c>
      <c r="D6" s="10" t="s">
        <v>78</v>
      </c>
    </row>
    <row r="7" spans="1:6" ht="16" x14ac:dyDescent="0.35">
      <c r="B7" s="13" t="s">
        <v>147</v>
      </c>
      <c r="C7" s="15">
        <f>Revenue!B2-Revenue!C2-Revenue!D2</f>
        <v>0</v>
      </c>
      <c r="D7" s="13" t="str">
        <f t="shared" ref="D7:D20" si="0">IF(C7=0,"✓ Reconciled","✗ Investigate")</f>
        <v>✓ Reconciled</v>
      </c>
    </row>
    <row r="8" spans="1:6" ht="16" x14ac:dyDescent="0.35">
      <c r="B8" s="13" t="s">
        <v>148</v>
      </c>
      <c r="C8" s="15">
        <f>SUM(Bridge!D2:D6)-Bridge!D7</f>
        <v>0</v>
      </c>
      <c r="D8" s="13" t="str">
        <f t="shared" si="0"/>
        <v>✓ Reconciled</v>
      </c>
    </row>
    <row r="9" spans="1:6" ht="16" x14ac:dyDescent="0.35">
      <c r="B9" s="13" t="s">
        <v>149</v>
      </c>
      <c r="C9" s="15">
        <f>Bridge!D7+Bridge!D8-Bridge!D9</f>
        <v>0</v>
      </c>
      <c r="D9" s="13" t="str">
        <f t="shared" si="0"/>
        <v>✓ Reconciled</v>
      </c>
    </row>
    <row r="10" spans="1:6" ht="16" x14ac:dyDescent="0.35">
      <c r="B10" s="13" t="s">
        <v>150</v>
      </c>
      <c r="C10" s="15">
        <f>Bridge!D9-Revenue!D2</f>
        <v>0</v>
      </c>
      <c r="D10" s="13" t="str">
        <f t="shared" si="0"/>
        <v>✓ Reconciled</v>
      </c>
    </row>
    <row r="11" spans="1:6" ht="16" x14ac:dyDescent="0.35">
      <c r="B11" s="13" t="s">
        <v>151</v>
      </c>
      <c r="C11" s="15">
        <f>SUM(dly_net_cash_cents)-Revenue!D2</f>
        <v>0</v>
      </c>
      <c r="D11" s="13" t="str">
        <f t="shared" si="0"/>
        <v>✓ Reconciled</v>
      </c>
    </row>
    <row r="12" spans="1:6" ht="16" x14ac:dyDescent="0.35">
      <c r="B12" s="13" t="s">
        <v>152</v>
      </c>
      <c r="C12" s="15">
        <f>SUM(att_net_cash_cents)-Revenue!D2</f>
        <v>0</v>
      </c>
      <c r="D12" s="13" t="str">
        <f t="shared" si="0"/>
        <v>✓ Reconciled</v>
      </c>
    </row>
    <row r="13" spans="1:6" ht="16" x14ac:dyDescent="0.35">
      <c r="B13" s="13" t="s">
        <v>153</v>
      </c>
      <c r="C13" s="15">
        <f>SUMPRODUCT(SUMIFS(att_net_cash_cents,att_campaign_id,dc_campaign_id)*dc_is_paid)-SUM(pl_warehouse_net_cash_cents)</f>
        <v>0</v>
      </c>
      <c r="D13" s="13" t="str">
        <f t="shared" si="0"/>
        <v>✓ Reconciled</v>
      </c>
    </row>
    <row r="14" spans="1:6" ht="16" x14ac:dyDescent="0.35">
      <c r="B14" s="13" t="s">
        <v>154</v>
      </c>
      <c r="C14" s="15">
        <f>SUM(dly_spend_cents)-SUM(cp_spend_cents)</f>
        <v>0</v>
      </c>
      <c r="D14" s="13" t="str">
        <f t="shared" si="0"/>
        <v>✓ Reconciled</v>
      </c>
    </row>
    <row r="15" spans="1:6" ht="16" x14ac:dyDescent="0.35">
      <c r="B15" s="13" t="s">
        <v>155</v>
      </c>
      <c r="C15" s="15">
        <f>SUM(pd_spend_cents)-(SUMIFS(cp_spend_cents,cp_medium,"paid_social")+SUMIFS(cp_spend_cents,cp_medium,"paid_search"))</f>
        <v>0</v>
      </c>
      <c r="D15" s="13" t="str">
        <f t="shared" si="0"/>
        <v>✓ Reconciled</v>
      </c>
    </row>
    <row r="16" spans="1:6" ht="16" x14ac:dyDescent="0.35">
      <c r="B16" s="13" t="s">
        <v>156</v>
      </c>
      <c r="C16" s="15">
        <f>SUM(pd_spend_cents)-SUM(pl_spend_cents)</f>
        <v>0</v>
      </c>
      <c r="D16" s="13" t="str">
        <f t="shared" si="0"/>
        <v>✓ Reconciled</v>
      </c>
    </row>
    <row r="17" spans="2:4" ht="16" x14ac:dyDescent="0.35">
      <c r="B17" s="13" t="s">
        <v>157</v>
      </c>
      <c r="C17" s="15">
        <f>SUM(pd_leads)-(SUMIFS(cp_leads,cp_medium,"paid_social")+SUMIFS(cp_leads,cp_medium,"paid_search"))</f>
        <v>0</v>
      </c>
      <c r="D17" s="13" t="str">
        <f t="shared" si="0"/>
        <v>✓ Reconciled</v>
      </c>
    </row>
    <row r="18" spans="2:4" ht="16" x14ac:dyDescent="0.35">
      <c r="B18" s="13" t="s">
        <v>158</v>
      </c>
      <c r="C18" s="15">
        <f>SUM(em_delivered)+SUM(em_bounces)-SUM(em_sends)</f>
        <v>0</v>
      </c>
      <c r="D18" s="13" t="str">
        <f t="shared" si="0"/>
        <v>✓ Reconciled</v>
      </c>
    </row>
    <row r="19" spans="2:4" ht="16" x14ac:dyDescent="0.35">
      <c r="B19" s="13" t="s">
        <v>159</v>
      </c>
      <c r="C19" s="15">
        <f>SUMPRODUCT(SUMIFS(pd_spend_cents,pd_campaign_id,'Campaign scorecard'!$B$7:$B$13))-SUM(pd_spend_cents)</f>
        <v>0</v>
      </c>
      <c r="D19" s="13" t="str">
        <f t="shared" si="0"/>
        <v>✓ Reconciled</v>
      </c>
    </row>
    <row r="20" spans="2:4" ht="16" x14ac:dyDescent="0.35">
      <c r="B20" s="13" t="s">
        <v>160</v>
      </c>
      <c r="C20" s="15">
        <f>SUMPRODUCT(--ISNA(MATCH(pd_campaign_id,dc_campaign_id,0)))</f>
        <v>0</v>
      </c>
      <c r="D20" s="13" t="str">
        <f t="shared" si="0"/>
        <v>✓ Reconciled</v>
      </c>
    </row>
    <row r="22" spans="2:4" ht="16" x14ac:dyDescent="0.35">
      <c r="B22" s="31" t="s">
        <v>161</v>
      </c>
      <c r="C22" s="35" t="str">
        <f>IF(SUMPRODUCT(ABS(C7:C20))=0,"Yes","No")</f>
        <v>Yes</v>
      </c>
    </row>
  </sheetData>
  <sheetProtection sheet="1" formatColumns="0" sort="0" autoFilter="0"/>
  <conditionalFormatting sqref="D7:D20">
    <cfRule type="expression" dxfId="1" priority="1">
      <formula>LEFT(D7,1)="✗"</formula>
    </cfRule>
    <cfRule type="expression" dxfId="0" priority="2">
      <formula>LEFT(D7,1)="✓"</formula>
    </cfRule>
  </conditionalFormatting>
  <printOptions horizontalCentered="1"/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A929C"/>
    <pageSetUpPr fitToPage="1"/>
  </sheetPr>
  <dimension ref="A1:D54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4" width="70" customWidth="1"/>
  </cols>
  <sheetData>
    <row r="1" spans="1:4" ht="8" customHeight="1" x14ac:dyDescent="0.35">
      <c r="A1" s="1"/>
      <c r="B1" s="1"/>
      <c r="C1" s="1"/>
      <c r="D1" s="1"/>
    </row>
    <row r="2" spans="1:4" ht="30" customHeight="1" x14ac:dyDescent="0.35">
      <c r="A2" s="1"/>
      <c r="B2" s="2" t="s">
        <v>162</v>
      </c>
      <c r="C2" s="1"/>
      <c r="D2" s="1"/>
    </row>
    <row r="3" spans="1:4" ht="20" customHeight="1" x14ac:dyDescent="0.35">
      <c r="A3" s="1"/>
      <c r="B3" s="3" t="s">
        <v>163</v>
      </c>
      <c r="C3" s="1"/>
      <c r="D3" s="1"/>
    </row>
    <row r="5" spans="1:4" ht="32" customHeight="1" x14ac:dyDescent="0.35">
      <c r="B5" s="10" t="s">
        <v>164</v>
      </c>
      <c r="C5" s="11" t="s">
        <v>165</v>
      </c>
      <c r="D5" s="11" t="s">
        <v>166</v>
      </c>
    </row>
    <row r="6" spans="1:4" ht="28" x14ac:dyDescent="0.35">
      <c r="B6" s="45" t="s">
        <v>167</v>
      </c>
      <c r="C6" s="46" t="s">
        <v>168</v>
      </c>
      <c r="D6" s="46" t="s">
        <v>169</v>
      </c>
    </row>
    <row r="7" spans="1:4" x14ac:dyDescent="0.35">
      <c r="B7" s="45" t="s">
        <v>170</v>
      </c>
      <c r="C7" s="46" t="s">
        <v>171</v>
      </c>
      <c r="D7" s="46" t="s">
        <v>172</v>
      </c>
    </row>
    <row r="8" spans="1:4" x14ac:dyDescent="0.35">
      <c r="B8" s="45" t="s">
        <v>173</v>
      </c>
      <c r="C8" s="46" t="s">
        <v>174</v>
      </c>
      <c r="D8" s="46" t="s">
        <v>175</v>
      </c>
    </row>
    <row r="9" spans="1:4" x14ac:dyDescent="0.35">
      <c r="B9" s="45" t="s">
        <v>176</v>
      </c>
      <c r="C9" s="46" t="s">
        <v>177</v>
      </c>
      <c r="D9" s="46" t="s">
        <v>178</v>
      </c>
    </row>
    <row r="10" spans="1:4" x14ac:dyDescent="0.35">
      <c r="B10" s="45" t="s">
        <v>179</v>
      </c>
      <c r="C10" s="46" t="s">
        <v>180</v>
      </c>
      <c r="D10" s="46" t="s">
        <v>181</v>
      </c>
    </row>
    <row r="11" spans="1:4" x14ac:dyDescent="0.35">
      <c r="B11" s="45" t="s">
        <v>182</v>
      </c>
      <c r="C11" s="46" t="s">
        <v>183</v>
      </c>
      <c r="D11" s="46" t="s">
        <v>184</v>
      </c>
    </row>
    <row r="12" spans="1:4" x14ac:dyDescent="0.35">
      <c r="B12" s="45" t="s">
        <v>185</v>
      </c>
      <c r="C12" s="46" t="s">
        <v>186</v>
      </c>
      <c r="D12" s="46" t="s">
        <v>187</v>
      </c>
    </row>
    <row r="13" spans="1:4" x14ac:dyDescent="0.35">
      <c r="B13" s="45" t="s">
        <v>188</v>
      </c>
      <c r="C13" s="46" t="s">
        <v>189</v>
      </c>
      <c r="D13" s="46" t="s">
        <v>190</v>
      </c>
    </row>
    <row r="14" spans="1:4" x14ac:dyDescent="0.35">
      <c r="B14" s="45" t="s">
        <v>191</v>
      </c>
      <c r="C14" s="46" t="s">
        <v>192</v>
      </c>
      <c r="D14" s="46" t="s">
        <v>193</v>
      </c>
    </row>
    <row r="15" spans="1:4" x14ac:dyDescent="0.35">
      <c r="B15" s="45" t="s">
        <v>42</v>
      </c>
      <c r="C15" s="46" t="s">
        <v>194</v>
      </c>
      <c r="D15" s="46" t="s">
        <v>195</v>
      </c>
    </row>
    <row r="16" spans="1:4" x14ac:dyDescent="0.35">
      <c r="B16" s="45" t="s">
        <v>196</v>
      </c>
      <c r="C16" s="46" t="s">
        <v>197</v>
      </c>
      <c r="D16" s="46" t="s">
        <v>198</v>
      </c>
    </row>
    <row r="17" spans="2:4" x14ac:dyDescent="0.35">
      <c r="B17" s="45" t="s">
        <v>199</v>
      </c>
      <c r="C17" s="46" t="s">
        <v>200</v>
      </c>
      <c r="D17" s="46" t="s">
        <v>201</v>
      </c>
    </row>
    <row r="18" spans="2:4" x14ac:dyDescent="0.35">
      <c r="B18" s="45" t="s">
        <v>202</v>
      </c>
      <c r="C18" s="46" t="s">
        <v>203</v>
      </c>
      <c r="D18" s="46" t="s">
        <v>204</v>
      </c>
    </row>
    <row r="19" spans="2:4" x14ac:dyDescent="0.35">
      <c r="B19" s="45" t="s">
        <v>205</v>
      </c>
      <c r="C19" s="46" t="s">
        <v>206</v>
      </c>
      <c r="D19" s="46" t="s">
        <v>207</v>
      </c>
    </row>
    <row r="20" spans="2:4" x14ac:dyDescent="0.35">
      <c r="B20" s="45" t="s">
        <v>208</v>
      </c>
      <c r="C20" s="46" t="s">
        <v>209</v>
      </c>
      <c r="D20" s="46" t="s">
        <v>210</v>
      </c>
    </row>
    <row r="21" spans="2:4" x14ac:dyDescent="0.35">
      <c r="B21" s="45" t="s">
        <v>211</v>
      </c>
      <c r="C21" s="46" t="s">
        <v>212</v>
      </c>
      <c r="D21" s="46" t="s">
        <v>213</v>
      </c>
    </row>
    <row r="22" spans="2:4" x14ac:dyDescent="0.35">
      <c r="B22" s="45" t="s">
        <v>214</v>
      </c>
      <c r="C22" s="46" t="s">
        <v>215</v>
      </c>
      <c r="D22" s="46" t="s">
        <v>216</v>
      </c>
    </row>
    <row r="23" spans="2:4" x14ac:dyDescent="0.35">
      <c r="B23" s="45" t="s">
        <v>217</v>
      </c>
      <c r="C23" s="46" t="s">
        <v>218</v>
      </c>
      <c r="D23" s="46" t="s">
        <v>219</v>
      </c>
    </row>
    <row r="24" spans="2:4" x14ac:dyDescent="0.35">
      <c r="B24" s="45" t="s">
        <v>220</v>
      </c>
      <c r="C24" s="46" t="s">
        <v>221</v>
      </c>
      <c r="D24" s="46" t="s">
        <v>222</v>
      </c>
    </row>
    <row r="25" spans="2:4" x14ac:dyDescent="0.35">
      <c r="B25" s="45" t="s">
        <v>185</v>
      </c>
      <c r="C25" s="46" t="s">
        <v>223</v>
      </c>
      <c r="D25" s="46" t="s">
        <v>224</v>
      </c>
    </row>
    <row r="26" spans="2:4" x14ac:dyDescent="0.35">
      <c r="B26" s="45" t="s">
        <v>225</v>
      </c>
      <c r="C26" s="46" t="s">
        <v>226</v>
      </c>
      <c r="D26" s="46" t="s">
        <v>227</v>
      </c>
    </row>
    <row r="27" spans="2:4" ht="28" x14ac:dyDescent="0.35">
      <c r="B27" s="45" t="s">
        <v>228</v>
      </c>
      <c r="C27" s="46" t="s">
        <v>229</v>
      </c>
      <c r="D27" s="46" t="s">
        <v>230</v>
      </c>
    </row>
    <row r="28" spans="2:4" x14ac:dyDescent="0.35">
      <c r="B28" s="45" t="s">
        <v>231</v>
      </c>
      <c r="C28" s="46" t="s">
        <v>232</v>
      </c>
      <c r="D28" s="46" t="s">
        <v>233</v>
      </c>
    </row>
    <row r="29" spans="2:4" x14ac:dyDescent="0.35">
      <c r="B29" s="45" t="s">
        <v>234</v>
      </c>
      <c r="C29" s="46" t="s">
        <v>235</v>
      </c>
      <c r="D29" s="46" t="s">
        <v>236</v>
      </c>
    </row>
    <row r="30" spans="2:4" x14ac:dyDescent="0.35">
      <c r="B30" s="45" t="s">
        <v>237</v>
      </c>
      <c r="C30" s="46" t="s">
        <v>238</v>
      </c>
      <c r="D30" s="46" t="s">
        <v>239</v>
      </c>
    </row>
    <row r="31" spans="2:4" x14ac:dyDescent="0.35">
      <c r="B31" s="45" t="s">
        <v>240</v>
      </c>
      <c r="C31" s="46" t="s">
        <v>241</v>
      </c>
      <c r="D31" s="46" t="s">
        <v>242</v>
      </c>
    </row>
    <row r="32" spans="2:4" x14ac:dyDescent="0.35">
      <c r="B32" s="45" t="s">
        <v>243</v>
      </c>
      <c r="C32" s="46" t="s">
        <v>244</v>
      </c>
      <c r="D32" s="46" t="s">
        <v>245</v>
      </c>
    </row>
    <row r="33" spans="2:4" ht="42" x14ac:dyDescent="0.35">
      <c r="B33" s="45" t="s">
        <v>93</v>
      </c>
      <c r="C33" s="46" t="s">
        <v>246</v>
      </c>
      <c r="D33" s="46" t="s">
        <v>247</v>
      </c>
    </row>
    <row r="34" spans="2:4" x14ac:dyDescent="0.35">
      <c r="B34" s="45" t="s">
        <v>248</v>
      </c>
      <c r="C34" s="46" t="s">
        <v>249</v>
      </c>
      <c r="D34" s="46" t="s">
        <v>250</v>
      </c>
    </row>
    <row r="35" spans="2:4" x14ac:dyDescent="0.35">
      <c r="B35" s="45" t="s">
        <v>97</v>
      </c>
      <c r="C35" s="46" t="s">
        <v>251</v>
      </c>
      <c r="D35" s="46" t="s">
        <v>252</v>
      </c>
    </row>
    <row r="36" spans="2:4" x14ac:dyDescent="0.35">
      <c r="B36" s="45" t="s">
        <v>253</v>
      </c>
      <c r="C36" s="46" t="s">
        <v>254</v>
      </c>
      <c r="D36" s="46" t="s">
        <v>255</v>
      </c>
    </row>
    <row r="37" spans="2:4" x14ac:dyDescent="0.35">
      <c r="B37" s="45" t="s">
        <v>256</v>
      </c>
      <c r="C37" s="46" t="s">
        <v>257</v>
      </c>
      <c r="D37" s="46" t="s">
        <v>258</v>
      </c>
    </row>
    <row r="38" spans="2:4" x14ac:dyDescent="0.35">
      <c r="B38" s="45" t="s">
        <v>259</v>
      </c>
      <c r="C38" s="46" t="s">
        <v>260</v>
      </c>
      <c r="D38" s="46" t="s">
        <v>261</v>
      </c>
    </row>
    <row r="39" spans="2:4" x14ac:dyDescent="0.35">
      <c r="B39" s="45" t="s">
        <v>262</v>
      </c>
      <c r="C39" s="46" t="s">
        <v>263</v>
      </c>
      <c r="D39" s="46" t="s">
        <v>264</v>
      </c>
    </row>
    <row r="40" spans="2:4" x14ac:dyDescent="0.35">
      <c r="B40" s="45" t="s">
        <v>265</v>
      </c>
      <c r="C40" s="46" t="s">
        <v>266</v>
      </c>
      <c r="D40" s="46" t="s">
        <v>267</v>
      </c>
    </row>
    <row r="41" spans="2:4" x14ac:dyDescent="0.35">
      <c r="B41" s="45" t="s">
        <v>268</v>
      </c>
      <c r="C41" s="46" t="s">
        <v>269</v>
      </c>
      <c r="D41" s="46" t="s">
        <v>270</v>
      </c>
    </row>
    <row r="42" spans="2:4" x14ac:dyDescent="0.35">
      <c r="B42" s="45" t="s">
        <v>271</v>
      </c>
      <c r="C42" s="46" t="s">
        <v>272</v>
      </c>
      <c r="D42" s="46" t="s">
        <v>273</v>
      </c>
    </row>
    <row r="43" spans="2:4" ht="42" x14ac:dyDescent="0.35">
      <c r="B43" s="45" t="s">
        <v>274</v>
      </c>
      <c r="C43" s="46" t="s">
        <v>275</v>
      </c>
      <c r="D43" s="46" t="s">
        <v>276</v>
      </c>
    </row>
    <row r="44" spans="2:4" ht="28" x14ac:dyDescent="0.35">
      <c r="B44" s="45" t="s">
        <v>277</v>
      </c>
      <c r="C44" s="46" t="s">
        <v>278</v>
      </c>
      <c r="D44" s="46" t="s">
        <v>279</v>
      </c>
    </row>
    <row r="45" spans="2:4" x14ac:dyDescent="0.35">
      <c r="B45" s="45" t="s">
        <v>280</v>
      </c>
      <c r="C45" s="46" t="s">
        <v>281</v>
      </c>
      <c r="D45" s="46" t="s">
        <v>282</v>
      </c>
    </row>
    <row r="46" spans="2:4" ht="28" x14ac:dyDescent="0.35">
      <c r="B46" s="45" t="s">
        <v>72</v>
      </c>
      <c r="C46" s="46" t="s">
        <v>283</v>
      </c>
      <c r="D46" s="46" t="s">
        <v>284</v>
      </c>
    </row>
    <row r="47" spans="2:4" x14ac:dyDescent="0.35">
      <c r="B47" s="45" t="s">
        <v>73</v>
      </c>
      <c r="C47" s="46" t="s">
        <v>285</v>
      </c>
      <c r="D47" s="46" t="s">
        <v>286</v>
      </c>
    </row>
    <row r="48" spans="2:4" x14ac:dyDescent="0.35">
      <c r="B48" s="45" t="s">
        <v>287</v>
      </c>
      <c r="C48" s="46" t="s">
        <v>288</v>
      </c>
      <c r="D48" s="46" t="s">
        <v>289</v>
      </c>
    </row>
    <row r="49" spans="2:4" x14ac:dyDescent="0.35">
      <c r="B49" s="45" t="s">
        <v>290</v>
      </c>
      <c r="C49" s="46" t="s">
        <v>291</v>
      </c>
      <c r="D49" s="46" t="s">
        <v>292</v>
      </c>
    </row>
    <row r="50" spans="2:4" x14ac:dyDescent="0.35">
      <c r="B50" s="45" t="s">
        <v>293</v>
      </c>
      <c r="C50" s="46" t="s">
        <v>294</v>
      </c>
      <c r="D50" s="46" t="s">
        <v>295</v>
      </c>
    </row>
    <row r="51" spans="2:4" ht="28" x14ac:dyDescent="0.35">
      <c r="B51" s="45" t="s">
        <v>296</v>
      </c>
      <c r="C51" s="46" t="s">
        <v>297</v>
      </c>
      <c r="D51" s="46" t="s">
        <v>298</v>
      </c>
    </row>
    <row r="52" spans="2:4" x14ac:dyDescent="0.35">
      <c r="B52" s="45" t="s">
        <v>299</v>
      </c>
      <c r="C52" s="46" t="s">
        <v>300</v>
      </c>
      <c r="D52" s="46" t="s">
        <v>301</v>
      </c>
    </row>
    <row r="53" spans="2:4" ht="28" x14ac:dyDescent="0.35">
      <c r="B53" s="45" t="s">
        <v>302</v>
      </c>
      <c r="C53" s="46" t="s">
        <v>303</v>
      </c>
      <c r="D53" s="46" t="s">
        <v>304</v>
      </c>
    </row>
    <row r="54" spans="2:4" x14ac:dyDescent="0.35">
      <c r="B54" s="45" t="s">
        <v>305</v>
      </c>
      <c r="C54" s="46" t="s">
        <v>306</v>
      </c>
      <c r="D54" s="46" t="s">
        <v>307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A929C"/>
    <pageSetUpPr fitToPage="1"/>
  </sheetPr>
  <dimension ref="A1:L61"/>
  <sheetViews>
    <sheetView showGridLines="0" workbookViewId="0"/>
  </sheetViews>
  <sheetFormatPr defaultRowHeight="14.5" x14ac:dyDescent="0.35"/>
  <cols>
    <col min="1" max="1" width="2" customWidth="1"/>
    <col min="2" max="2" width="40" customWidth="1"/>
    <col min="3" max="4" width="18" customWidth="1"/>
    <col min="5" max="8" width="14" customWidth="1"/>
    <col min="10" max="10" width="24" customWidth="1"/>
    <col min="11" max="11" width="14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308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3</v>
      </c>
      <c r="E5" s="47" t="s">
        <v>309</v>
      </c>
      <c r="J5" s="5" t="s">
        <v>310</v>
      </c>
    </row>
    <row r="6" spans="1:12" ht="16" x14ac:dyDescent="0.45">
      <c r="B6" s="4" t="s">
        <v>311</v>
      </c>
      <c r="C6" s="43">
        <f>MAX(dly_day)</f>
        <v>46290</v>
      </c>
      <c r="E6" s="48" t="s">
        <v>312</v>
      </c>
      <c r="J6" s="4" t="s">
        <v>32</v>
      </c>
      <c r="K6" s="49">
        <f>SUMIFS(dly_net_cash_cents,dly_day,"&gt;="&amp;PriorStart,dly_day,"&lt;="&amp;PriorEnd)/100</f>
        <v>254500</v>
      </c>
    </row>
    <row r="7" spans="1:12" ht="16" x14ac:dyDescent="0.45">
      <c r="B7" s="4" t="s">
        <v>313</v>
      </c>
      <c r="C7" s="43">
        <f>MIN(dly_day)</f>
        <v>45839</v>
      </c>
      <c r="E7" s="48" t="s">
        <v>29</v>
      </c>
      <c r="J7" s="4" t="s">
        <v>33</v>
      </c>
      <c r="K7" s="49">
        <f>SUMIFS(pd_spend_cents,pd_day,"&gt;="&amp;PriorStart,pd_day,"&lt;="&amp;PriorEnd)/100</f>
        <v>37063.11</v>
      </c>
    </row>
    <row r="8" spans="1:12" ht="16" x14ac:dyDescent="0.45">
      <c r="B8" s="4" t="s">
        <v>314</v>
      </c>
      <c r="C8" s="13" t="str">
        <f>Dashboard!$E$5</f>
        <v>Last 28 days</v>
      </c>
      <c r="E8" s="48" t="s">
        <v>315</v>
      </c>
      <c r="J8" s="4" t="s">
        <v>34</v>
      </c>
      <c r="K8" s="50">
        <f>IFERROR(SUMIFS(pd_spend_cents,pd_day,"&gt;="&amp;PriorStart,pd_day,"&lt;="&amp;PriorEnd)/100/SUMIFS(pd_leads,pd_day,"&gt;="&amp;PriorStart,pd_day,"&lt;="&amp;PriorEnd),NA())</f>
        <v>36.952253240279163</v>
      </c>
    </row>
    <row r="9" spans="1:12" ht="16" x14ac:dyDescent="0.45">
      <c r="B9" s="4" t="s">
        <v>316</v>
      </c>
      <c r="C9" s="43">
        <f>IF($C$8="Custom",Dashboard!$L$5,AsOf)</f>
        <v>46290</v>
      </c>
      <c r="E9" s="48" t="s">
        <v>317</v>
      </c>
      <c r="J9" s="4" t="s">
        <v>35</v>
      </c>
      <c r="K9" s="51">
        <f>IFERROR(SUMIFS(pd_mqls,pd_day,"&gt;="&amp;PriorStart,pd_day,"&lt;="&amp;PriorEnd)/SUMIFS(pd_leads,pd_day,"&gt;="&amp;PriorStart,pd_day,"&lt;="&amp;PriorEnd),NA())</f>
        <v>0.20937188434695914</v>
      </c>
    </row>
    <row r="10" spans="1:12" ht="16" x14ac:dyDescent="0.45">
      <c r="B10" s="4" t="s">
        <v>318</v>
      </c>
      <c r="C10" s="43">
        <f>IF($C$8="Custom",Dashboard!$I$5,CHOOSE(MATCH($C$8,WindowList,0),AsOf-6,AsOf-27,AsOf-89,DATE(YEAR(AsOf),MONTH(AsOf),1),DATE(YEAR(AsOf),FLOOR(MONTH(AsOf)-1,3)+1,1),AsOf))</f>
        <v>46263</v>
      </c>
      <c r="E10" s="48" t="s">
        <v>319</v>
      </c>
      <c r="J10" s="4" t="s">
        <v>36</v>
      </c>
      <c r="K10" s="49">
        <f>IFERROR(SUMIFS(pd_spend_cents,pd_day,"&gt;="&amp;PriorStart,pd_day,"&lt;="&amp;PriorEnd)/100/SUMIFS(pd_calls_booked,pd_day,"&gt;="&amp;PriorStart,pd_day,"&lt;="&amp;PriorEnd),NA())</f>
        <v>363.36382352941177</v>
      </c>
    </row>
    <row r="11" spans="1:12" ht="16" x14ac:dyDescent="0.45">
      <c r="B11" s="4" t="s">
        <v>320</v>
      </c>
      <c r="C11" s="52">
        <f>WinEnd-WinStart+1</f>
        <v>28</v>
      </c>
      <c r="E11" s="48" t="s">
        <v>321</v>
      </c>
      <c r="J11" s="4" t="s">
        <v>37</v>
      </c>
      <c r="K11" s="53">
        <f>IFERROR(SUMIFS(em_bounces,em_sent_date,"&gt;="&amp;PriorStart,em_sent_date,"&lt;="&amp;PriorEnd)/SUMIFS(em_sends,em_sent_date,"&gt;="&amp;PriorStart,em_sent_date,"&lt;="&amp;PriorEnd),NA())</f>
        <v>4.9835976736759598E-3</v>
      </c>
    </row>
    <row r="12" spans="1:12" ht="16" x14ac:dyDescent="0.45">
      <c r="B12" s="4" t="s">
        <v>322</v>
      </c>
      <c r="C12" s="43">
        <f>WinStart-1</f>
        <v>46262</v>
      </c>
    </row>
    <row r="13" spans="1:12" ht="16" x14ac:dyDescent="0.45">
      <c r="B13" s="4" t="s">
        <v>323</v>
      </c>
      <c r="C13" s="43">
        <f>WinStart-WinDays</f>
        <v>46235</v>
      </c>
    </row>
    <row r="14" spans="1:12" ht="16" x14ac:dyDescent="0.45">
      <c r="B14" s="4" t="s">
        <v>324</v>
      </c>
      <c r="C14" s="13" t="str">
        <f>IF(OR(NOT(ISNUMBER(WinStart)),NOT(ISNUMBER(WinEnd))),"Enter both custom dates",IF(WinEnd&lt;WinStart,"End is before start",IF(OR(WinStart&lt;FirstDay,WinEnd&gt;AsOf),"Outside the data",IF(PriorStart&lt;FirstDay,"Ready (no full prior window)","Ready"))))</f>
        <v>Ready</v>
      </c>
    </row>
    <row r="17" spans="2:8" ht="16.5" x14ac:dyDescent="0.45">
      <c r="B17" s="5" t="s">
        <v>325</v>
      </c>
    </row>
    <row r="18" spans="2:8" ht="32" customHeight="1" x14ac:dyDescent="0.35">
      <c r="B18" s="10" t="s">
        <v>326</v>
      </c>
      <c r="C18" s="11" t="s">
        <v>327</v>
      </c>
      <c r="D18" s="11" t="s">
        <v>32</v>
      </c>
      <c r="E18" s="11" t="s">
        <v>328</v>
      </c>
      <c r="F18" s="11" t="s">
        <v>329</v>
      </c>
      <c r="G18" s="11" t="s">
        <v>330</v>
      </c>
      <c r="H18" s="11" t="s">
        <v>35</v>
      </c>
    </row>
    <row r="19" spans="2:8" ht="15" x14ac:dyDescent="0.4">
      <c r="B19" s="54">
        <v>45839</v>
      </c>
      <c r="C19" s="55" t="s">
        <v>331</v>
      </c>
      <c r="D19" s="56">
        <f t="shared" ref="D19:D33" si="0">SUMIFS(dly_net_cash_cents,dly_day,"&gt;="&amp;B19,dly_day,"&lt;"&amp;EDATE(B19,1))/100</f>
        <v>58800</v>
      </c>
      <c r="E19" s="56">
        <f t="shared" ref="E19:E33" si="1">SUMIFS(dly_spend_cents,dly_day,"&gt;="&amp;B19,dly_day,"&lt;"&amp;EDATE(B19,1))/100</f>
        <v>27223.05</v>
      </c>
      <c r="F19" s="57">
        <f t="shared" ref="F19:F33" si="2">SUMIFS(pd_leads,pd_day,"&gt;="&amp;B19,pd_day,"&lt;"&amp;EDATE(B19,1))</f>
        <v>689</v>
      </c>
      <c r="G19" s="57">
        <f t="shared" ref="G19:G33" si="3">SUMIFS(pd_mqls,pd_day,"&gt;="&amp;B19,pd_day,"&lt;"&amp;EDATE(B19,1))</f>
        <v>182</v>
      </c>
      <c r="H19" s="58">
        <f t="shared" ref="H19:H33" si="4">IFERROR(G19/F19,NA())</f>
        <v>0.26415094339622641</v>
      </c>
    </row>
    <row r="20" spans="2:8" ht="15" x14ac:dyDescent="0.4">
      <c r="B20" s="54">
        <v>45870</v>
      </c>
      <c r="C20" s="55" t="s">
        <v>332</v>
      </c>
      <c r="D20" s="56">
        <f t="shared" si="0"/>
        <v>173700</v>
      </c>
      <c r="E20" s="56">
        <f t="shared" si="1"/>
        <v>27181.7</v>
      </c>
      <c r="F20" s="57">
        <f t="shared" si="2"/>
        <v>600</v>
      </c>
      <c r="G20" s="57">
        <f t="shared" si="3"/>
        <v>199</v>
      </c>
      <c r="H20" s="58">
        <f t="shared" si="4"/>
        <v>0.33166666666666667</v>
      </c>
    </row>
    <row r="21" spans="2:8" ht="15" x14ac:dyDescent="0.4">
      <c r="B21" s="54">
        <v>45901</v>
      </c>
      <c r="C21" s="55" t="s">
        <v>333</v>
      </c>
      <c r="D21" s="56">
        <f t="shared" si="0"/>
        <v>194500</v>
      </c>
      <c r="E21" s="56">
        <f t="shared" si="1"/>
        <v>26323.54</v>
      </c>
      <c r="F21" s="57">
        <f t="shared" si="2"/>
        <v>631</v>
      </c>
      <c r="G21" s="57">
        <f t="shared" si="3"/>
        <v>163</v>
      </c>
      <c r="H21" s="58">
        <f t="shared" si="4"/>
        <v>0.2583201267828843</v>
      </c>
    </row>
    <row r="22" spans="2:8" ht="15" x14ac:dyDescent="0.4">
      <c r="B22" s="54">
        <v>45931</v>
      </c>
      <c r="C22" s="55" t="s">
        <v>334</v>
      </c>
      <c r="D22" s="56">
        <f t="shared" si="0"/>
        <v>159250</v>
      </c>
      <c r="E22" s="56">
        <f t="shared" si="1"/>
        <v>35171.51</v>
      </c>
      <c r="F22" s="57">
        <f t="shared" si="2"/>
        <v>662</v>
      </c>
      <c r="G22" s="57">
        <f t="shared" si="3"/>
        <v>200</v>
      </c>
      <c r="H22" s="58">
        <f t="shared" si="4"/>
        <v>0.30211480362537763</v>
      </c>
    </row>
    <row r="23" spans="2:8" ht="15" x14ac:dyDescent="0.4">
      <c r="B23" s="54">
        <v>45962</v>
      </c>
      <c r="C23" s="55" t="s">
        <v>335</v>
      </c>
      <c r="D23" s="56">
        <f t="shared" si="0"/>
        <v>206750</v>
      </c>
      <c r="E23" s="56">
        <f t="shared" si="1"/>
        <v>34151.839999999997</v>
      </c>
      <c r="F23" s="57">
        <f t="shared" si="2"/>
        <v>583</v>
      </c>
      <c r="G23" s="57">
        <f t="shared" si="3"/>
        <v>190</v>
      </c>
      <c r="H23" s="58">
        <f t="shared" si="4"/>
        <v>0.32590051457975988</v>
      </c>
    </row>
    <row r="24" spans="2:8" ht="15" x14ac:dyDescent="0.4">
      <c r="B24" s="54">
        <v>45992</v>
      </c>
      <c r="C24" s="55" t="s">
        <v>336</v>
      </c>
      <c r="D24" s="56">
        <f t="shared" si="0"/>
        <v>211600</v>
      </c>
      <c r="E24" s="56">
        <f t="shared" si="1"/>
        <v>35101.82</v>
      </c>
      <c r="F24" s="57">
        <f t="shared" si="2"/>
        <v>550</v>
      </c>
      <c r="G24" s="57">
        <f t="shared" si="3"/>
        <v>156</v>
      </c>
      <c r="H24" s="58">
        <f t="shared" si="4"/>
        <v>0.28363636363636363</v>
      </c>
    </row>
    <row r="25" spans="2:8" ht="15" x14ac:dyDescent="0.4">
      <c r="B25" s="54">
        <v>46023</v>
      </c>
      <c r="C25" s="55" t="s">
        <v>337</v>
      </c>
      <c r="D25" s="56">
        <f t="shared" si="0"/>
        <v>138800</v>
      </c>
      <c r="E25" s="56">
        <f t="shared" si="1"/>
        <v>34863.17</v>
      </c>
      <c r="F25" s="57">
        <f t="shared" si="2"/>
        <v>706</v>
      </c>
      <c r="G25" s="57">
        <f t="shared" si="3"/>
        <v>207</v>
      </c>
      <c r="H25" s="58">
        <f t="shared" si="4"/>
        <v>0.29320113314447593</v>
      </c>
    </row>
    <row r="26" spans="2:8" ht="15" x14ac:dyDescent="0.4">
      <c r="B26" s="54">
        <v>46054</v>
      </c>
      <c r="C26" s="55" t="s">
        <v>338</v>
      </c>
      <c r="D26" s="56">
        <f t="shared" si="0"/>
        <v>119100</v>
      </c>
      <c r="E26" s="56">
        <f t="shared" si="1"/>
        <v>30561.26</v>
      </c>
      <c r="F26" s="57">
        <f t="shared" si="2"/>
        <v>564</v>
      </c>
      <c r="G26" s="57">
        <f t="shared" si="3"/>
        <v>183</v>
      </c>
      <c r="H26" s="58">
        <f t="shared" si="4"/>
        <v>0.32446808510638298</v>
      </c>
    </row>
    <row r="27" spans="2:8" ht="15" x14ac:dyDescent="0.4">
      <c r="B27" s="54">
        <v>46082</v>
      </c>
      <c r="C27" s="55" t="s">
        <v>339</v>
      </c>
      <c r="D27" s="56">
        <f t="shared" si="0"/>
        <v>285600</v>
      </c>
      <c r="E27" s="56">
        <f t="shared" si="1"/>
        <v>31494.639999999999</v>
      </c>
      <c r="F27" s="57">
        <f t="shared" si="2"/>
        <v>567</v>
      </c>
      <c r="G27" s="57">
        <f t="shared" si="3"/>
        <v>183</v>
      </c>
      <c r="H27" s="58">
        <f t="shared" si="4"/>
        <v>0.32275132275132273</v>
      </c>
    </row>
    <row r="28" spans="2:8" ht="15" x14ac:dyDescent="0.4">
      <c r="B28" s="54">
        <v>46113</v>
      </c>
      <c r="C28" s="55" t="s">
        <v>340</v>
      </c>
      <c r="D28" s="56">
        <f t="shared" si="0"/>
        <v>202350</v>
      </c>
      <c r="E28" s="56">
        <f t="shared" si="1"/>
        <v>30075.38</v>
      </c>
      <c r="F28" s="57">
        <f t="shared" si="2"/>
        <v>607</v>
      </c>
      <c r="G28" s="57">
        <f t="shared" si="3"/>
        <v>191</v>
      </c>
      <c r="H28" s="58">
        <f t="shared" si="4"/>
        <v>0.31466227347611203</v>
      </c>
    </row>
    <row r="29" spans="2:8" ht="15" x14ac:dyDescent="0.4">
      <c r="B29" s="54">
        <v>46143</v>
      </c>
      <c r="C29" s="55" t="s">
        <v>341</v>
      </c>
      <c r="D29" s="56">
        <f t="shared" si="0"/>
        <v>262500</v>
      </c>
      <c r="E29" s="56">
        <f t="shared" si="1"/>
        <v>30839.5</v>
      </c>
      <c r="F29" s="57">
        <f t="shared" si="2"/>
        <v>652</v>
      </c>
      <c r="G29" s="57">
        <f t="shared" si="3"/>
        <v>198</v>
      </c>
      <c r="H29" s="58">
        <f t="shared" si="4"/>
        <v>0.30368098159509205</v>
      </c>
    </row>
    <row r="30" spans="2:8" ht="15" x14ac:dyDescent="0.4">
      <c r="B30" s="54">
        <v>46174</v>
      </c>
      <c r="C30" s="55" t="s">
        <v>342</v>
      </c>
      <c r="D30" s="56">
        <f t="shared" si="0"/>
        <v>242800</v>
      </c>
      <c r="E30" s="56">
        <f t="shared" si="1"/>
        <v>29896.959999999999</v>
      </c>
      <c r="F30" s="57">
        <f t="shared" si="2"/>
        <v>646</v>
      </c>
      <c r="G30" s="57">
        <f t="shared" si="3"/>
        <v>182</v>
      </c>
      <c r="H30" s="58">
        <f t="shared" si="4"/>
        <v>0.28173374613003094</v>
      </c>
    </row>
    <row r="31" spans="2:8" ht="15" x14ac:dyDescent="0.4">
      <c r="B31" s="54">
        <v>46204</v>
      </c>
      <c r="C31" s="55" t="s">
        <v>343</v>
      </c>
      <c r="D31" s="56">
        <f t="shared" si="0"/>
        <v>237200</v>
      </c>
      <c r="E31" s="56">
        <f t="shared" si="1"/>
        <v>31281.91</v>
      </c>
      <c r="F31" s="57">
        <f t="shared" si="2"/>
        <v>664</v>
      </c>
      <c r="G31" s="57">
        <f t="shared" si="3"/>
        <v>201</v>
      </c>
      <c r="H31" s="58">
        <f t="shared" si="4"/>
        <v>0.30271084337349397</v>
      </c>
    </row>
    <row r="32" spans="2:8" ht="15" x14ac:dyDescent="0.4">
      <c r="B32" s="54">
        <v>46235</v>
      </c>
      <c r="C32" s="55" t="s">
        <v>344</v>
      </c>
      <c r="D32" s="56">
        <f t="shared" si="0"/>
        <v>294700</v>
      </c>
      <c r="E32" s="56">
        <f t="shared" si="1"/>
        <v>41391.22</v>
      </c>
      <c r="F32" s="57">
        <f t="shared" si="2"/>
        <v>1119</v>
      </c>
      <c r="G32" s="57">
        <f t="shared" si="3"/>
        <v>238</v>
      </c>
      <c r="H32" s="58">
        <f t="shared" si="4"/>
        <v>0.21268990169794461</v>
      </c>
    </row>
    <row r="33" spans="2:8" ht="15" x14ac:dyDescent="0.4">
      <c r="B33" s="54">
        <v>46266</v>
      </c>
      <c r="C33" s="55" t="s">
        <v>345</v>
      </c>
      <c r="D33" s="56">
        <f t="shared" si="0"/>
        <v>269700</v>
      </c>
      <c r="E33" s="56">
        <f t="shared" si="1"/>
        <v>36835.550000000003</v>
      </c>
      <c r="F33" s="57">
        <f t="shared" si="2"/>
        <v>912</v>
      </c>
      <c r="G33" s="57">
        <f t="shared" si="3"/>
        <v>176</v>
      </c>
      <c r="H33" s="58">
        <f t="shared" si="4"/>
        <v>0.19298245614035087</v>
      </c>
    </row>
    <row r="36" spans="2:8" ht="16.5" x14ac:dyDescent="0.45">
      <c r="B36" s="5" t="s">
        <v>346</v>
      </c>
    </row>
    <row r="37" spans="2:8" ht="32" customHeight="1" x14ac:dyDescent="0.35">
      <c r="B37" s="10" t="s">
        <v>347</v>
      </c>
      <c r="C37" s="11" t="s">
        <v>327</v>
      </c>
      <c r="D37" s="11" t="s">
        <v>79</v>
      </c>
      <c r="E37" s="11" t="s">
        <v>80</v>
      </c>
    </row>
    <row r="38" spans="2:8" ht="15" x14ac:dyDescent="0.4">
      <c r="B38" s="54">
        <f>AsOf-WEEKDAY(AsOf,3)-7*11</f>
        <v>46209</v>
      </c>
      <c r="C38" s="55" t="str">
        <f t="shared" ref="C38:C49" si="5">TEXT(B38,"d mmm")</f>
        <v>6 Jul</v>
      </c>
      <c r="D38" s="59">
        <f t="shared" ref="D38:D49" si="6">IFERROR(SUMIFS(em_bounces,em_sent_date,"&gt;="&amp;$B38,em_sent_date,"&lt;"&amp;$B38+7,em_sending_domain,"mail.scalelab.example")/SUMIFS(em_sends,em_sent_date,"&gt;="&amp;$B38,em_sent_date,"&lt;"&amp;$B38+7,em_sending_domain,"mail.scalelab.example"),NA())</f>
        <v>5.0297918439990716E-3</v>
      </c>
      <c r="E38" s="59" t="e">
        <f t="shared" ref="E38:E49" si="7">IFERROR(SUMIFS(em_bounces,em_sent_date,"&gt;="&amp;$B38,em_sent_date,"&lt;"&amp;$B38+7,em_sending_domain,"news.scalelab.example")/SUMIFS(em_sends,em_sent_date,"&gt;="&amp;$B38,em_sent_date,"&lt;"&amp;$B38+7,em_sending_domain,"news.scalelab.example"),NA())</f>
        <v>#N/A</v>
      </c>
    </row>
    <row r="39" spans="2:8" ht="15" x14ac:dyDescent="0.4">
      <c r="B39" s="54">
        <f>AsOf-WEEKDAY(AsOf,3)-7*10</f>
        <v>46216</v>
      </c>
      <c r="C39" s="55" t="str">
        <f t="shared" si="5"/>
        <v>13 Jul</v>
      </c>
      <c r="D39" s="59">
        <f t="shared" si="6"/>
        <v>5.1235684147076556E-3</v>
      </c>
      <c r="E39" s="59" t="e">
        <f t="shared" si="7"/>
        <v>#N/A</v>
      </c>
    </row>
    <row r="40" spans="2:8" ht="15" x14ac:dyDescent="0.4">
      <c r="B40" s="54">
        <f>AsOf-WEEKDAY(AsOf,3)-7*9</f>
        <v>46223</v>
      </c>
      <c r="C40" s="55" t="str">
        <f t="shared" si="5"/>
        <v>20 Jul</v>
      </c>
      <c r="D40" s="59">
        <f t="shared" si="6"/>
        <v>4.8824232762056594E-3</v>
      </c>
      <c r="E40" s="59" t="e">
        <f t="shared" si="7"/>
        <v>#N/A</v>
      </c>
    </row>
    <row r="41" spans="2:8" ht="15" x14ac:dyDescent="0.4">
      <c r="B41" s="54">
        <f>AsOf-WEEKDAY(AsOf,3)-7*8</f>
        <v>46230</v>
      </c>
      <c r="C41" s="55" t="str">
        <f t="shared" si="5"/>
        <v>27 Jul</v>
      </c>
      <c r="D41" s="59">
        <f t="shared" si="6"/>
        <v>4.7706604383044278E-3</v>
      </c>
      <c r="E41" s="59" t="e">
        <f t="shared" si="7"/>
        <v>#N/A</v>
      </c>
    </row>
    <row r="42" spans="2:8" ht="15" x14ac:dyDescent="0.4">
      <c r="B42" s="54">
        <f>AsOf-WEEKDAY(AsOf,3)-7*7</f>
        <v>46237</v>
      </c>
      <c r="C42" s="55" t="str">
        <f t="shared" si="5"/>
        <v>3 Aug</v>
      </c>
      <c r="D42" s="59">
        <f t="shared" si="6"/>
        <v>4.6303137776464217E-3</v>
      </c>
      <c r="E42" s="59" t="e">
        <f t="shared" si="7"/>
        <v>#N/A</v>
      </c>
    </row>
    <row r="43" spans="2:8" ht="15" x14ac:dyDescent="0.4">
      <c r="B43" s="54">
        <f>AsOf-WEEKDAY(AsOf,3)-7*6</f>
        <v>46244</v>
      </c>
      <c r="C43" s="55" t="str">
        <f t="shared" si="5"/>
        <v>10 Aug</v>
      </c>
      <c r="D43" s="59">
        <f t="shared" si="6"/>
        <v>4.927206100822026E-3</v>
      </c>
      <c r="E43" s="59" t="e">
        <f t="shared" si="7"/>
        <v>#N/A</v>
      </c>
    </row>
    <row r="44" spans="2:8" ht="15" x14ac:dyDescent="0.4">
      <c r="B44" s="54">
        <f>AsOf-WEEKDAY(AsOf,3)-7*5</f>
        <v>46251</v>
      </c>
      <c r="C44" s="55" t="str">
        <f t="shared" si="5"/>
        <v>17 Aug</v>
      </c>
      <c r="D44" s="59">
        <f t="shared" si="6"/>
        <v>5.1643192488262908E-3</v>
      </c>
      <c r="E44" s="59" t="e">
        <f t="shared" si="7"/>
        <v>#N/A</v>
      </c>
    </row>
    <row r="45" spans="2:8" ht="15" x14ac:dyDescent="0.4">
      <c r="B45" s="54">
        <f>AsOf-WEEKDAY(AsOf,3)-7*4</f>
        <v>46258</v>
      </c>
      <c r="C45" s="55" t="str">
        <f t="shared" si="5"/>
        <v>24 Aug</v>
      </c>
      <c r="D45" s="59">
        <f t="shared" si="6"/>
        <v>5.2459016393442623E-3</v>
      </c>
      <c r="E45" s="59" t="e">
        <f t="shared" si="7"/>
        <v>#N/A</v>
      </c>
    </row>
    <row r="46" spans="2:8" ht="15" x14ac:dyDescent="0.4">
      <c r="B46" s="54">
        <f>AsOf-WEEKDAY(AsOf,3)-7*3</f>
        <v>46265</v>
      </c>
      <c r="C46" s="55" t="str">
        <f t="shared" si="5"/>
        <v>31 Aug</v>
      </c>
      <c r="D46" s="59">
        <f t="shared" si="6"/>
        <v>4.340277777777778E-3</v>
      </c>
      <c r="E46" s="59">
        <f t="shared" si="7"/>
        <v>3.674897919502236E-2</v>
      </c>
    </row>
    <row r="47" spans="2:8" ht="15" x14ac:dyDescent="0.4">
      <c r="B47" s="54">
        <f>AsOf-WEEKDAY(AsOf,3)-7*2</f>
        <v>46272</v>
      </c>
      <c r="C47" s="55" t="str">
        <f t="shared" si="5"/>
        <v>7 Sep</v>
      </c>
      <c r="D47" s="59">
        <f t="shared" si="6"/>
        <v>5.4577141808842414E-3</v>
      </c>
      <c r="E47" s="59">
        <f t="shared" si="7"/>
        <v>3.7663428091639681E-2</v>
      </c>
    </row>
    <row r="48" spans="2:8" ht="15" x14ac:dyDescent="0.4">
      <c r="B48" s="54">
        <f>AsOf-WEEKDAY(AsOf,3)-7*1</f>
        <v>46279</v>
      </c>
      <c r="C48" s="55" t="str">
        <f t="shared" si="5"/>
        <v>14 Sep</v>
      </c>
      <c r="D48" s="59">
        <f t="shared" si="6"/>
        <v>5.1599587203302374E-3</v>
      </c>
      <c r="E48" s="59">
        <f t="shared" si="7"/>
        <v>3.8874282982791587E-2</v>
      </c>
    </row>
    <row r="49" spans="2:8" ht="15" x14ac:dyDescent="0.4">
      <c r="B49" s="54">
        <f>AsOf-WEEKDAY(AsOf,3)-7*0</f>
        <v>46286</v>
      </c>
      <c r="C49" s="55" t="str">
        <f t="shared" si="5"/>
        <v>21 Sep</v>
      </c>
      <c r="D49" s="59">
        <f t="shared" si="6"/>
        <v>5.08130081300813E-3</v>
      </c>
      <c r="E49" s="59">
        <f t="shared" si="7"/>
        <v>3.8456026369846651E-2</v>
      </c>
    </row>
    <row r="52" spans="2:8" ht="16.5" x14ac:dyDescent="0.45">
      <c r="B52" s="5" t="s">
        <v>348</v>
      </c>
    </row>
    <row r="53" spans="2:8" ht="32" customHeight="1" x14ac:dyDescent="0.35">
      <c r="B53" s="10" t="s">
        <v>88</v>
      </c>
      <c r="C53" s="11" t="s">
        <v>89</v>
      </c>
      <c r="D53" s="11" t="s">
        <v>349</v>
      </c>
      <c r="E53" s="11" t="s">
        <v>350</v>
      </c>
      <c r="F53" s="11" t="s">
        <v>351</v>
      </c>
      <c r="G53" s="11" t="s">
        <v>352</v>
      </c>
      <c r="H53" s="11" t="s">
        <v>353</v>
      </c>
    </row>
    <row r="54" spans="2:8" ht="15" x14ac:dyDescent="0.4">
      <c r="B54" s="55" t="str">
        <f>Bridge!E2</f>
        <v>CRM bookings</v>
      </c>
      <c r="C54" s="56">
        <f>Bridge!D2/100</f>
        <v>3323400</v>
      </c>
      <c r="D54" s="56">
        <f>IF(Bridge!C2="total",C54,0+C54)</f>
        <v>3323400</v>
      </c>
      <c r="E54" s="56">
        <f>IF(Bridge!C2="total",0,MIN(0,D54))</f>
        <v>0</v>
      </c>
      <c r="F54" s="56">
        <f>IF(Bridge!C2="total",0,MAX(C54,0))</f>
        <v>0</v>
      </c>
      <c r="G54" s="56">
        <f>IF(Bridge!C2="total",0,MAX(-C54,0))</f>
        <v>0</v>
      </c>
      <c r="H54" s="56">
        <f>IF(Bridge!C2="total",C54,0)</f>
        <v>3323400</v>
      </c>
    </row>
    <row r="55" spans="2:8" ht="15" x14ac:dyDescent="0.4">
      <c r="B55" s="55" t="str">
        <f>Bridge!E3</f>
        <v>Duplicate deals</v>
      </c>
      <c r="C55" s="56">
        <f>Bridge!D3/100</f>
        <v>-4800</v>
      </c>
      <c r="D55" s="56">
        <f>IF(Bridge!C3="total",C55,D54+C55)</f>
        <v>3318600</v>
      </c>
      <c r="E55" s="56">
        <f>IF(Bridge!C3="total",0,MIN(D54,D55))</f>
        <v>3318600</v>
      </c>
      <c r="F55" s="56">
        <f>IF(Bridge!C3="total",0,MAX(C55,0))</f>
        <v>0</v>
      </c>
      <c r="G55" s="56">
        <f>IF(Bridge!C3="total",0,MAX(-C55,0))</f>
        <v>4800</v>
      </c>
      <c r="H55" s="56">
        <f>IF(Bridge!C3="total",C55,0)</f>
        <v>0</v>
      </c>
    </row>
    <row r="56" spans="2:8" ht="15" x14ac:dyDescent="0.4">
      <c r="B56" s="55" t="str">
        <f>Bridge!E4</f>
        <v>Not yet collected</v>
      </c>
      <c r="C56" s="56">
        <f>Bridge!D4/100</f>
        <v>-189600</v>
      </c>
      <c r="D56" s="56">
        <f>IF(Bridge!C4="total",C56,D55+C56)</f>
        <v>3129000</v>
      </c>
      <c r="E56" s="56">
        <f>IF(Bridge!C4="total",0,MIN(D55,D56))</f>
        <v>3129000</v>
      </c>
      <c r="F56" s="56">
        <f>IF(Bridge!C4="total",0,MAX(C56,0))</f>
        <v>0</v>
      </c>
      <c r="G56" s="56">
        <f>IF(Bridge!C4="total",0,MAX(-C56,0))</f>
        <v>189600</v>
      </c>
      <c r="H56" s="56">
        <f>IF(Bridge!C4="total",C56,0)</f>
        <v>0</v>
      </c>
    </row>
    <row r="57" spans="2:8" ht="15" x14ac:dyDescent="0.4">
      <c r="B57" s="55" t="str">
        <f>Bridge!E5</f>
        <v>Unlinked payments</v>
      </c>
      <c r="C57" s="56">
        <f>Bridge!D5/100</f>
        <v>33300</v>
      </c>
      <c r="D57" s="56">
        <f>IF(Bridge!C5="total",C57,D56+C57)</f>
        <v>3162300</v>
      </c>
      <c r="E57" s="56">
        <f>IF(Bridge!C5="total",0,MIN(D56,D57))</f>
        <v>3129000</v>
      </c>
      <c r="F57" s="56">
        <f>IF(Bridge!C5="total",0,MAX(C57,0))</f>
        <v>33300</v>
      </c>
      <c r="G57" s="56">
        <f>IF(Bridge!C5="total",0,MAX(-C57,0))</f>
        <v>0</v>
      </c>
      <c r="H57" s="56">
        <f>IF(Bridge!C5="total",C57,0)</f>
        <v>0</v>
      </c>
    </row>
    <row r="58" spans="2:8" ht="15" x14ac:dyDescent="0.4">
      <c r="B58" s="55" t="str">
        <f>Bridge!E6</f>
        <v>Renewals</v>
      </c>
      <c r="C58" s="56">
        <f>Bridge!D6/100</f>
        <v>28500</v>
      </c>
      <c r="D58" s="56">
        <f>IF(Bridge!C6="total",C58,D57+C58)</f>
        <v>3190800</v>
      </c>
      <c r="E58" s="56">
        <f>IF(Bridge!C6="total",0,MIN(D57,D58))</f>
        <v>3162300</v>
      </c>
      <c r="F58" s="56">
        <f>IF(Bridge!C6="total",0,MAX(C58,0))</f>
        <v>28500</v>
      </c>
      <c r="G58" s="56">
        <f>IF(Bridge!C6="total",0,MAX(-C58,0))</f>
        <v>0</v>
      </c>
      <c r="H58" s="56">
        <f>IF(Bridge!C6="total",C58,0)</f>
        <v>0</v>
      </c>
    </row>
    <row r="59" spans="2:8" ht="15" x14ac:dyDescent="0.4">
      <c r="B59" s="55" t="str">
        <f>Bridge!E7</f>
        <v>Gross collected</v>
      </c>
      <c r="C59" s="56">
        <f>Bridge!D7/100</f>
        <v>3190800</v>
      </c>
      <c r="D59" s="56">
        <f>IF(Bridge!C7="total",C59,D58+C59)</f>
        <v>3190800</v>
      </c>
      <c r="E59" s="56">
        <f>IF(Bridge!C7="total",0,MIN(D58,D59))</f>
        <v>0</v>
      </c>
      <c r="F59" s="56">
        <f>IF(Bridge!C7="total",0,MAX(C59,0))</f>
        <v>0</v>
      </c>
      <c r="G59" s="56">
        <f>IF(Bridge!C7="total",0,MAX(-C59,0))</f>
        <v>0</v>
      </c>
      <c r="H59" s="56">
        <f>IF(Bridge!C7="total",C59,0)</f>
        <v>3190800</v>
      </c>
    </row>
    <row r="60" spans="2:8" ht="15" x14ac:dyDescent="0.4">
      <c r="B60" s="55" t="str">
        <f>Bridge!E8</f>
        <v>Refunds</v>
      </c>
      <c r="C60" s="56">
        <f>Bridge!D8/100</f>
        <v>-133450</v>
      </c>
      <c r="D60" s="56">
        <f>IF(Bridge!C8="total",C60,D59+C60)</f>
        <v>3057350</v>
      </c>
      <c r="E60" s="56">
        <f>IF(Bridge!C8="total",0,MIN(D59,D60))</f>
        <v>3057350</v>
      </c>
      <c r="F60" s="56">
        <f>IF(Bridge!C8="total",0,MAX(C60,0))</f>
        <v>0</v>
      </c>
      <c r="G60" s="56">
        <f>IF(Bridge!C8="total",0,MAX(-C60,0))</f>
        <v>133450</v>
      </c>
      <c r="H60" s="56">
        <f>IF(Bridge!C8="total",C60,0)</f>
        <v>0</v>
      </c>
    </row>
    <row r="61" spans="2:8" ht="15" x14ac:dyDescent="0.4">
      <c r="B61" s="55" t="str">
        <f>Bridge!E9</f>
        <v>Net collected</v>
      </c>
      <c r="C61" s="56">
        <f>Bridge!D9/100</f>
        <v>3057350</v>
      </c>
      <c r="D61" s="56">
        <f>IF(Bridge!C9="total",C61,D60+C61)</f>
        <v>3057350</v>
      </c>
      <c r="E61" s="56">
        <f>IF(Bridge!C9="total",0,MIN(D60,D61))</f>
        <v>0</v>
      </c>
      <c r="F61" s="56">
        <f>IF(Bridge!C9="total",0,MAX(C61,0))</f>
        <v>0</v>
      </c>
      <c r="G61" s="56">
        <f>IF(Bridge!C9="total",0,MAX(-C61,0))</f>
        <v>0</v>
      </c>
      <c r="H61" s="56">
        <f>IF(Bridge!C9="total",C61,0)</f>
        <v>3057350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929C"/>
  </sheetPr>
  <dimension ref="A1:J45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11" customWidth="1"/>
    <col min="5" max="5" width="15" customWidth="1"/>
    <col min="6" max="6" width="19" customWidth="1"/>
    <col min="7" max="7" width="15" customWidth="1"/>
    <col min="8" max="8" width="24" customWidth="1"/>
    <col min="9" max="9" width="16" customWidth="1"/>
    <col min="10" max="10" width="17" customWidth="1"/>
  </cols>
  <sheetData>
    <row r="1" spans="1:10" ht="15" x14ac:dyDescent="0.4">
      <c r="A1" s="60" t="s">
        <v>354</v>
      </c>
      <c r="B1" s="60" t="s">
        <v>355</v>
      </c>
      <c r="C1" s="60" t="s">
        <v>356</v>
      </c>
      <c r="D1" s="60" t="s">
        <v>357</v>
      </c>
      <c r="E1" s="60" t="s">
        <v>358</v>
      </c>
      <c r="F1" s="60" t="s">
        <v>359</v>
      </c>
      <c r="G1" s="60" t="s">
        <v>360</v>
      </c>
      <c r="H1" s="60" t="s">
        <v>361</v>
      </c>
      <c r="I1" s="60" t="s">
        <v>362</v>
      </c>
      <c r="J1" s="60" t="s">
        <v>363</v>
      </c>
    </row>
    <row r="2" spans="1:10" ht="15" x14ac:dyDescent="0.4">
      <c r="A2" s="54">
        <v>45839</v>
      </c>
      <c r="B2" s="57">
        <v>89942</v>
      </c>
      <c r="C2" s="55">
        <v>37</v>
      </c>
      <c r="D2" s="55">
        <v>0</v>
      </c>
      <c r="E2" s="55">
        <v>0</v>
      </c>
      <c r="F2" s="55">
        <v>0</v>
      </c>
      <c r="G2" s="57">
        <v>0</v>
      </c>
      <c r="H2" s="57">
        <v>0</v>
      </c>
      <c r="I2" s="57">
        <v>0</v>
      </c>
      <c r="J2" s="57">
        <v>0</v>
      </c>
    </row>
    <row r="3" spans="1:10" ht="15" x14ac:dyDescent="0.4">
      <c r="A3" s="54">
        <v>45840</v>
      </c>
      <c r="B3" s="57">
        <v>84528</v>
      </c>
      <c r="C3" s="55">
        <v>32</v>
      </c>
      <c r="D3" s="55">
        <v>6</v>
      </c>
      <c r="E3" s="55">
        <v>0</v>
      </c>
      <c r="F3" s="55">
        <v>0</v>
      </c>
      <c r="G3" s="57">
        <v>0</v>
      </c>
      <c r="H3" s="57">
        <v>0</v>
      </c>
      <c r="I3" s="57">
        <v>0</v>
      </c>
      <c r="J3" s="57">
        <v>0</v>
      </c>
    </row>
    <row r="4" spans="1:10" ht="15" x14ac:dyDescent="0.4">
      <c r="A4" s="54">
        <v>45841</v>
      </c>
      <c r="B4" s="57">
        <v>87088</v>
      </c>
      <c r="C4" s="55">
        <v>37</v>
      </c>
      <c r="D4" s="55">
        <v>9</v>
      </c>
      <c r="E4" s="55">
        <v>0</v>
      </c>
      <c r="F4" s="55">
        <v>0</v>
      </c>
      <c r="G4" s="57">
        <v>0</v>
      </c>
      <c r="H4" s="57">
        <v>0</v>
      </c>
      <c r="I4" s="57">
        <v>0</v>
      </c>
      <c r="J4" s="57">
        <v>0</v>
      </c>
    </row>
    <row r="5" spans="1:10" ht="15" x14ac:dyDescent="0.4">
      <c r="A5" s="54">
        <v>45842</v>
      </c>
      <c r="B5" s="57">
        <v>92251</v>
      </c>
      <c r="C5" s="55">
        <v>31</v>
      </c>
      <c r="D5" s="55">
        <v>6</v>
      </c>
      <c r="E5" s="55">
        <v>0</v>
      </c>
      <c r="F5" s="55">
        <v>0</v>
      </c>
      <c r="G5" s="57">
        <v>0</v>
      </c>
      <c r="H5" s="57">
        <v>0</v>
      </c>
      <c r="I5" s="57">
        <v>0</v>
      </c>
      <c r="J5" s="57">
        <v>0</v>
      </c>
    </row>
    <row r="6" spans="1:10" ht="15" x14ac:dyDescent="0.4">
      <c r="A6" s="54">
        <v>45843</v>
      </c>
      <c r="B6" s="57">
        <v>87645</v>
      </c>
      <c r="C6" s="55">
        <v>21</v>
      </c>
      <c r="D6" s="55">
        <v>8</v>
      </c>
      <c r="E6" s="55">
        <v>1</v>
      </c>
      <c r="F6" s="55">
        <v>0</v>
      </c>
      <c r="G6" s="57">
        <v>0</v>
      </c>
      <c r="H6" s="57">
        <v>0</v>
      </c>
      <c r="I6" s="57">
        <v>0</v>
      </c>
      <c r="J6" s="57">
        <v>0</v>
      </c>
    </row>
    <row r="7" spans="1:10" ht="15" x14ac:dyDescent="0.4">
      <c r="A7" s="54">
        <v>45844</v>
      </c>
      <c r="B7" s="57">
        <v>88276</v>
      </c>
      <c r="C7" s="55">
        <v>29</v>
      </c>
      <c r="D7" s="55">
        <v>5</v>
      </c>
      <c r="E7" s="55">
        <v>4</v>
      </c>
      <c r="F7" s="55">
        <v>0</v>
      </c>
      <c r="G7" s="57">
        <v>0</v>
      </c>
      <c r="H7" s="57">
        <v>0</v>
      </c>
      <c r="I7" s="57">
        <v>0</v>
      </c>
      <c r="J7" s="57">
        <v>0</v>
      </c>
    </row>
    <row r="8" spans="1:10" ht="15" x14ac:dyDescent="0.4">
      <c r="A8" s="54">
        <v>45845</v>
      </c>
      <c r="B8" s="57">
        <v>84176</v>
      </c>
      <c r="C8" s="55">
        <v>21</v>
      </c>
      <c r="D8" s="55">
        <v>9</v>
      </c>
      <c r="E8" s="55">
        <v>1</v>
      </c>
      <c r="F8" s="55">
        <v>0</v>
      </c>
      <c r="G8" s="57">
        <v>0</v>
      </c>
      <c r="H8" s="57">
        <v>0</v>
      </c>
      <c r="I8" s="57">
        <v>0</v>
      </c>
      <c r="J8" s="57">
        <v>0</v>
      </c>
    </row>
    <row r="9" spans="1:10" ht="15" x14ac:dyDescent="0.4">
      <c r="A9" s="54">
        <v>45846</v>
      </c>
      <c r="B9" s="57">
        <v>88690</v>
      </c>
      <c r="C9" s="55">
        <v>40</v>
      </c>
      <c r="D9" s="55">
        <v>5</v>
      </c>
      <c r="E9" s="55">
        <v>3</v>
      </c>
      <c r="F9" s="55">
        <v>0</v>
      </c>
      <c r="G9" s="57">
        <v>0</v>
      </c>
      <c r="H9" s="57">
        <v>0</v>
      </c>
      <c r="I9" s="57">
        <v>0</v>
      </c>
      <c r="J9" s="57">
        <v>0</v>
      </c>
    </row>
    <row r="10" spans="1:10" ht="15" x14ac:dyDescent="0.4">
      <c r="A10" s="54">
        <v>45847</v>
      </c>
      <c r="B10" s="57">
        <v>93993</v>
      </c>
      <c r="C10" s="55">
        <v>36</v>
      </c>
      <c r="D10" s="55">
        <v>9</v>
      </c>
      <c r="E10" s="55">
        <v>4</v>
      </c>
      <c r="F10" s="55">
        <v>0</v>
      </c>
      <c r="G10" s="57">
        <v>0</v>
      </c>
      <c r="H10" s="57">
        <v>0</v>
      </c>
      <c r="I10" s="57">
        <v>0</v>
      </c>
      <c r="J10" s="57">
        <v>0</v>
      </c>
    </row>
    <row r="11" spans="1:10" ht="15" x14ac:dyDescent="0.4">
      <c r="A11" s="54">
        <v>45848</v>
      </c>
      <c r="B11" s="57">
        <v>84993</v>
      </c>
      <c r="C11" s="55">
        <v>60</v>
      </c>
      <c r="D11" s="55">
        <v>10</v>
      </c>
      <c r="E11" s="55">
        <v>2</v>
      </c>
      <c r="F11" s="55">
        <v>0</v>
      </c>
      <c r="G11" s="57">
        <v>0</v>
      </c>
      <c r="H11" s="57">
        <v>0</v>
      </c>
      <c r="I11" s="57">
        <v>0</v>
      </c>
      <c r="J11" s="57">
        <v>0</v>
      </c>
    </row>
    <row r="12" spans="1:10" ht="15" x14ac:dyDescent="0.4">
      <c r="A12" s="54">
        <v>45849</v>
      </c>
      <c r="B12" s="57">
        <v>85953</v>
      </c>
      <c r="C12" s="55">
        <v>36</v>
      </c>
      <c r="D12" s="55">
        <v>14</v>
      </c>
      <c r="E12" s="55">
        <v>7</v>
      </c>
      <c r="F12" s="55">
        <v>0</v>
      </c>
      <c r="G12" s="57">
        <v>0</v>
      </c>
      <c r="H12" s="57">
        <v>0</v>
      </c>
      <c r="I12" s="57">
        <v>0</v>
      </c>
      <c r="J12" s="57">
        <v>0</v>
      </c>
    </row>
    <row r="13" spans="1:10" ht="15" x14ac:dyDescent="0.4">
      <c r="A13" s="54">
        <v>45850</v>
      </c>
      <c r="B13" s="57">
        <v>89415</v>
      </c>
      <c r="C13" s="55">
        <v>17</v>
      </c>
      <c r="D13" s="55">
        <v>13</v>
      </c>
      <c r="E13" s="55">
        <v>4</v>
      </c>
      <c r="F13" s="55">
        <v>0</v>
      </c>
      <c r="G13" s="57">
        <v>0</v>
      </c>
      <c r="H13" s="57">
        <v>0</v>
      </c>
      <c r="I13" s="57">
        <v>0</v>
      </c>
      <c r="J13" s="57">
        <v>0</v>
      </c>
    </row>
    <row r="14" spans="1:10" ht="15" x14ac:dyDescent="0.4">
      <c r="A14" s="54">
        <v>45851</v>
      </c>
      <c r="B14" s="57">
        <v>86321</v>
      </c>
      <c r="C14" s="55">
        <v>18</v>
      </c>
      <c r="D14" s="55">
        <v>11</v>
      </c>
      <c r="E14" s="55">
        <v>7</v>
      </c>
      <c r="F14" s="55">
        <v>0</v>
      </c>
      <c r="G14" s="57">
        <v>0</v>
      </c>
      <c r="H14" s="57">
        <v>0</v>
      </c>
      <c r="I14" s="57">
        <v>0</v>
      </c>
      <c r="J14" s="57">
        <v>0</v>
      </c>
    </row>
    <row r="15" spans="1:10" ht="15" x14ac:dyDescent="0.4">
      <c r="A15" s="54">
        <v>45852</v>
      </c>
      <c r="B15" s="57">
        <v>86502</v>
      </c>
      <c r="C15" s="55">
        <v>36</v>
      </c>
      <c r="D15" s="55">
        <v>6</v>
      </c>
      <c r="E15" s="55">
        <v>5</v>
      </c>
      <c r="F15" s="55">
        <v>0</v>
      </c>
      <c r="G15" s="57">
        <v>0</v>
      </c>
      <c r="H15" s="57">
        <v>0</v>
      </c>
      <c r="I15" s="57">
        <v>0</v>
      </c>
      <c r="J15" s="57">
        <v>0</v>
      </c>
    </row>
    <row r="16" spans="1:10" ht="15" x14ac:dyDescent="0.4">
      <c r="A16" s="54">
        <v>45853</v>
      </c>
      <c r="B16" s="57">
        <v>90355</v>
      </c>
      <c r="C16" s="55">
        <v>54</v>
      </c>
      <c r="D16" s="55">
        <v>6</v>
      </c>
      <c r="E16" s="55">
        <v>4</v>
      </c>
      <c r="F16" s="55">
        <v>0</v>
      </c>
      <c r="G16" s="57">
        <v>0</v>
      </c>
      <c r="H16" s="57">
        <v>0</v>
      </c>
      <c r="I16" s="57">
        <v>0</v>
      </c>
      <c r="J16" s="57">
        <v>0</v>
      </c>
    </row>
    <row r="17" spans="1:10" ht="15" x14ac:dyDescent="0.4">
      <c r="A17" s="54">
        <v>45854</v>
      </c>
      <c r="B17" s="57">
        <v>89870</v>
      </c>
      <c r="C17" s="55">
        <v>34</v>
      </c>
      <c r="D17" s="55">
        <v>11</v>
      </c>
      <c r="E17" s="55">
        <v>4</v>
      </c>
      <c r="F17" s="55">
        <v>1</v>
      </c>
      <c r="G17" s="57">
        <v>1500000</v>
      </c>
      <c r="H17" s="57">
        <v>1500000</v>
      </c>
      <c r="I17" s="57">
        <v>0</v>
      </c>
      <c r="J17" s="57">
        <v>1500000</v>
      </c>
    </row>
    <row r="18" spans="1:10" ht="15" x14ac:dyDescent="0.4">
      <c r="A18" s="54">
        <v>45855</v>
      </c>
      <c r="B18" s="57">
        <v>85983</v>
      </c>
      <c r="C18" s="55">
        <v>42</v>
      </c>
      <c r="D18" s="55">
        <v>10</v>
      </c>
      <c r="E18" s="55">
        <v>4</v>
      </c>
      <c r="F18" s="55">
        <v>2</v>
      </c>
      <c r="G18" s="57">
        <v>990000</v>
      </c>
      <c r="H18" s="57">
        <v>0</v>
      </c>
      <c r="I18" s="57">
        <v>0</v>
      </c>
      <c r="J18" s="57">
        <v>0</v>
      </c>
    </row>
    <row r="19" spans="1:10" ht="15" x14ac:dyDescent="0.4">
      <c r="A19" s="54">
        <v>45856</v>
      </c>
      <c r="B19" s="57">
        <v>88605</v>
      </c>
      <c r="C19" s="55">
        <v>29</v>
      </c>
      <c r="D19" s="55">
        <v>10</v>
      </c>
      <c r="E19" s="55">
        <v>7</v>
      </c>
      <c r="F19" s="55">
        <v>0</v>
      </c>
      <c r="G19" s="57">
        <v>0</v>
      </c>
      <c r="H19" s="57">
        <v>480000</v>
      </c>
      <c r="I19" s="57">
        <v>0</v>
      </c>
      <c r="J19" s="57">
        <v>480000</v>
      </c>
    </row>
    <row r="20" spans="1:10" ht="15" x14ac:dyDescent="0.4">
      <c r="A20" s="54">
        <v>45857</v>
      </c>
      <c r="B20" s="57">
        <v>84947</v>
      </c>
      <c r="C20" s="55">
        <v>12</v>
      </c>
      <c r="D20" s="55">
        <v>12</v>
      </c>
      <c r="E20" s="55">
        <v>1</v>
      </c>
      <c r="F20" s="55">
        <v>0</v>
      </c>
      <c r="G20" s="57">
        <v>0</v>
      </c>
      <c r="H20" s="57">
        <v>170000</v>
      </c>
      <c r="I20" s="57">
        <v>0</v>
      </c>
      <c r="J20" s="57">
        <v>170000</v>
      </c>
    </row>
    <row r="21" spans="1:10" ht="15" x14ac:dyDescent="0.4">
      <c r="A21" s="54">
        <v>45858</v>
      </c>
      <c r="B21" s="57">
        <v>88410</v>
      </c>
      <c r="C21" s="55">
        <v>27</v>
      </c>
      <c r="D21" s="55">
        <v>5</v>
      </c>
      <c r="E21" s="55">
        <v>4</v>
      </c>
      <c r="F21" s="55">
        <v>0</v>
      </c>
      <c r="G21" s="57">
        <v>0</v>
      </c>
      <c r="H21" s="57">
        <v>0</v>
      </c>
      <c r="I21" s="57">
        <v>0</v>
      </c>
      <c r="J21" s="57">
        <v>0</v>
      </c>
    </row>
    <row r="22" spans="1:10" ht="15" x14ac:dyDescent="0.4">
      <c r="A22" s="54">
        <v>45859</v>
      </c>
      <c r="B22" s="57">
        <v>84908</v>
      </c>
      <c r="C22" s="55">
        <v>36</v>
      </c>
      <c r="D22" s="55">
        <v>7</v>
      </c>
      <c r="E22" s="55">
        <v>5</v>
      </c>
      <c r="F22" s="55">
        <v>1</v>
      </c>
      <c r="G22" s="57">
        <v>150000</v>
      </c>
      <c r="H22" s="57">
        <v>150000</v>
      </c>
      <c r="I22" s="57">
        <v>0</v>
      </c>
      <c r="J22" s="57">
        <v>150000</v>
      </c>
    </row>
    <row r="23" spans="1:10" ht="15" x14ac:dyDescent="0.4">
      <c r="A23" s="54">
        <v>45860</v>
      </c>
      <c r="B23" s="57">
        <v>88463</v>
      </c>
      <c r="C23" s="55">
        <v>47</v>
      </c>
      <c r="D23" s="55">
        <v>11</v>
      </c>
      <c r="E23" s="55">
        <v>4</v>
      </c>
      <c r="F23" s="55">
        <v>0</v>
      </c>
      <c r="G23" s="57">
        <v>0</v>
      </c>
      <c r="H23" s="57">
        <v>0</v>
      </c>
      <c r="I23" s="57">
        <v>0</v>
      </c>
      <c r="J23" s="57">
        <v>0</v>
      </c>
    </row>
    <row r="24" spans="1:10" ht="15" x14ac:dyDescent="0.4">
      <c r="A24" s="54">
        <v>45861</v>
      </c>
      <c r="B24" s="57">
        <v>89490</v>
      </c>
      <c r="C24" s="55">
        <v>36</v>
      </c>
      <c r="D24" s="55">
        <v>6</v>
      </c>
      <c r="E24" s="55">
        <v>4</v>
      </c>
      <c r="F24" s="55">
        <v>2</v>
      </c>
      <c r="G24" s="57">
        <v>990000</v>
      </c>
      <c r="H24" s="57">
        <v>0</v>
      </c>
      <c r="I24" s="57">
        <v>0</v>
      </c>
      <c r="J24" s="57">
        <v>0</v>
      </c>
    </row>
    <row r="25" spans="1:10" ht="15" x14ac:dyDescent="0.4">
      <c r="A25" s="54">
        <v>45862</v>
      </c>
      <c r="B25" s="57">
        <v>88915</v>
      </c>
      <c r="C25" s="55">
        <v>41</v>
      </c>
      <c r="D25" s="55">
        <v>13</v>
      </c>
      <c r="E25" s="55">
        <v>5</v>
      </c>
      <c r="F25" s="55">
        <v>0</v>
      </c>
      <c r="G25" s="57">
        <v>0</v>
      </c>
      <c r="H25" s="57">
        <v>650000</v>
      </c>
      <c r="I25" s="57">
        <v>0</v>
      </c>
      <c r="J25" s="57">
        <v>650000</v>
      </c>
    </row>
    <row r="26" spans="1:10" ht="15" x14ac:dyDescent="0.4">
      <c r="A26" s="54">
        <v>45863</v>
      </c>
      <c r="B26" s="57">
        <v>84122</v>
      </c>
      <c r="C26" s="55">
        <v>18</v>
      </c>
      <c r="D26" s="55">
        <v>7</v>
      </c>
      <c r="E26" s="55">
        <v>0</v>
      </c>
      <c r="F26" s="55">
        <v>0</v>
      </c>
      <c r="G26" s="57">
        <v>0</v>
      </c>
      <c r="H26" s="57">
        <v>0</v>
      </c>
      <c r="I26" s="57">
        <v>0</v>
      </c>
      <c r="J26" s="57">
        <v>0</v>
      </c>
    </row>
    <row r="27" spans="1:10" ht="15" x14ac:dyDescent="0.4">
      <c r="A27" s="54">
        <v>45864</v>
      </c>
      <c r="B27" s="57">
        <v>87332</v>
      </c>
      <c r="C27" s="55">
        <v>25</v>
      </c>
      <c r="D27" s="55">
        <v>12</v>
      </c>
      <c r="E27" s="55">
        <v>3</v>
      </c>
      <c r="F27" s="55">
        <v>2</v>
      </c>
      <c r="G27" s="57">
        <v>990000</v>
      </c>
      <c r="H27" s="57">
        <v>0</v>
      </c>
      <c r="I27" s="57">
        <v>0</v>
      </c>
      <c r="J27" s="57">
        <v>0</v>
      </c>
    </row>
    <row r="28" spans="1:10" ht="15" x14ac:dyDescent="0.4">
      <c r="A28" s="54">
        <v>45865</v>
      </c>
      <c r="B28" s="57">
        <v>91388</v>
      </c>
      <c r="C28" s="55">
        <v>28</v>
      </c>
      <c r="D28" s="55">
        <v>5</v>
      </c>
      <c r="E28" s="55">
        <v>4</v>
      </c>
      <c r="F28" s="55">
        <v>1</v>
      </c>
      <c r="G28" s="57">
        <v>150000</v>
      </c>
      <c r="H28" s="57">
        <v>800000</v>
      </c>
      <c r="I28" s="57">
        <v>0</v>
      </c>
      <c r="J28" s="57">
        <v>800000</v>
      </c>
    </row>
    <row r="29" spans="1:10" ht="15" x14ac:dyDescent="0.4">
      <c r="A29" s="54">
        <v>45866</v>
      </c>
      <c r="B29" s="57">
        <v>89511</v>
      </c>
      <c r="C29" s="55">
        <v>30</v>
      </c>
      <c r="D29" s="55">
        <v>8</v>
      </c>
      <c r="E29" s="55">
        <v>4</v>
      </c>
      <c r="F29" s="55">
        <v>1</v>
      </c>
      <c r="G29" s="57">
        <v>1500000</v>
      </c>
      <c r="H29" s="57">
        <v>0</v>
      </c>
      <c r="I29" s="57">
        <v>0</v>
      </c>
      <c r="J29" s="57">
        <v>0</v>
      </c>
    </row>
    <row r="30" spans="1:10" ht="15" x14ac:dyDescent="0.4">
      <c r="A30" s="54">
        <v>45867</v>
      </c>
      <c r="B30" s="57">
        <v>85082</v>
      </c>
      <c r="C30" s="55">
        <v>43</v>
      </c>
      <c r="D30" s="55">
        <v>9</v>
      </c>
      <c r="E30" s="55">
        <v>4</v>
      </c>
      <c r="F30" s="55">
        <v>1</v>
      </c>
      <c r="G30" s="57">
        <v>150000</v>
      </c>
      <c r="H30" s="57">
        <v>1650000</v>
      </c>
      <c r="I30" s="57">
        <v>0</v>
      </c>
      <c r="J30" s="57">
        <v>1650000</v>
      </c>
    </row>
    <row r="31" spans="1:10" ht="15" x14ac:dyDescent="0.4">
      <c r="A31" s="54">
        <v>45868</v>
      </c>
      <c r="B31" s="57">
        <v>87643</v>
      </c>
      <c r="C31" s="55">
        <v>32</v>
      </c>
      <c r="D31" s="55">
        <v>9</v>
      </c>
      <c r="E31" s="55">
        <v>1</v>
      </c>
      <c r="F31" s="55">
        <v>1</v>
      </c>
      <c r="G31" s="57">
        <v>480000</v>
      </c>
      <c r="H31" s="57">
        <v>0</v>
      </c>
      <c r="I31" s="57">
        <v>0</v>
      </c>
      <c r="J31" s="57">
        <v>0</v>
      </c>
    </row>
    <row r="32" spans="1:10" ht="15" x14ac:dyDescent="0.4">
      <c r="A32" s="54">
        <v>45869</v>
      </c>
      <c r="B32" s="57">
        <v>87508</v>
      </c>
      <c r="C32" s="55">
        <v>25</v>
      </c>
      <c r="D32" s="55">
        <v>11</v>
      </c>
      <c r="E32" s="55">
        <v>2</v>
      </c>
      <c r="F32" s="55">
        <v>0</v>
      </c>
      <c r="G32" s="57">
        <v>0</v>
      </c>
      <c r="H32" s="57">
        <v>480000</v>
      </c>
      <c r="I32" s="57">
        <v>0</v>
      </c>
      <c r="J32" s="57">
        <v>480000</v>
      </c>
    </row>
    <row r="33" spans="1:10" ht="15" x14ac:dyDescent="0.4">
      <c r="A33" s="54">
        <v>45870</v>
      </c>
      <c r="B33" s="57">
        <v>85889</v>
      </c>
      <c r="C33" s="55">
        <v>22</v>
      </c>
      <c r="D33" s="55">
        <v>12</v>
      </c>
      <c r="E33" s="55">
        <v>1</v>
      </c>
      <c r="F33" s="55">
        <v>1</v>
      </c>
      <c r="G33" s="57">
        <v>510000</v>
      </c>
      <c r="H33" s="57">
        <v>0</v>
      </c>
      <c r="I33" s="57">
        <v>0</v>
      </c>
      <c r="J33" s="57">
        <v>0</v>
      </c>
    </row>
    <row r="34" spans="1:10" ht="15" x14ac:dyDescent="0.4">
      <c r="A34" s="54">
        <v>45871</v>
      </c>
      <c r="B34" s="57">
        <v>87744</v>
      </c>
      <c r="C34" s="55">
        <v>22</v>
      </c>
      <c r="D34" s="55">
        <v>8</v>
      </c>
      <c r="E34" s="55">
        <v>2</v>
      </c>
      <c r="F34" s="55">
        <v>3</v>
      </c>
      <c r="G34" s="57">
        <v>1140000</v>
      </c>
      <c r="H34" s="57">
        <v>970000</v>
      </c>
      <c r="I34" s="57">
        <v>0</v>
      </c>
      <c r="J34" s="57">
        <v>970000</v>
      </c>
    </row>
    <row r="35" spans="1:10" ht="15" x14ac:dyDescent="0.4">
      <c r="A35" s="54">
        <v>45872</v>
      </c>
      <c r="B35" s="57">
        <v>88017</v>
      </c>
      <c r="C35" s="55">
        <v>22</v>
      </c>
      <c r="D35" s="55">
        <v>5</v>
      </c>
      <c r="E35" s="55">
        <v>3</v>
      </c>
      <c r="F35" s="55">
        <v>0</v>
      </c>
      <c r="G35" s="57">
        <v>0</v>
      </c>
      <c r="H35" s="57">
        <v>0</v>
      </c>
      <c r="I35" s="57">
        <v>0</v>
      </c>
      <c r="J35" s="57">
        <v>0</v>
      </c>
    </row>
    <row r="36" spans="1:10" ht="15" x14ac:dyDescent="0.4">
      <c r="A36" s="54">
        <v>45873</v>
      </c>
      <c r="B36" s="57">
        <v>92351</v>
      </c>
      <c r="C36" s="55">
        <v>32</v>
      </c>
      <c r="D36" s="55">
        <v>12</v>
      </c>
      <c r="E36" s="55">
        <v>6</v>
      </c>
      <c r="F36" s="55">
        <v>2</v>
      </c>
      <c r="G36" s="57">
        <v>960000</v>
      </c>
      <c r="H36" s="57">
        <v>0</v>
      </c>
      <c r="I36" s="57">
        <v>0</v>
      </c>
      <c r="J36" s="57">
        <v>0</v>
      </c>
    </row>
    <row r="37" spans="1:10" ht="15" x14ac:dyDescent="0.4">
      <c r="A37" s="54">
        <v>45874</v>
      </c>
      <c r="B37" s="57">
        <v>86144</v>
      </c>
      <c r="C37" s="55">
        <v>42</v>
      </c>
      <c r="D37" s="55">
        <v>10</v>
      </c>
      <c r="E37" s="55">
        <v>5</v>
      </c>
      <c r="F37" s="55">
        <v>2</v>
      </c>
      <c r="G37" s="57">
        <v>960000</v>
      </c>
      <c r="H37" s="57">
        <v>480000</v>
      </c>
      <c r="I37" s="57">
        <v>0</v>
      </c>
      <c r="J37" s="57">
        <v>480000</v>
      </c>
    </row>
    <row r="38" spans="1:10" ht="15" x14ac:dyDescent="0.4">
      <c r="A38" s="54">
        <v>45875</v>
      </c>
      <c r="B38" s="57">
        <v>83734</v>
      </c>
      <c r="C38" s="55">
        <v>40</v>
      </c>
      <c r="D38" s="55">
        <v>15</v>
      </c>
      <c r="E38" s="55">
        <v>5</v>
      </c>
      <c r="F38" s="55">
        <v>1</v>
      </c>
      <c r="G38" s="57">
        <v>1500000</v>
      </c>
      <c r="H38" s="57">
        <v>1440000</v>
      </c>
      <c r="I38" s="57">
        <v>0</v>
      </c>
      <c r="J38" s="57">
        <v>1440000</v>
      </c>
    </row>
    <row r="39" spans="1:10" ht="15" x14ac:dyDescent="0.4">
      <c r="A39" s="54">
        <v>45876</v>
      </c>
      <c r="B39" s="57">
        <v>90708</v>
      </c>
      <c r="C39" s="55">
        <v>39</v>
      </c>
      <c r="D39" s="55">
        <v>13</v>
      </c>
      <c r="E39" s="55">
        <v>3</v>
      </c>
      <c r="F39" s="55">
        <v>0</v>
      </c>
      <c r="G39" s="57">
        <v>0</v>
      </c>
      <c r="H39" s="57">
        <v>750000</v>
      </c>
      <c r="I39" s="57">
        <v>0</v>
      </c>
      <c r="J39" s="57">
        <v>750000</v>
      </c>
    </row>
    <row r="40" spans="1:10" ht="15" x14ac:dyDescent="0.4">
      <c r="A40" s="54">
        <v>45877</v>
      </c>
      <c r="B40" s="57">
        <v>88986</v>
      </c>
      <c r="C40" s="55">
        <v>25</v>
      </c>
      <c r="D40" s="55">
        <v>11</v>
      </c>
      <c r="E40" s="55">
        <v>5</v>
      </c>
      <c r="F40" s="55">
        <v>0</v>
      </c>
      <c r="G40" s="57">
        <v>0</v>
      </c>
      <c r="H40" s="57">
        <v>0</v>
      </c>
      <c r="I40" s="57">
        <v>0</v>
      </c>
      <c r="J40" s="57">
        <v>0</v>
      </c>
    </row>
    <row r="41" spans="1:10" ht="15" x14ac:dyDescent="0.4">
      <c r="A41" s="54">
        <v>45878</v>
      </c>
      <c r="B41" s="57">
        <v>84649</v>
      </c>
      <c r="C41" s="55">
        <v>24</v>
      </c>
      <c r="D41" s="55">
        <v>8</v>
      </c>
      <c r="E41" s="55">
        <v>9</v>
      </c>
      <c r="F41" s="55">
        <v>1</v>
      </c>
      <c r="G41" s="57">
        <v>510000</v>
      </c>
      <c r="H41" s="57">
        <v>0</v>
      </c>
      <c r="I41" s="57">
        <v>0</v>
      </c>
      <c r="J41" s="57">
        <v>0</v>
      </c>
    </row>
    <row r="42" spans="1:10" ht="15" x14ac:dyDescent="0.4">
      <c r="A42" s="54">
        <v>45879</v>
      </c>
      <c r="B42" s="57">
        <v>83091</v>
      </c>
      <c r="C42" s="55">
        <v>28</v>
      </c>
      <c r="D42" s="55">
        <v>5</v>
      </c>
      <c r="E42" s="55">
        <v>3</v>
      </c>
      <c r="F42" s="55">
        <v>0</v>
      </c>
      <c r="G42" s="57">
        <v>0</v>
      </c>
      <c r="H42" s="57">
        <v>170000</v>
      </c>
      <c r="I42" s="57">
        <v>0</v>
      </c>
      <c r="J42" s="57">
        <v>170000</v>
      </c>
    </row>
    <row r="43" spans="1:10" ht="15" x14ac:dyDescent="0.4">
      <c r="A43" s="54">
        <v>45880</v>
      </c>
      <c r="B43" s="57">
        <v>86853</v>
      </c>
      <c r="C43" s="55">
        <v>36</v>
      </c>
      <c r="D43" s="55">
        <v>7</v>
      </c>
      <c r="E43" s="55">
        <v>4</v>
      </c>
      <c r="F43" s="55">
        <v>0</v>
      </c>
      <c r="G43" s="57">
        <v>0</v>
      </c>
      <c r="H43" s="57">
        <v>0</v>
      </c>
      <c r="I43" s="57">
        <v>0</v>
      </c>
      <c r="J43" s="57">
        <v>0</v>
      </c>
    </row>
    <row r="44" spans="1:10" ht="15" x14ac:dyDescent="0.4">
      <c r="A44" s="54">
        <v>45881</v>
      </c>
      <c r="B44" s="57">
        <v>92925</v>
      </c>
      <c r="C44" s="55">
        <v>42</v>
      </c>
      <c r="D44" s="55">
        <v>10</v>
      </c>
      <c r="E44" s="55">
        <v>2</v>
      </c>
      <c r="F44" s="55">
        <v>0</v>
      </c>
      <c r="G44" s="57">
        <v>0</v>
      </c>
      <c r="H44" s="57">
        <v>0</v>
      </c>
      <c r="I44" s="57">
        <v>0</v>
      </c>
      <c r="J44" s="57">
        <v>0</v>
      </c>
    </row>
    <row r="45" spans="1:10" ht="15" x14ac:dyDescent="0.4">
      <c r="A45" s="54">
        <v>45882</v>
      </c>
      <c r="B45" s="57">
        <v>88870</v>
      </c>
      <c r="C45" s="55">
        <v>28</v>
      </c>
      <c r="D45" s="55">
        <v>14</v>
      </c>
      <c r="E45" s="55">
        <v>6</v>
      </c>
      <c r="F45" s="55">
        <v>1</v>
      </c>
      <c r="G45" s="57">
        <v>480000</v>
      </c>
      <c r="H45" s="57">
        <v>480000</v>
      </c>
      <c r="I45" s="57">
        <v>0</v>
      </c>
      <c r="J45" s="57">
        <v>480000</v>
      </c>
    </row>
    <row r="46" spans="1:10" ht="15" x14ac:dyDescent="0.4">
      <c r="A46" s="54">
        <v>45883</v>
      </c>
      <c r="B46" s="57">
        <v>86092</v>
      </c>
      <c r="C46" s="55">
        <v>30</v>
      </c>
      <c r="D46" s="55">
        <v>16</v>
      </c>
      <c r="E46" s="55">
        <v>4</v>
      </c>
      <c r="F46" s="55">
        <v>1</v>
      </c>
      <c r="G46" s="57">
        <v>480000</v>
      </c>
      <c r="H46" s="57">
        <v>0</v>
      </c>
      <c r="I46" s="57">
        <v>0</v>
      </c>
      <c r="J46" s="57">
        <v>0</v>
      </c>
    </row>
    <row r="47" spans="1:10" ht="15" x14ac:dyDescent="0.4">
      <c r="A47" s="54">
        <v>45884</v>
      </c>
      <c r="B47" s="57">
        <v>93881</v>
      </c>
      <c r="C47" s="55">
        <v>20</v>
      </c>
      <c r="D47" s="55">
        <v>13</v>
      </c>
      <c r="E47" s="55">
        <v>6</v>
      </c>
      <c r="F47" s="55">
        <v>0</v>
      </c>
      <c r="G47" s="57">
        <v>0</v>
      </c>
      <c r="H47" s="57">
        <v>480000</v>
      </c>
      <c r="I47" s="57">
        <v>0</v>
      </c>
      <c r="J47" s="57">
        <v>480000</v>
      </c>
    </row>
    <row r="48" spans="1:10" ht="15" x14ac:dyDescent="0.4">
      <c r="A48" s="54">
        <v>45885</v>
      </c>
      <c r="B48" s="57">
        <v>90135</v>
      </c>
      <c r="C48" s="55">
        <v>16</v>
      </c>
      <c r="D48" s="55">
        <v>6</v>
      </c>
      <c r="E48" s="55">
        <v>7</v>
      </c>
      <c r="F48" s="55">
        <v>1</v>
      </c>
      <c r="G48" s="57">
        <v>510000</v>
      </c>
      <c r="H48" s="57">
        <v>0</v>
      </c>
      <c r="I48" s="57">
        <v>0</v>
      </c>
      <c r="J48" s="57">
        <v>0</v>
      </c>
    </row>
    <row r="49" spans="1:10" ht="15" x14ac:dyDescent="0.4">
      <c r="A49" s="54">
        <v>45886</v>
      </c>
      <c r="B49" s="57">
        <v>87932</v>
      </c>
      <c r="C49" s="55">
        <v>22</v>
      </c>
      <c r="D49" s="55">
        <v>8</v>
      </c>
      <c r="E49" s="55">
        <v>6</v>
      </c>
      <c r="F49" s="55">
        <v>3</v>
      </c>
      <c r="G49" s="57">
        <v>1440000</v>
      </c>
      <c r="H49" s="57">
        <v>1130000</v>
      </c>
      <c r="I49" s="57">
        <v>0</v>
      </c>
      <c r="J49" s="57">
        <v>1130000</v>
      </c>
    </row>
    <row r="50" spans="1:10" ht="15" x14ac:dyDescent="0.4">
      <c r="A50" s="54">
        <v>45887</v>
      </c>
      <c r="B50" s="57">
        <v>85479</v>
      </c>
      <c r="C50" s="55">
        <v>35</v>
      </c>
      <c r="D50" s="55">
        <v>3</v>
      </c>
      <c r="E50" s="55">
        <v>6</v>
      </c>
      <c r="F50" s="55">
        <v>2</v>
      </c>
      <c r="G50" s="57">
        <v>660000</v>
      </c>
      <c r="H50" s="57">
        <v>800000</v>
      </c>
      <c r="I50" s="57">
        <v>0</v>
      </c>
      <c r="J50" s="57">
        <v>800000</v>
      </c>
    </row>
    <row r="51" spans="1:10" ht="15" x14ac:dyDescent="0.4">
      <c r="A51" s="54">
        <v>45888</v>
      </c>
      <c r="B51" s="57">
        <v>85489</v>
      </c>
      <c r="C51" s="55">
        <v>28</v>
      </c>
      <c r="D51" s="55">
        <v>9</v>
      </c>
      <c r="E51" s="55">
        <v>4</v>
      </c>
      <c r="F51" s="55">
        <v>2</v>
      </c>
      <c r="G51" s="57">
        <v>630000</v>
      </c>
      <c r="H51" s="57">
        <v>320000</v>
      </c>
      <c r="I51" s="57">
        <v>0</v>
      </c>
      <c r="J51" s="57">
        <v>320000</v>
      </c>
    </row>
    <row r="52" spans="1:10" ht="15" x14ac:dyDescent="0.4">
      <c r="A52" s="54">
        <v>45889</v>
      </c>
      <c r="B52" s="57">
        <v>90937</v>
      </c>
      <c r="C52" s="55">
        <v>29</v>
      </c>
      <c r="D52" s="55">
        <v>15</v>
      </c>
      <c r="E52" s="55">
        <v>2</v>
      </c>
      <c r="F52" s="55">
        <v>1</v>
      </c>
      <c r="G52" s="57">
        <v>1500000</v>
      </c>
      <c r="H52" s="57">
        <v>1980000</v>
      </c>
      <c r="I52" s="57">
        <v>0</v>
      </c>
      <c r="J52" s="57">
        <v>1980000</v>
      </c>
    </row>
    <row r="53" spans="1:10" ht="15" x14ac:dyDescent="0.4">
      <c r="A53" s="54">
        <v>45890</v>
      </c>
      <c r="B53" s="57">
        <v>88490</v>
      </c>
      <c r="C53" s="55">
        <v>31</v>
      </c>
      <c r="D53" s="55">
        <v>2</v>
      </c>
      <c r="E53" s="55">
        <v>4</v>
      </c>
      <c r="F53" s="55">
        <v>2</v>
      </c>
      <c r="G53" s="57">
        <v>1980000</v>
      </c>
      <c r="H53" s="57">
        <v>1500000</v>
      </c>
      <c r="I53" s="57">
        <v>0</v>
      </c>
      <c r="J53" s="57">
        <v>1500000</v>
      </c>
    </row>
    <row r="54" spans="1:10" ht="15" x14ac:dyDescent="0.4">
      <c r="A54" s="54">
        <v>45891</v>
      </c>
      <c r="B54" s="57">
        <v>85147</v>
      </c>
      <c r="C54" s="55">
        <v>22</v>
      </c>
      <c r="D54" s="55">
        <v>9</v>
      </c>
      <c r="E54" s="55">
        <v>8</v>
      </c>
      <c r="F54" s="55">
        <v>3</v>
      </c>
      <c r="G54" s="57">
        <v>1440000</v>
      </c>
      <c r="H54" s="57">
        <v>960000</v>
      </c>
      <c r="I54" s="57">
        <v>0</v>
      </c>
      <c r="J54" s="57">
        <v>960000</v>
      </c>
    </row>
    <row r="55" spans="1:10" ht="15" x14ac:dyDescent="0.4">
      <c r="A55" s="54">
        <v>45892</v>
      </c>
      <c r="B55" s="57">
        <v>90445</v>
      </c>
      <c r="C55" s="55">
        <v>15</v>
      </c>
      <c r="D55" s="55">
        <v>3</v>
      </c>
      <c r="E55" s="55">
        <v>3</v>
      </c>
      <c r="F55" s="55">
        <v>2</v>
      </c>
      <c r="G55" s="57">
        <v>990000</v>
      </c>
      <c r="H55" s="57">
        <v>1300000</v>
      </c>
      <c r="I55" s="57">
        <v>0</v>
      </c>
      <c r="J55" s="57">
        <v>1300000</v>
      </c>
    </row>
    <row r="56" spans="1:10" ht="15" x14ac:dyDescent="0.4">
      <c r="A56" s="54">
        <v>45893</v>
      </c>
      <c r="B56" s="57">
        <v>89460</v>
      </c>
      <c r="C56" s="55">
        <v>28</v>
      </c>
      <c r="D56" s="55">
        <v>5</v>
      </c>
      <c r="E56" s="55">
        <v>2</v>
      </c>
      <c r="F56" s="55">
        <v>0</v>
      </c>
      <c r="G56" s="57">
        <v>0</v>
      </c>
      <c r="H56" s="57">
        <v>0</v>
      </c>
      <c r="I56" s="57">
        <v>0</v>
      </c>
      <c r="J56" s="57">
        <v>0</v>
      </c>
    </row>
    <row r="57" spans="1:10" ht="15" x14ac:dyDescent="0.4">
      <c r="A57" s="54">
        <v>45894</v>
      </c>
      <c r="B57" s="57">
        <v>87382</v>
      </c>
      <c r="C57" s="55">
        <v>30</v>
      </c>
      <c r="D57" s="55">
        <v>3</v>
      </c>
      <c r="E57" s="55">
        <v>4</v>
      </c>
      <c r="F57" s="55">
        <v>2</v>
      </c>
      <c r="G57" s="57">
        <v>960000</v>
      </c>
      <c r="H57" s="57">
        <v>480000</v>
      </c>
      <c r="I57" s="57">
        <v>0</v>
      </c>
      <c r="J57" s="57">
        <v>480000</v>
      </c>
    </row>
    <row r="58" spans="1:10" ht="15" x14ac:dyDescent="0.4">
      <c r="A58" s="54">
        <v>45895</v>
      </c>
      <c r="B58" s="57">
        <v>83540</v>
      </c>
      <c r="C58" s="55">
        <v>39</v>
      </c>
      <c r="D58" s="55">
        <v>9</v>
      </c>
      <c r="E58" s="55">
        <v>3</v>
      </c>
      <c r="F58" s="55">
        <v>3</v>
      </c>
      <c r="G58" s="57">
        <v>1110000</v>
      </c>
      <c r="H58" s="57">
        <v>630000</v>
      </c>
      <c r="I58" s="57">
        <v>0</v>
      </c>
      <c r="J58" s="57">
        <v>630000</v>
      </c>
    </row>
    <row r="59" spans="1:10" ht="15" x14ac:dyDescent="0.4">
      <c r="A59" s="54">
        <v>45896</v>
      </c>
      <c r="B59" s="57">
        <v>89600</v>
      </c>
      <c r="C59" s="55">
        <v>41</v>
      </c>
      <c r="D59" s="55">
        <v>14</v>
      </c>
      <c r="E59" s="55">
        <v>1</v>
      </c>
      <c r="F59" s="55">
        <v>2</v>
      </c>
      <c r="G59" s="57">
        <v>660000</v>
      </c>
      <c r="H59" s="57">
        <v>1110000</v>
      </c>
      <c r="I59" s="57">
        <v>0</v>
      </c>
      <c r="J59" s="57">
        <v>1110000</v>
      </c>
    </row>
    <row r="60" spans="1:10" ht="15" x14ac:dyDescent="0.4">
      <c r="A60" s="54">
        <v>45897</v>
      </c>
      <c r="B60" s="57">
        <v>88056</v>
      </c>
      <c r="C60" s="55">
        <v>21</v>
      </c>
      <c r="D60" s="55">
        <v>16</v>
      </c>
      <c r="E60" s="55">
        <v>4</v>
      </c>
      <c r="F60" s="55">
        <v>0</v>
      </c>
      <c r="G60" s="57">
        <v>0</v>
      </c>
      <c r="H60" s="57">
        <v>170000</v>
      </c>
      <c r="I60" s="57">
        <v>0</v>
      </c>
      <c r="J60" s="57">
        <v>170000</v>
      </c>
    </row>
    <row r="61" spans="1:10" ht="15" x14ac:dyDescent="0.4">
      <c r="A61" s="54">
        <v>45898</v>
      </c>
      <c r="B61" s="57">
        <v>80099</v>
      </c>
      <c r="C61" s="55">
        <v>20</v>
      </c>
      <c r="D61" s="55">
        <v>11</v>
      </c>
      <c r="E61" s="55">
        <v>3</v>
      </c>
      <c r="F61" s="55">
        <v>4</v>
      </c>
      <c r="G61" s="57">
        <v>1980000</v>
      </c>
      <c r="H61" s="57">
        <v>170000</v>
      </c>
      <c r="I61" s="57">
        <v>0</v>
      </c>
      <c r="J61" s="57">
        <v>170000</v>
      </c>
    </row>
    <row r="62" spans="1:10" ht="15" x14ac:dyDescent="0.4">
      <c r="A62" s="54">
        <v>45899</v>
      </c>
      <c r="B62" s="57">
        <v>87928</v>
      </c>
      <c r="C62" s="55">
        <v>22</v>
      </c>
      <c r="D62" s="55">
        <v>3</v>
      </c>
      <c r="E62" s="55">
        <v>10</v>
      </c>
      <c r="F62" s="55">
        <v>1</v>
      </c>
      <c r="G62" s="57">
        <v>1500000</v>
      </c>
      <c r="H62" s="57">
        <v>1300000</v>
      </c>
      <c r="I62" s="57">
        <v>0</v>
      </c>
      <c r="J62" s="57">
        <v>1300000</v>
      </c>
    </row>
    <row r="63" spans="1:10" ht="15" x14ac:dyDescent="0.4">
      <c r="A63" s="54">
        <v>45900</v>
      </c>
      <c r="B63" s="57">
        <v>88117</v>
      </c>
      <c r="C63" s="55">
        <v>20</v>
      </c>
      <c r="D63" s="55">
        <v>9</v>
      </c>
      <c r="E63" s="55">
        <v>4</v>
      </c>
      <c r="F63" s="55">
        <v>0</v>
      </c>
      <c r="G63" s="57">
        <v>0</v>
      </c>
      <c r="H63" s="57">
        <v>750000</v>
      </c>
      <c r="I63" s="57">
        <v>0</v>
      </c>
      <c r="J63" s="57">
        <v>750000</v>
      </c>
    </row>
    <row r="64" spans="1:10" ht="15" x14ac:dyDescent="0.4">
      <c r="A64" s="54">
        <v>45901</v>
      </c>
      <c r="B64" s="57">
        <v>88707</v>
      </c>
      <c r="C64" s="55">
        <v>26</v>
      </c>
      <c r="D64" s="55">
        <v>6</v>
      </c>
      <c r="E64" s="55">
        <v>4</v>
      </c>
      <c r="F64" s="55">
        <v>1</v>
      </c>
      <c r="G64" s="57">
        <v>1500000</v>
      </c>
      <c r="H64" s="57">
        <v>340000</v>
      </c>
      <c r="I64" s="57">
        <v>0</v>
      </c>
      <c r="J64" s="57">
        <v>340000</v>
      </c>
    </row>
    <row r="65" spans="1:10" ht="15" x14ac:dyDescent="0.4">
      <c r="A65" s="54">
        <v>45902</v>
      </c>
      <c r="B65" s="57">
        <v>87217</v>
      </c>
      <c r="C65" s="55">
        <v>43</v>
      </c>
      <c r="D65" s="55">
        <v>9</v>
      </c>
      <c r="E65" s="55">
        <v>4</v>
      </c>
      <c r="F65" s="55">
        <v>1</v>
      </c>
      <c r="G65" s="57">
        <v>150000</v>
      </c>
      <c r="H65" s="57">
        <v>1650000</v>
      </c>
      <c r="I65" s="57">
        <v>0</v>
      </c>
      <c r="J65" s="57">
        <v>1650000</v>
      </c>
    </row>
    <row r="66" spans="1:10" ht="15" x14ac:dyDescent="0.4">
      <c r="A66" s="54">
        <v>45903</v>
      </c>
      <c r="B66" s="57">
        <v>83623</v>
      </c>
      <c r="C66" s="55">
        <v>30</v>
      </c>
      <c r="D66" s="55">
        <v>11</v>
      </c>
      <c r="E66" s="55">
        <v>5</v>
      </c>
      <c r="F66" s="55">
        <v>2</v>
      </c>
      <c r="G66" s="57">
        <v>1020000</v>
      </c>
      <c r="H66" s="57">
        <v>0</v>
      </c>
      <c r="I66" s="57">
        <v>0</v>
      </c>
      <c r="J66" s="57">
        <v>0</v>
      </c>
    </row>
    <row r="67" spans="1:10" ht="15" x14ac:dyDescent="0.4">
      <c r="A67" s="54">
        <v>45904</v>
      </c>
      <c r="B67" s="57">
        <v>87028</v>
      </c>
      <c r="C67" s="55">
        <v>29</v>
      </c>
      <c r="D67" s="55">
        <v>10</v>
      </c>
      <c r="E67" s="55">
        <v>4</v>
      </c>
      <c r="F67" s="55">
        <v>0</v>
      </c>
      <c r="G67" s="57">
        <v>0</v>
      </c>
      <c r="H67" s="57">
        <v>170000</v>
      </c>
      <c r="I67" s="57">
        <v>0</v>
      </c>
      <c r="J67" s="57">
        <v>170000</v>
      </c>
    </row>
    <row r="68" spans="1:10" ht="15" x14ac:dyDescent="0.4">
      <c r="A68" s="54">
        <v>45905</v>
      </c>
      <c r="B68" s="57">
        <v>85549</v>
      </c>
      <c r="C68" s="55">
        <v>23</v>
      </c>
      <c r="D68" s="55">
        <v>11</v>
      </c>
      <c r="E68" s="55">
        <v>2</v>
      </c>
      <c r="F68" s="55">
        <v>3</v>
      </c>
      <c r="G68" s="57">
        <v>810000</v>
      </c>
      <c r="H68" s="57">
        <v>470000</v>
      </c>
      <c r="I68" s="57">
        <v>0</v>
      </c>
      <c r="J68" s="57">
        <v>470000</v>
      </c>
    </row>
    <row r="69" spans="1:10" ht="15" x14ac:dyDescent="0.4">
      <c r="A69" s="54">
        <v>45906</v>
      </c>
      <c r="B69" s="57">
        <v>85692</v>
      </c>
      <c r="C69" s="55">
        <v>25</v>
      </c>
      <c r="D69" s="55">
        <v>11</v>
      </c>
      <c r="E69" s="55">
        <v>5</v>
      </c>
      <c r="F69" s="55">
        <v>0</v>
      </c>
      <c r="G69" s="57">
        <v>0</v>
      </c>
      <c r="H69" s="57">
        <v>0</v>
      </c>
      <c r="I69" s="57">
        <v>0</v>
      </c>
      <c r="J69" s="57">
        <v>0</v>
      </c>
    </row>
    <row r="70" spans="1:10" ht="15" x14ac:dyDescent="0.4">
      <c r="A70" s="54">
        <v>45907</v>
      </c>
      <c r="B70" s="57">
        <v>86270</v>
      </c>
      <c r="C70" s="55">
        <v>23</v>
      </c>
      <c r="D70" s="55">
        <v>3</v>
      </c>
      <c r="E70" s="55">
        <v>6</v>
      </c>
      <c r="F70" s="55">
        <v>2</v>
      </c>
      <c r="G70" s="57">
        <v>990000</v>
      </c>
      <c r="H70" s="57">
        <v>170000</v>
      </c>
      <c r="I70" s="57">
        <v>0</v>
      </c>
      <c r="J70" s="57">
        <v>170000</v>
      </c>
    </row>
    <row r="71" spans="1:10" ht="15" x14ac:dyDescent="0.4">
      <c r="A71" s="54">
        <v>45908</v>
      </c>
      <c r="B71" s="57">
        <v>87762</v>
      </c>
      <c r="C71" s="55">
        <v>34</v>
      </c>
      <c r="D71" s="55">
        <v>4</v>
      </c>
      <c r="E71" s="55">
        <v>1</v>
      </c>
      <c r="F71" s="55">
        <v>4</v>
      </c>
      <c r="G71" s="57">
        <v>2940000</v>
      </c>
      <c r="H71" s="57">
        <v>1130000</v>
      </c>
      <c r="I71" s="57">
        <v>0</v>
      </c>
      <c r="J71" s="57">
        <v>1130000</v>
      </c>
    </row>
    <row r="72" spans="1:10" ht="15" x14ac:dyDescent="0.4">
      <c r="A72" s="54">
        <v>45909</v>
      </c>
      <c r="B72" s="57">
        <v>89199</v>
      </c>
      <c r="C72" s="55">
        <v>49</v>
      </c>
      <c r="D72" s="55">
        <v>7</v>
      </c>
      <c r="E72" s="55">
        <v>6</v>
      </c>
      <c r="F72" s="55">
        <v>1</v>
      </c>
      <c r="G72" s="57">
        <v>480000</v>
      </c>
      <c r="H72" s="57">
        <v>2360000</v>
      </c>
      <c r="I72" s="57">
        <v>0</v>
      </c>
      <c r="J72" s="57">
        <v>2360000</v>
      </c>
    </row>
    <row r="73" spans="1:10" ht="15" x14ac:dyDescent="0.4">
      <c r="A73" s="54">
        <v>45910</v>
      </c>
      <c r="B73" s="57">
        <v>90486</v>
      </c>
      <c r="C73" s="55">
        <v>37</v>
      </c>
      <c r="D73" s="55">
        <v>13</v>
      </c>
      <c r="E73" s="55">
        <v>1</v>
      </c>
      <c r="F73" s="55">
        <v>2</v>
      </c>
      <c r="G73" s="57">
        <v>630000</v>
      </c>
      <c r="H73" s="57">
        <v>150000</v>
      </c>
      <c r="I73" s="57">
        <v>0</v>
      </c>
      <c r="J73" s="57">
        <v>150000</v>
      </c>
    </row>
    <row r="74" spans="1:10" ht="15" x14ac:dyDescent="0.4">
      <c r="A74" s="54">
        <v>45911</v>
      </c>
      <c r="B74" s="57">
        <v>87557</v>
      </c>
      <c r="C74" s="55">
        <v>55</v>
      </c>
      <c r="D74" s="55">
        <v>10</v>
      </c>
      <c r="E74" s="55">
        <v>5</v>
      </c>
      <c r="F74" s="55">
        <v>2</v>
      </c>
      <c r="G74" s="57">
        <v>990000</v>
      </c>
      <c r="H74" s="57">
        <v>960000</v>
      </c>
      <c r="I74" s="57">
        <v>0</v>
      </c>
      <c r="J74" s="57">
        <v>960000</v>
      </c>
    </row>
    <row r="75" spans="1:10" ht="15" x14ac:dyDescent="0.4">
      <c r="A75" s="54">
        <v>45912</v>
      </c>
      <c r="B75" s="57">
        <v>86002</v>
      </c>
      <c r="C75" s="55">
        <v>29</v>
      </c>
      <c r="D75" s="55">
        <v>9</v>
      </c>
      <c r="E75" s="55">
        <v>0</v>
      </c>
      <c r="F75" s="55">
        <v>1</v>
      </c>
      <c r="G75" s="57">
        <v>480000</v>
      </c>
      <c r="H75" s="57">
        <v>170000</v>
      </c>
      <c r="I75" s="57">
        <v>0</v>
      </c>
      <c r="J75" s="57">
        <v>170000</v>
      </c>
    </row>
    <row r="76" spans="1:10" ht="15" x14ac:dyDescent="0.4">
      <c r="A76" s="54">
        <v>45913</v>
      </c>
      <c r="B76" s="57">
        <v>88851</v>
      </c>
      <c r="C76" s="55">
        <v>17</v>
      </c>
      <c r="D76" s="55">
        <v>14</v>
      </c>
      <c r="E76" s="55">
        <v>1</v>
      </c>
      <c r="F76" s="55">
        <v>3</v>
      </c>
      <c r="G76" s="57">
        <v>1170000</v>
      </c>
      <c r="H76" s="57">
        <v>150000</v>
      </c>
      <c r="I76" s="57">
        <v>0</v>
      </c>
      <c r="J76" s="57">
        <v>150000</v>
      </c>
    </row>
    <row r="77" spans="1:10" ht="15" x14ac:dyDescent="0.4">
      <c r="A77" s="54">
        <v>45914</v>
      </c>
      <c r="B77" s="57">
        <v>86555</v>
      </c>
      <c r="C77" s="55">
        <v>20</v>
      </c>
      <c r="D77" s="55">
        <v>10</v>
      </c>
      <c r="E77" s="55">
        <v>7</v>
      </c>
      <c r="F77" s="55">
        <v>2</v>
      </c>
      <c r="G77" s="57">
        <v>1980000</v>
      </c>
      <c r="H77" s="57">
        <v>1400000</v>
      </c>
      <c r="I77" s="57">
        <v>0</v>
      </c>
      <c r="J77" s="57">
        <v>1400000</v>
      </c>
    </row>
    <row r="78" spans="1:10" ht="15" x14ac:dyDescent="0.4">
      <c r="A78" s="54">
        <v>45915</v>
      </c>
      <c r="B78" s="57">
        <v>90566</v>
      </c>
      <c r="C78" s="55">
        <v>29</v>
      </c>
      <c r="D78" s="55">
        <v>5</v>
      </c>
      <c r="E78" s="55">
        <v>6</v>
      </c>
      <c r="F78" s="55">
        <v>2</v>
      </c>
      <c r="G78" s="57">
        <v>630000</v>
      </c>
      <c r="H78" s="57">
        <v>1280000</v>
      </c>
      <c r="I78" s="57">
        <v>0</v>
      </c>
      <c r="J78" s="57">
        <v>1280000</v>
      </c>
    </row>
    <row r="79" spans="1:10" ht="15" x14ac:dyDescent="0.4">
      <c r="A79" s="54">
        <v>45916</v>
      </c>
      <c r="B79" s="57">
        <v>83746</v>
      </c>
      <c r="C79" s="55">
        <v>47</v>
      </c>
      <c r="D79" s="55">
        <v>4</v>
      </c>
      <c r="E79" s="55">
        <v>6</v>
      </c>
      <c r="F79" s="55">
        <v>1</v>
      </c>
      <c r="G79" s="57">
        <v>150000</v>
      </c>
      <c r="H79" s="57">
        <v>320000</v>
      </c>
      <c r="I79" s="57">
        <v>0</v>
      </c>
      <c r="J79" s="57">
        <v>320000</v>
      </c>
    </row>
    <row r="80" spans="1:10" ht="15" x14ac:dyDescent="0.4">
      <c r="A80" s="54">
        <v>45917</v>
      </c>
      <c r="B80" s="57">
        <v>88171</v>
      </c>
      <c r="C80" s="55">
        <v>24</v>
      </c>
      <c r="D80" s="55">
        <v>5</v>
      </c>
      <c r="E80" s="55">
        <v>4</v>
      </c>
      <c r="F80" s="55">
        <v>2</v>
      </c>
      <c r="G80" s="57">
        <v>960000</v>
      </c>
      <c r="H80" s="57">
        <v>170000</v>
      </c>
      <c r="I80" s="57">
        <v>0</v>
      </c>
      <c r="J80" s="57">
        <v>170000</v>
      </c>
    </row>
    <row r="81" spans="1:10" ht="15" x14ac:dyDescent="0.4">
      <c r="A81" s="54">
        <v>45918</v>
      </c>
      <c r="B81" s="57">
        <v>90359</v>
      </c>
      <c r="C81" s="55">
        <v>30</v>
      </c>
      <c r="D81" s="55">
        <v>5</v>
      </c>
      <c r="E81" s="55">
        <v>4</v>
      </c>
      <c r="F81" s="55">
        <v>0</v>
      </c>
      <c r="G81" s="57">
        <v>0</v>
      </c>
      <c r="H81" s="57">
        <v>650000</v>
      </c>
      <c r="I81" s="57">
        <v>0</v>
      </c>
      <c r="J81" s="57">
        <v>650000</v>
      </c>
    </row>
    <row r="82" spans="1:10" ht="15" x14ac:dyDescent="0.4">
      <c r="A82" s="54">
        <v>45919</v>
      </c>
      <c r="B82" s="57">
        <v>90594</v>
      </c>
      <c r="C82" s="55">
        <v>38</v>
      </c>
      <c r="D82" s="55">
        <v>8</v>
      </c>
      <c r="E82" s="55">
        <v>0</v>
      </c>
      <c r="F82" s="55">
        <v>2</v>
      </c>
      <c r="G82" s="57">
        <v>630000</v>
      </c>
      <c r="H82" s="57">
        <v>630000</v>
      </c>
      <c r="I82" s="57">
        <v>0</v>
      </c>
      <c r="J82" s="57">
        <v>630000</v>
      </c>
    </row>
    <row r="83" spans="1:10" ht="15" x14ac:dyDescent="0.4">
      <c r="A83" s="54">
        <v>45920</v>
      </c>
      <c r="B83" s="57">
        <v>88851</v>
      </c>
      <c r="C83" s="55">
        <v>23</v>
      </c>
      <c r="D83" s="55">
        <v>7</v>
      </c>
      <c r="E83" s="55">
        <v>3</v>
      </c>
      <c r="F83" s="55">
        <v>0</v>
      </c>
      <c r="G83" s="57">
        <v>0</v>
      </c>
      <c r="H83" s="57">
        <v>480000</v>
      </c>
      <c r="I83" s="57">
        <v>0</v>
      </c>
      <c r="J83" s="57">
        <v>480000</v>
      </c>
    </row>
    <row r="84" spans="1:10" ht="15" x14ac:dyDescent="0.4">
      <c r="A84" s="54">
        <v>45921</v>
      </c>
      <c r="B84" s="57">
        <v>88470</v>
      </c>
      <c r="C84" s="55">
        <v>20</v>
      </c>
      <c r="D84" s="55">
        <v>9</v>
      </c>
      <c r="E84" s="55">
        <v>2</v>
      </c>
      <c r="F84" s="55">
        <v>3</v>
      </c>
      <c r="G84" s="57">
        <v>780000</v>
      </c>
      <c r="H84" s="57">
        <v>300000</v>
      </c>
      <c r="I84" s="57">
        <v>480000</v>
      </c>
      <c r="J84" s="57">
        <v>-180000</v>
      </c>
    </row>
    <row r="85" spans="1:10" ht="15" x14ac:dyDescent="0.4">
      <c r="A85" s="54">
        <v>45922</v>
      </c>
      <c r="B85" s="57">
        <v>86092</v>
      </c>
      <c r="C85" s="55">
        <v>26</v>
      </c>
      <c r="D85" s="55">
        <v>7</v>
      </c>
      <c r="E85" s="55">
        <v>4</v>
      </c>
      <c r="F85" s="55">
        <v>1</v>
      </c>
      <c r="G85" s="57">
        <v>480000</v>
      </c>
      <c r="H85" s="57">
        <v>1300000</v>
      </c>
      <c r="I85" s="57">
        <v>0</v>
      </c>
      <c r="J85" s="57">
        <v>1300000</v>
      </c>
    </row>
    <row r="86" spans="1:10" ht="15" x14ac:dyDescent="0.4">
      <c r="A86" s="54">
        <v>45923</v>
      </c>
      <c r="B86" s="57">
        <v>87018</v>
      </c>
      <c r="C86" s="55">
        <v>47</v>
      </c>
      <c r="D86" s="55">
        <v>11</v>
      </c>
      <c r="E86" s="55">
        <v>5</v>
      </c>
      <c r="F86" s="55">
        <v>2</v>
      </c>
      <c r="G86" s="57">
        <v>1650000</v>
      </c>
      <c r="H86" s="57">
        <v>1650000</v>
      </c>
      <c r="I86" s="57">
        <v>0</v>
      </c>
      <c r="J86" s="57">
        <v>1650000</v>
      </c>
    </row>
    <row r="87" spans="1:10" ht="15" x14ac:dyDescent="0.4">
      <c r="A87" s="54">
        <v>45924</v>
      </c>
      <c r="B87" s="57">
        <v>86942</v>
      </c>
      <c r="C87" s="55">
        <v>32</v>
      </c>
      <c r="D87" s="55">
        <v>9</v>
      </c>
      <c r="E87" s="55">
        <v>2</v>
      </c>
      <c r="F87" s="55">
        <v>3</v>
      </c>
      <c r="G87" s="57">
        <v>780000</v>
      </c>
      <c r="H87" s="57">
        <v>300000</v>
      </c>
      <c r="I87" s="57">
        <v>0</v>
      </c>
      <c r="J87" s="57">
        <v>300000</v>
      </c>
    </row>
    <row r="88" spans="1:10" ht="15" x14ac:dyDescent="0.4">
      <c r="A88" s="54">
        <v>45925</v>
      </c>
      <c r="B88" s="57">
        <v>89765</v>
      </c>
      <c r="C88" s="55">
        <v>23</v>
      </c>
      <c r="D88" s="55">
        <v>9</v>
      </c>
      <c r="E88" s="55">
        <v>3</v>
      </c>
      <c r="F88" s="55">
        <v>0</v>
      </c>
      <c r="G88" s="57">
        <v>0</v>
      </c>
      <c r="H88" s="57">
        <v>480000</v>
      </c>
      <c r="I88" s="57">
        <v>0</v>
      </c>
      <c r="J88" s="57">
        <v>480000</v>
      </c>
    </row>
    <row r="89" spans="1:10" ht="15" x14ac:dyDescent="0.4">
      <c r="A89" s="54">
        <v>45926</v>
      </c>
      <c r="B89" s="57">
        <v>87351</v>
      </c>
      <c r="C89" s="55">
        <v>21</v>
      </c>
      <c r="D89" s="55">
        <v>11</v>
      </c>
      <c r="E89" s="55">
        <v>3</v>
      </c>
      <c r="F89" s="55">
        <v>2</v>
      </c>
      <c r="G89" s="57">
        <v>2010000</v>
      </c>
      <c r="H89" s="57">
        <v>0</v>
      </c>
      <c r="I89" s="57">
        <v>0</v>
      </c>
      <c r="J89" s="57">
        <v>0</v>
      </c>
    </row>
    <row r="90" spans="1:10" ht="15" x14ac:dyDescent="0.4">
      <c r="A90" s="54">
        <v>45927</v>
      </c>
      <c r="B90" s="57">
        <v>86635</v>
      </c>
      <c r="C90" s="55">
        <v>18</v>
      </c>
      <c r="D90" s="55">
        <v>7</v>
      </c>
      <c r="E90" s="55">
        <v>7</v>
      </c>
      <c r="F90" s="55">
        <v>0</v>
      </c>
      <c r="G90" s="57">
        <v>0</v>
      </c>
      <c r="H90" s="57">
        <v>340000</v>
      </c>
      <c r="I90" s="57">
        <v>240000</v>
      </c>
      <c r="J90" s="57">
        <v>100000</v>
      </c>
    </row>
    <row r="91" spans="1:10" ht="15" x14ac:dyDescent="0.4">
      <c r="A91" s="54">
        <v>45928</v>
      </c>
      <c r="B91" s="57">
        <v>88601</v>
      </c>
      <c r="C91" s="55">
        <v>26</v>
      </c>
      <c r="D91" s="55">
        <v>3</v>
      </c>
      <c r="E91" s="55">
        <v>1</v>
      </c>
      <c r="F91" s="55">
        <v>0</v>
      </c>
      <c r="G91" s="57">
        <v>0</v>
      </c>
      <c r="H91" s="57">
        <v>920000</v>
      </c>
      <c r="I91" s="57">
        <v>0</v>
      </c>
      <c r="J91" s="57">
        <v>920000</v>
      </c>
    </row>
    <row r="92" spans="1:10" ht="15" x14ac:dyDescent="0.4">
      <c r="A92" s="54">
        <v>45929</v>
      </c>
      <c r="B92" s="57">
        <v>92641</v>
      </c>
      <c r="C92" s="55">
        <v>43</v>
      </c>
      <c r="D92" s="55">
        <v>3</v>
      </c>
      <c r="E92" s="55">
        <v>3</v>
      </c>
      <c r="F92" s="55">
        <v>4</v>
      </c>
      <c r="G92" s="57">
        <v>1680000</v>
      </c>
      <c r="H92" s="57">
        <v>830000</v>
      </c>
      <c r="I92" s="57">
        <v>0</v>
      </c>
      <c r="J92" s="57">
        <v>830000</v>
      </c>
    </row>
    <row r="93" spans="1:10" ht="15" x14ac:dyDescent="0.4">
      <c r="A93" s="54">
        <v>45930</v>
      </c>
      <c r="B93" s="57">
        <v>86054</v>
      </c>
      <c r="C93" s="55">
        <v>38</v>
      </c>
      <c r="D93" s="55">
        <v>13</v>
      </c>
      <c r="E93" s="55">
        <v>5</v>
      </c>
      <c r="F93" s="55">
        <v>1</v>
      </c>
      <c r="G93" s="57">
        <v>480000</v>
      </c>
      <c r="H93" s="57">
        <v>1400000</v>
      </c>
      <c r="I93" s="57">
        <v>0</v>
      </c>
      <c r="J93" s="57">
        <v>1400000</v>
      </c>
    </row>
    <row r="94" spans="1:10" ht="15" x14ac:dyDescent="0.4">
      <c r="A94" s="54">
        <v>45931</v>
      </c>
      <c r="B94" s="57">
        <v>110658</v>
      </c>
      <c r="C94" s="55">
        <v>23</v>
      </c>
      <c r="D94" s="55">
        <v>12</v>
      </c>
      <c r="E94" s="55">
        <v>3</v>
      </c>
      <c r="F94" s="55">
        <v>1</v>
      </c>
      <c r="G94" s="57">
        <v>510000</v>
      </c>
      <c r="H94" s="57">
        <v>340000</v>
      </c>
      <c r="I94" s="57">
        <v>0</v>
      </c>
      <c r="J94" s="57">
        <v>340000</v>
      </c>
    </row>
    <row r="95" spans="1:10" ht="15" x14ac:dyDescent="0.4">
      <c r="A95" s="54">
        <v>45932</v>
      </c>
      <c r="B95" s="57">
        <v>112802</v>
      </c>
      <c r="C95" s="55">
        <v>35</v>
      </c>
      <c r="D95" s="55">
        <v>6</v>
      </c>
      <c r="E95" s="55">
        <v>4</v>
      </c>
      <c r="F95" s="55">
        <v>0</v>
      </c>
      <c r="G95" s="57">
        <v>0</v>
      </c>
      <c r="H95" s="57">
        <v>170000</v>
      </c>
      <c r="I95" s="57">
        <v>0</v>
      </c>
      <c r="J95" s="57">
        <v>170000</v>
      </c>
    </row>
    <row r="96" spans="1:10" ht="15" x14ac:dyDescent="0.4">
      <c r="A96" s="54">
        <v>45933</v>
      </c>
      <c r="B96" s="57">
        <v>115461</v>
      </c>
      <c r="C96" s="55">
        <v>32</v>
      </c>
      <c r="D96" s="55">
        <v>8</v>
      </c>
      <c r="E96" s="55">
        <v>2</v>
      </c>
      <c r="F96" s="55">
        <v>1</v>
      </c>
      <c r="G96" s="57">
        <v>480000</v>
      </c>
      <c r="H96" s="57">
        <v>0</v>
      </c>
      <c r="I96" s="57">
        <v>0</v>
      </c>
      <c r="J96" s="57">
        <v>0</v>
      </c>
    </row>
    <row r="97" spans="1:10" ht="15" x14ac:dyDescent="0.4">
      <c r="A97" s="54">
        <v>45934</v>
      </c>
      <c r="B97" s="57">
        <v>113483</v>
      </c>
      <c r="C97" s="55">
        <v>23</v>
      </c>
      <c r="D97" s="55">
        <v>11</v>
      </c>
      <c r="E97" s="55">
        <v>4</v>
      </c>
      <c r="F97" s="55">
        <v>1</v>
      </c>
      <c r="G97" s="57">
        <v>510000</v>
      </c>
      <c r="H97" s="57">
        <v>650000</v>
      </c>
      <c r="I97" s="57">
        <v>0</v>
      </c>
      <c r="J97" s="57">
        <v>650000</v>
      </c>
    </row>
    <row r="98" spans="1:10" ht="15" x14ac:dyDescent="0.4">
      <c r="A98" s="54">
        <v>45935</v>
      </c>
      <c r="B98" s="57">
        <v>112218</v>
      </c>
      <c r="C98" s="55">
        <v>16</v>
      </c>
      <c r="D98" s="55">
        <v>9</v>
      </c>
      <c r="E98" s="55">
        <v>5</v>
      </c>
      <c r="F98" s="55">
        <v>2</v>
      </c>
      <c r="G98" s="57">
        <v>1650000</v>
      </c>
      <c r="H98" s="57">
        <v>320000</v>
      </c>
      <c r="I98" s="57">
        <v>0</v>
      </c>
      <c r="J98" s="57">
        <v>320000</v>
      </c>
    </row>
    <row r="99" spans="1:10" ht="15" x14ac:dyDescent="0.4">
      <c r="A99" s="54">
        <v>45936</v>
      </c>
      <c r="B99" s="57">
        <v>114748</v>
      </c>
      <c r="C99" s="55">
        <v>28</v>
      </c>
      <c r="D99" s="55">
        <v>6</v>
      </c>
      <c r="E99" s="55">
        <v>4</v>
      </c>
      <c r="F99" s="55">
        <v>1</v>
      </c>
      <c r="G99" s="57">
        <v>480000</v>
      </c>
      <c r="H99" s="57">
        <v>1500000</v>
      </c>
      <c r="I99" s="57">
        <v>0</v>
      </c>
      <c r="J99" s="57">
        <v>1500000</v>
      </c>
    </row>
    <row r="100" spans="1:10" ht="15" x14ac:dyDescent="0.4">
      <c r="A100" s="54">
        <v>45937</v>
      </c>
      <c r="B100" s="57">
        <v>113536</v>
      </c>
      <c r="C100" s="55">
        <v>45</v>
      </c>
      <c r="D100" s="55">
        <v>6</v>
      </c>
      <c r="E100" s="55">
        <v>3</v>
      </c>
      <c r="F100" s="55">
        <v>0</v>
      </c>
      <c r="G100" s="57">
        <v>0</v>
      </c>
      <c r="H100" s="57">
        <v>170000</v>
      </c>
      <c r="I100" s="57">
        <v>0</v>
      </c>
      <c r="J100" s="57">
        <v>170000</v>
      </c>
    </row>
    <row r="101" spans="1:10" ht="15" x14ac:dyDescent="0.4">
      <c r="A101" s="54">
        <v>45938</v>
      </c>
      <c r="B101" s="57">
        <v>111795</v>
      </c>
      <c r="C101" s="55">
        <v>36</v>
      </c>
      <c r="D101" s="55">
        <v>7</v>
      </c>
      <c r="E101" s="55">
        <v>7</v>
      </c>
      <c r="F101" s="55">
        <v>1</v>
      </c>
      <c r="G101" s="57">
        <v>480000</v>
      </c>
      <c r="H101" s="57">
        <v>650000</v>
      </c>
      <c r="I101" s="57">
        <v>0</v>
      </c>
      <c r="J101" s="57">
        <v>650000</v>
      </c>
    </row>
    <row r="102" spans="1:10" ht="15" x14ac:dyDescent="0.4">
      <c r="A102" s="54">
        <v>45939</v>
      </c>
      <c r="B102" s="57">
        <v>116251</v>
      </c>
      <c r="C102" s="55">
        <v>49</v>
      </c>
      <c r="D102" s="55">
        <v>15</v>
      </c>
      <c r="E102" s="55">
        <v>6</v>
      </c>
      <c r="F102" s="55">
        <v>0</v>
      </c>
      <c r="G102" s="57">
        <v>0</v>
      </c>
      <c r="H102" s="57">
        <v>920000</v>
      </c>
      <c r="I102" s="57">
        <v>0</v>
      </c>
      <c r="J102" s="57">
        <v>920000</v>
      </c>
    </row>
    <row r="103" spans="1:10" ht="15" x14ac:dyDescent="0.4">
      <c r="A103" s="54">
        <v>45940</v>
      </c>
      <c r="B103" s="57">
        <v>111897</v>
      </c>
      <c r="C103" s="55">
        <v>33</v>
      </c>
      <c r="D103" s="55">
        <v>10</v>
      </c>
      <c r="E103" s="55">
        <v>1</v>
      </c>
      <c r="F103" s="55">
        <v>1</v>
      </c>
      <c r="G103" s="57">
        <v>150000</v>
      </c>
      <c r="H103" s="57">
        <v>630000</v>
      </c>
      <c r="I103" s="57">
        <v>0</v>
      </c>
      <c r="J103" s="57">
        <v>630000</v>
      </c>
    </row>
    <row r="104" spans="1:10" ht="15" x14ac:dyDescent="0.4">
      <c r="A104" s="54">
        <v>45941</v>
      </c>
      <c r="B104" s="57">
        <v>114837</v>
      </c>
      <c r="C104" s="55">
        <v>25</v>
      </c>
      <c r="D104" s="55">
        <v>9</v>
      </c>
      <c r="E104" s="55">
        <v>8</v>
      </c>
      <c r="F104" s="55">
        <v>1</v>
      </c>
      <c r="G104" s="57">
        <v>480000</v>
      </c>
      <c r="H104" s="57">
        <v>0</v>
      </c>
      <c r="I104" s="57">
        <v>0</v>
      </c>
      <c r="J104" s="57">
        <v>0</v>
      </c>
    </row>
    <row r="105" spans="1:10" ht="15" x14ac:dyDescent="0.4">
      <c r="A105" s="54">
        <v>45942</v>
      </c>
      <c r="B105" s="57">
        <v>111127</v>
      </c>
      <c r="C105" s="55">
        <v>21</v>
      </c>
      <c r="D105" s="55">
        <v>12</v>
      </c>
      <c r="E105" s="55">
        <v>5</v>
      </c>
      <c r="F105" s="55">
        <v>0</v>
      </c>
      <c r="G105" s="57">
        <v>0</v>
      </c>
      <c r="H105" s="57">
        <v>650000</v>
      </c>
      <c r="I105" s="57">
        <v>0</v>
      </c>
      <c r="J105" s="57">
        <v>650000</v>
      </c>
    </row>
    <row r="106" spans="1:10" ht="15" x14ac:dyDescent="0.4">
      <c r="A106" s="54">
        <v>45943</v>
      </c>
      <c r="B106" s="57">
        <v>112409</v>
      </c>
      <c r="C106" s="55">
        <v>34</v>
      </c>
      <c r="D106" s="55">
        <v>12</v>
      </c>
      <c r="E106" s="55">
        <v>7</v>
      </c>
      <c r="F106" s="55">
        <v>3</v>
      </c>
      <c r="G106" s="57">
        <v>780000</v>
      </c>
      <c r="H106" s="57">
        <v>300000</v>
      </c>
      <c r="I106" s="57">
        <v>0</v>
      </c>
      <c r="J106" s="57">
        <v>300000</v>
      </c>
    </row>
    <row r="107" spans="1:10" ht="15" x14ac:dyDescent="0.4">
      <c r="A107" s="54">
        <v>45944</v>
      </c>
      <c r="B107" s="57">
        <v>111253</v>
      </c>
      <c r="C107" s="55">
        <v>35</v>
      </c>
      <c r="D107" s="55">
        <v>10</v>
      </c>
      <c r="E107" s="55">
        <v>5</v>
      </c>
      <c r="F107" s="55">
        <v>0</v>
      </c>
      <c r="G107" s="57">
        <v>0</v>
      </c>
      <c r="H107" s="57">
        <v>170000</v>
      </c>
      <c r="I107" s="57">
        <v>0</v>
      </c>
      <c r="J107" s="57">
        <v>170000</v>
      </c>
    </row>
    <row r="108" spans="1:10" ht="15" x14ac:dyDescent="0.4">
      <c r="A108" s="54">
        <v>45945</v>
      </c>
      <c r="B108" s="57">
        <v>113025</v>
      </c>
      <c r="C108" s="55">
        <v>35</v>
      </c>
      <c r="D108" s="55">
        <v>12</v>
      </c>
      <c r="E108" s="55">
        <v>2</v>
      </c>
      <c r="F108" s="55">
        <v>0</v>
      </c>
      <c r="G108" s="57">
        <v>0</v>
      </c>
      <c r="H108" s="57">
        <v>170000</v>
      </c>
      <c r="I108" s="57">
        <v>0</v>
      </c>
      <c r="J108" s="57">
        <v>170000</v>
      </c>
    </row>
    <row r="109" spans="1:10" ht="15" x14ac:dyDescent="0.4">
      <c r="A109" s="54">
        <v>45946</v>
      </c>
      <c r="B109" s="57">
        <v>113469</v>
      </c>
      <c r="C109" s="55">
        <v>23</v>
      </c>
      <c r="D109" s="55">
        <v>16</v>
      </c>
      <c r="E109" s="55">
        <v>5</v>
      </c>
      <c r="F109" s="55">
        <v>0</v>
      </c>
      <c r="G109" s="57">
        <v>0</v>
      </c>
      <c r="H109" s="57">
        <v>170000</v>
      </c>
      <c r="I109" s="57">
        <v>0</v>
      </c>
      <c r="J109" s="57">
        <v>170000</v>
      </c>
    </row>
    <row r="110" spans="1:10" ht="15" x14ac:dyDescent="0.4">
      <c r="A110" s="54">
        <v>45947</v>
      </c>
      <c r="B110" s="57">
        <v>115697</v>
      </c>
      <c r="C110" s="55">
        <v>34</v>
      </c>
      <c r="D110" s="55">
        <v>6</v>
      </c>
      <c r="E110" s="55">
        <v>9</v>
      </c>
      <c r="F110" s="55">
        <v>0</v>
      </c>
      <c r="G110" s="57">
        <v>0</v>
      </c>
      <c r="H110" s="57">
        <v>0</v>
      </c>
      <c r="I110" s="57">
        <v>0</v>
      </c>
      <c r="J110" s="57">
        <v>0</v>
      </c>
    </row>
    <row r="111" spans="1:10" ht="15" x14ac:dyDescent="0.4">
      <c r="A111" s="54">
        <v>45948</v>
      </c>
      <c r="B111" s="57">
        <v>115091</v>
      </c>
      <c r="C111" s="55">
        <v>21</v>
      </c>
      <c r="D111" s="55">
        <v>6</v>
      </c>
      <c r="E111" s="55">
        <v>2</v>
      </c>
      <c r="F111" s="55">
        <v>1</v>
      </c>
      <c r="G111" s="57">
        <v>510000</v>
      </c>
      <c r="H111" s="57">
        <v>1090000</v>
      </c>
      <c r="I111" s="57">
        <v>0</v>
      </c>
      <c r="J111" s="57">
        <v>1090000</v>
      </c>
    </row>
    <row r="112" spans="1:10" ht="15" x14ac:dyDescent="0.4">
      <c r="A112" s="54">
        <v>45949</v>
      </c>
      <c r="B112" s="57">
        <v>113462</v>
      </c>
      <c r="C112" s="55">
        <v>28</v>
      </c>
      <c r="D112" s="55">
        <v>7</v>
      </c>
      <c r="E112" s="55">
        <v>4</v>
      </c>
      <c r="F112" s="55">
        <v>0</v>
      </c>
      <c r="G112" s="57">
        <v>0</v>
      </c>
      <c r="H112" s="57">
        <v>0</v>
      </c>
      <c r="I112" s="57">
        <v>0</v>
      </c>
      <c r="J112" s="57">
        <v>0</v>
      </c>
    </row>
    <row r="113" spans="1:10" ht="15" x14ac:dyDescent="0.4">
      <c r="A113" s="54">
        <v>45950</v>
      </c>
      <c r="B113" s="57">
        <v>113333</v>
      </c>
      <c r="C113" s="55">
        <v>22</v>
      </c>
      <c r="D113" s="55">
        <v>10</v>
      </c>
      <c r="E113" s="55">
        <v>4</v>
      </c>
      <c r="F113" s="55">
        <v>1</v>
      </c>
      <c r="G113" s="57">
        <v>1500000</v>
      </c>
      <c r="H113" s="57">
        <v>0</v>
      </c>
      <c r="I113" s="57">
        <v>0</v>
      </c>
      <c r="J113" s="57">
        <v>0</v>
      </c>
    </row>
    <row r="114" spans="1:10" ht="15" x14ac:dyDescent="0.4">
      <c r="A114" s="54">
        <v>45951</v>
      </c>
      <c r="B114" s="57">
        <v>111530</v>
      </c>
      <c r="C114" s="55">
        <v>42</v>
      </c>
      <c r="D114" s="55">
        <v>7</v>
      </c>
      <c r="E114" s="55">
        <v>3</v>
      </c>
      <c r="F114" s="55">
        <v>1</v>
      </c>
      <c r="G114" s="57">
        <v>510000</v>
      </c>
      <c r="H114" s="57">
        <v>170000</v>
      </c>
      <c r="I114" s="57">
        <v>0</v>
      </c>
      <c r="J114" s="57">
        <v>170000</v>
      </c>
    </row>
    <row r="115" spans="1:10" ht="15" x14ac:dyDescent="0.4">
      <c r="A115" s="54">
        <v>45952</v>
      </c>
      <c r="B115" s="57">
        <v>113281</v>
      </c>
      <c r="C115" s="55">
        <v>36</v>
      </c>
      <c r="D115" s="55">
        <v>5</v>
      </c>
      <c r="E115" s="55">
        <v>5</v>
      </c>
      <c r="F115" s="55">
        <v>1</v>
      </c>
      <c r="G115" s="57">
        <v>480000</v>
      </c>
      <c r="H115" s="57">
        <v>750000</v>
      </c>
      <c r="I115" s="57">
        <v>480000</v>
      </c>
      <c r="J115" s="57">
        <v>270000</v>
      </c>
    </row>
    <row r="116" spans="1:10" ht="15" x14ac:dyDescent="0.4">
      <c r="A116" s="54">
        <v>45953</v>
      </c>
      <c r="B116" s="57">
        <v>115448</v>
      </c>
      <c r="C116" s="55">
        <v>34</v>
      </c>
      <c r="D116" s="55">
        <v>15</v>
      </c>
      <c r="E116" s="55">
        <v>1</v>
      </c>
      <c r="F116" s="55">
        <v>1</v>
      </c>
      <c r="G116" s="57">
        <v>480000</v>
      </c>
      <c r="H116" s="57">
        <v>960000</v>
      </c>
      <c r="I116" s="57">
        <v>85000</v>
      </c>
      <c r="J116" s="57">
        <v>875000</v>
      </c>
    </row>
    <row r="117" spans="1:10" ht="15" x14ac:dyDescent="0.4">
      <c r="A117" s="54">
        <v>45954</v>
      </c>
      <c r="B117" s="57">
        <v>117002</v>
      </c>
      <c r="C117" s="55">
        <v>26</v>
      </c>
      <c r="D117" s="55">
        <v>11</v>
      </c>
      <c r="E117" s="55">
        <v>5</v>
      </c>
      <c r="F117" s="55">
        <v>3</v>
      </c>
      <c r="G117" s="57">
        <v>2460000</v>
      </c>
      <c r="H117" s="57">
        <v>750000</v>
      </c>
      <c r="I117" s="57">
        <v>0</v>
      </c>
      <c r="J117" s="57">
        <v>750000</v>
      </c>
    </row>
    <row r="118" spans="1:10" ht="15" x14ac:dyDescent="0.4">
      <c r="A118" s="54">
        <v>45955</v>
      </c>
      <c r="B118" s="57">
        <v>117678</v>
      </c>
      <c r="C118" s="55">
        <v>22</v>
      </c>
      <c r="D118" s="55">
        <v>10</v>
      </c>
      <c r="E118" s="55">
        <v>6</v>
      </c>
      <c r="F118" s="55">
        <v>3</v>
      </c>
      <c r="G118" s="57">
        <v>1470000</v>
      </c>
      <c r="H118" s="57">
        <v>1440000</v>
      </c>
      <c r="I118" s="57">
        <v>0</v>
      </c>
      <c r="J118" s="57">
        <v>1440000</v>
      </c>
    </row>
    <row r="119" spans="1:10" ht="15" x14ac:dyDescent="0.4">
      <c r="A119" s="54">
        <v>45956</v>
      </c>
      <c r="B119" s="57">
        <v>116097</v>
      </c>
      <c r="C119" s="55">
        <v>16</v>
      </c>
      <c r="D119" s="55">
        <v>8</v>
      </c>
      <c r="E119" s="55">
        <v>7</v>
      </c>
      <c r="F119" s="55">
        <v>2</v>
      </c>
      <c r="G119" s="57">
        <v>660000</v>
      </c>
      <c r="H119" s="57">
        <v>1140000</v>
      </c>
      <c r="I119" s="57">
        <v>0</v>
      </c>
      <c r="J119" s="57">
        <v>1140000</v>
      </c>
    </row>
    <row r="120" spans="1:10" ht="15" x14ac:dyDescent="0.4">
      <c r="A120" s="54">
        <v>45957</v>
      </c>
      <c r="B120" s="57">
        <v>114069</v>
      </c>
      <c r="C120" s="55">
        <v>30</v>
      </c>
      <c r="D120" s="55">
        <v>4</v>
      </c>
      <c r="E120" s="55">
        <v>5</v>
      </c>
      <c r="F120" s="55">
        <v>0</v>
      </c>
      <c r="G120" s="57">
        <v>0</v>
      </c>
      <c r="H120" s="57">
        <v>340000</v>
      </c>
      <c r="I120" s="57">
        <v>0</v>
      </c>
      <c r="J120" s="57">
        <v>340000</v>
      </c>
    </row>
    <row r="121" spans="1:10" ht="15" x14ac:dyDescent="0.4">
      <c r="A121" s="54">
        <v>45958</v>
      </c>
      <c r="B121" s="57">
        <v>116163</v>
      </c>
      <c r="C121" s="55">
        <v>44</v>
      </c>
      <c r="D121" s="55">
        <v>10</v>
      </c>
      <c r="E121" s="55">
        <v>5</v>
      </c>
      <c r="F121" s="55">
        <v>3</v>
      </c>
      <c r="G121" s="57">
        <v>1140000</v>
      </c>
      <c r="H121" s="57">
        <v>1550000</v>
      </c>
      <c r="I121" s="57">
        <v>0</v>
      </c>
      <c r="J121" s="57">
        <v>1550000</v>
      </c>
    </row>
    <row r="122" spans="1:10" ht="15" x14ac:dyDescent="0.4">
      <c r="A122" s="54">
        <v>45959</v>
      </c>
      <c r="B122" s="57">
        <v>108933</v>
      </c>
      <c r="C122" s="55">
        <v>32</v>
      </c>
      <c r="D122" s="55">
        <v>13</v>
      </c>
      <c r="E122" s="55">
        <v>6</v>
      </c>
      <c r="F122" s="55">
        <v>3</v>
      </c>
      <c r="G122" s="57">
        <v>1170000</v>
      </c>
      <c r="H122" s="57">
        <v>1000000</v>
      </c>
      <c r="I122" s="57">
        <v>0</v>
      </c>
      <c r="J122" s="57">
        <v>1000000</v>
      </c>
    </row>
    <row r="123" spans="1:10" ht="15" x14ac:dyDescent="0.4">
      <c r="A123" s="54">
        <v>45960</v>
      </c>
      <c r="B123" s="57">
        <v>112293</v>
      </c>
      <c r="C123" s="55">
        <v>28</v>
      </c>
      <c r="D123" s="55">
        <v>12</v>
      </c>
      <c r="E123" s="55">
        <v>3</v>
      </c>
      <c r="F123" s="55">
        <v>0</v>
      </c>
      <c r="G123" s="57">
        <v>0</v>
      </c>
      <c r="H123" s="57">
        <v>340000</v>
      </c>
      <c r="I123" s="57">
        <v>0</v>
      </c>
      <c r="J123" s="57">
        <v>340000</v>
      </c>
    </row>
    <row r="124" spans="1:10" ht="15" x14ac:dyDescent="0.4">
      <c r="A124" s="54">
        <v>45961</v>
      </c>
      <c r="B124" s="57">
        <v>108105</v>
      </c>
      <c r="C124" s="55">
        <v>29</v>
      </c>
      <c r="D124" s="55">
        <v>9</v>
      </c>
      <c r="E124" s="55">
        <v>5</v>
      </c>
      <c r="F124" s="55">
        <v>2</v>
      </c>
      <c r="G124" s="57">
        <v>630000</v>
      </c>
      <c r="H124" s="57">
        <v>150000</v>
      </c>
      <c r="I124" s="57">
        <v>0</v>
      </c>
      <c r="J124" s="57">
        <v>150000</v>
      </c>
    </row>
    <row r="125" spans="1:10" ht="15" x14ac:dyDescent="0.4">
      <c r="A125" s="54">
        <v>45962</v>
      </c>
      <c r="B125" s="57">
        <v>111492</v>
      </c>
      <c r="C125" s="55">
        <v>18</v>
      </c>
      <c r="D125" s="55">
        <v>10</v>
      </c>
      <c r="E125" s="55">
        <v>3</v>
      </c>
      <c r="F125" s="55">
        <v>0</v>
      </c>
      <c r="G125" s="57">
        <v>0</v>
      </c>
      <c r="H125" s="57">
        <v>650000</v>
      </c>
      <c r="I125" s="57">
        <v>0</v>
      </c>
      <c r="J125" s="57">
        <v>650000</v>
      </c>
    </row>
    <row r="126" spans="1:10" ht="15" x14ac:dyDescent="0.4">
      <c r="A126" s="54">
        <v>45963</v>
      </c>
      <c r="B126" s="57">
        <v>109776</v>
      </c>
      <c r="C126" s="55">
        <v>22</v>
      </c>
      <c r="D126" s="55">
        <v>7</v>
      </c>
      <c r="E126" s="55">
        <v>9</v>
      </c>
      <c r="F126" s="55">
        <v>3</v>
      </c>
      <c r="G126" s="57">
        <v>1440000</v>
      </c>
      <c r="H126" s="57">
        <v>0</v>
      </c>
      <c r="I126" s="57">
        <v>0</v>
      </c>
      <c r="J126" s="57">
        <v>0</v>
      </c>
    </row>
    <row r="127" spans="1:10" ht="15" x14ac:dyDescent="0.4">
      <c r="A127" s="54">
        <v>45964</v>
      </c>
      <c r="B127" s="57">
        <v>116655</v>
      </c>
      <c r="C127" s="55">
        <v>35</v>
      </c>
      <c r="D127" s="55">
        <v>7</v>
      </c>
      <c r="E127" s="55">
        <v>2</v>
      </c>
      <c r="F127" s="55">
        <v>1</v>
      </c>
      <c r="G127" s="57">
        <v>480000</v>
      </c>
      <c r="H127" s="57">
        <v>650000</v>
      </c>
      <c r="I127" s="57">
        <v>0</v>
      </c>
      <c r="J127" s="57">
        <v>650000</v>
      </c>
    </row>
    <row r="128" spans="1:10" ht="15" x14ac:dyDescent="0.4">
      <c r="A128" s="54">
        <v>45965</v>
      </c>
      <c r="B128" s="57">
        <v>113443</v>
      </c>
      <c r="C128" s="55">
        <v>33</v>
      </c>
      <c r="D128" s="55">
        <v>10</v>
      </c>
      <c r="E128" s="55">
        <v>8</v>
      </c>
      <c r="F128" s="55">
        <v>0</v>
      </c>
      <c r="G128" s="57">
        <v>0</v>
      </c>
      <c r="H128" s="57">
        <v>1610000</v>
      </c>
      <c r="I128" s="57">
        <v>0</v>
      </c>
      <c r="J128" s="57">
        <v>1610000</v>
      </c>
    </row>
    <row r="129" spans="1:10" ht="15" x14ac:dyDescent="0.4">
      <c r="A129" s="54">
        <v>45966</v>
      </c>
      <c r="B129" s="57">
        <v>111985</v>
      </c>
      <c r="C129" s="55">
        <v>34</v>
      </c>
      <c r="D129" s="55">
        <v>9</v>
      </c>
      <c r="E129" s="55">
        <v>4</v>
      </c>
      <c r="F129" s="55">
        <v>0</v>
      </c>
      <c r="G129" s="57">
        <v>0</v>
      </c>
      <c r="H129" s="57">
        <v>0</v>
      </c>
      <c r="I129" s="57">
        <v>480000</v>
      </c>
      <c r="J129" s="57">
        <v>-480000</v>
      </c>
    </row>
    <row r="130" spans="1:10" ht="15" x14ac:dyDescent="0.4">
      <c r="A130" s="54">
        <v>45967</v>
      </c>
      <c r="B130" s="57">
        <v>115153</v>
      </c>
      <c r="C130" s="55">
        <v>34</v>
      </c>
      <c r="D130" s="55">
        <v>7</v>
      </c>
      <c r="E130" s="55">
        <v>4</v>
      </c>
      <c r="F130" s="55">
        <v>1</v>
      </c>
      <c r="G130" s="57">
        <v>1500000</v>
      </c>
      <c r="H130" s="57">
        <v>920000</v>
      </c>
      <c r="I130" s="57">
        <v>0</v>
      </c>
      <c r="J130" s="57">
        <v>920000</v>
      </c>
    </row>
    <row r="131" spans="1:10" ht="15" x14ac:dyDescent="0.4">
      <c r="A131" s="54">
        <v>45968</v>
      </c>
      <c r="B131" s="57">
        <v>115066</v>
      </c>
      <c r="C131" s="55">
        <v>26</v>
      </c>
      <c r="D131" s="55">
        <v>10</v>
      </c>
      <c r="E131" s="55">
        <v>3</v>
      </c>
      <c r="F131" s="55">
        <v>0</v>
      </c>
      <c r="G131" s="57">
        <v>0</v>
      </c>
      <c r="H131" s="57">
        <v>170000</v>
      </c>
      <c r="I131" s="57">
        <v>0</v>
      </c>
      <c r="J131" s="57">
        <v>170000</v>
      </c>
    </row>
    <row r="132" spans="1:10" ht="15" x14ac:dyDescent="0.4">
      <c r="A132" s="54">
        <v>45969</v>
      </c>
      <c r="B132" s="57">
        <v>117958</v>
      </c>
      <c r="C132" s="55">
        <v>20</v>
      </c>
      <c r="D132" s="55">
        <v>12</v>
      </c>
      <c r="E132" s="55">
        <v>3</v>
      </c>
      <c r="F132" s="55">
        <v>1</v>
      </c>
      <c r="G132" s="57">
        <v>150000</v>
      </c>
      <c r="H132" s="57">
        <v>150000</v>
      </c>
      <c r="I132" s="57">
        <v>0</v>
      </c>
      <c r="J132" s="57">
        <v>150000</v>
      </c>
    </row>
    <row r="133" spans="1:10" ht="15" x14ac:dyDescent="0.4">
      <c r="A133" s="54">
        <v>45970</v>
      </c>
      <c r="B133" s="57">
        <v>110844</v>
      </c>
      <c r="C133" s="55">
        <v>22</v>
      </c>
      <c r="D133" s="55">
        <v>7</v>
      </c>
      <c r="E133" s="55">
        <v>3</v>
      </c>
      <c r="F133" s="55">
        <v>4</v>
      </c>
      <c r="G133" s="57">
        <v>2040000</v>
      </c>
      <c r="H133" s="57">
        <v>170000</v>
      </c>
      <c r="I133" s="57">
        <v>0</v>
      </c>
      <c r="J133" s="57">
        <v>170000</v>
      </c>
    </row>
    <row r="134" spans="1:10" ht="15" x14ac:dyDescent="0.4">
      <c r="A134" s="54">
        <v>45971</v>
      </c>
      <c r="B134" s="57">
        <v>113325</v>
      </c>
      <c r="C134" s="55">
        <v>27</v>
      </c>
      <c r="D134" s="55">
        <v>10</v>
      </c>
      <c r="E134" s="55">
        <v>7</v>
      </c>
      <c r="F134" s="55">
        <v>3</v>
      </c>
      <c r="G134" s="57">
        <v>2520000</v>
      </c>
      <c r="H134" s="57">
        <v>1840000</v>
      </c>
      <c r="I134" s="57">
        <v>0</v>
      </c>
      <c r="J134" s="57">
        <v>1840000</v>
      </c>
    </row>
    <row r="135" spans="1:10" ht="15" x14ac:dyDescent="0.4">
      <c r="A135" s="54">
        <v>45972</v>
      </c>
      <c r="B135" s="57">
        <v>112779</v>
      </c>
      <c r="C135" s="55">
        <v>39</v>
      </c>
      <c r="D135" s="55">
        <v>8</v>
      </c>
      <c r="E135" s="55">
        <v>3</v>
      </c>
      <c r="F135" s="55">
        <v>1</v>
      </c>
      <c r="G135" s="57">
        <v>480000</v>
      </c>
      <c r="H135" s="57">
        <v>680000</v>
      </c>
      <c r="I135" s="57">
        <v>0</v>
      </c>
      <c r="J135" s="57">
        <v>680000</v>
      </c>
    </row>
    <row r="136" spans="1:10" ht="15" x14ac:dyDescent="0.4">
      <c r="A136" s="54">
        <v>45973</v>
      </c>
      <c r="B136" s="57">
        <v>110032</v>
      </c>
      <c r="C136" s="55">
        <v>47</v>
      </c>
      <c r="D136" s="55">
        <v>9</v>
      </c>
      <c r="E136" s="55">
        <v>4</v>
      </c>
      <c r="F136" s="55">
        <v>1</v>
      </c>
      <c r="G136" s="57">
        <v>510000</v>
      </c>
      <c r="H136" s="57">
        <v>480000</v>
      </c>
      <c r="I136" s="57">
        <v>0</v>
      </c>
      <c r="J136" s="57">
        <v>480000</v>
      </c>
    </row>
    <row r="137" spans="1:10" ht="15" x14ac:dyDescent="0.4">
      <c r="A137" s="54">
        <v>45974</v>
      </c>
      <c r="B137" s="57">
        <v>113766</v>
      </c>
      <c r="C137" s="55">
        <v>52</v>
      </c>
      <c r="D137" s="55">
        <v>11</v>
      </c>
      <c r="E137" s="55">
        <v>4</v>
      </c>
      <c r="F137" s="55">
        <v>2</v>
      </c>
      <c r="G137" s="57">
        <v>660000</v>
      </c>
      <c r="H137" s="57">
        <v>490000</v>
      </c>
      <c r="I137" s="57">
        <v>0</v>
      </c>
      <c r="J137" s="57">
        <v>490000</v>
      </c>
    </row>
    <row r="138" spans="1:10" ht="15" x14ac:dyDescent="0.4">
      <c r="A138" s="54">
        <v>45975</v>
      </c>
      <c r="B138" s="57">
        <v>116034</v>
      </c>
      <c r="C138" s="55">
        <v>30</v>
      </c>
      <c r="D138" s="55">
        <v>17</v>
      </c>
      <c r="E138" s="55">
        <v>1</v>
      </c>
      <c r="F138" s="55">
        <v>3</v>
      </c>
      <c r="G138" s="57">
        <v>450000</v>
      </c>
      <c r="H138" s="57">
        <v>790000</v>
      </c>
      <c r="I138" s="57">
        <v>0</v>
      </c>
      <c r="J138" s="57">
        <v>790000</v>
      </c>
    </row>
    <row r="139" spans="1:10" ht="15" x14ac:dyDescent="0.4">
      <c r="A139" s="54">
        <v>45976</v>
      </c>
      <c r="B139" s="57">
        <v>117012</v>
      </c>
      <c r="C139" s="55">
        <v>13</v>
      </c>
      <c r="D139" s="55">
        <v>12</v>
      </c>
      <c r="E139" s="55">
        <v>4</v>
      </c>
      <c r="F139" s="55">
        <v>1</v>
      </c>
      <c r="G139" s="57">
        <v>150000</v>
      </c>
      <c r="H139" s="57">
        <v>150000</v>
      </c>
      <c r="I139" s="57">
        <v>0</v>
      </c>
      <c r="J139" s="57">
        <v>150000</v>
      </c>
    </row>
    <row r="140" spans="1:10" ht="15" x14ac:dyDescent="0.4">
      <c r="A140" s="54">
        <v>45977</v>
      </c>
      <c r="B140" s="57">
        <v>115380</v>
      </c>
      <c r="C140" s="55">
        <v>19</v>
      </c>
      <c r="D140" s="55">
        <v>6</v>
      </c>
      <c r="E140" s="55">
        <v>6</v>
      </c>
      <c r="F140" s="55">
        <v>1</v>
      </c>
      <c r="G140" s="57">
        <v>1500000</v>
      </c>
      <c r="H140" s="57">
        <v>750000</v>
      </c>
      <c r="I140" s="57">
        <v>0</v>
      </c>
      <c r="J140" s="57">
        <v>750000</v>
      </c>
    </row>
    <row r="141" spans="1:10" ht="15" x14ac:dyDescent="0.4">
      <c r="A141" s="54">
        <v>45978</v>
      </c>
      <c r="B141" s="57">
        <v>113538</v>
      </c>
      <c r="C141" s="55">
        <v>32</v>
      </c>
      <c r="D141" s="55">
        <v>17</v>
      </c>
      <c r="E141" s="55">
        <v>8</v>
      </c>
      <c r="F141" s="55">
        <v>2</v>
      </c>
      <c r="G141" s="57">
        <v>990000</v>
      </c>
      <c r="H141" s="57">
        <v>170000</v>
      </c>
      <c r="I141" s="57">
        <v>0</v>
      </c>
      <c r="J141" s="57">
        <v>170000</v>
      </c>
    </row>
    <row r="142" spans="1:10" ht="15" x14ac:dyDescent="0.4">
      <c r="A142" s="54">
        <v>45979</v>
      </c>
      <c r="B142" s="57">
        <v>114100</v>
      </c>
      <c r="C142" s="55">
        <v>35</v>
      </c>
      <c r="D142" s="55">
        <v>2</v>
      </c>
      <c r="E142" s="55">
        <v>4</v>
      </c>
      <c r="F142" s="55">
        <v>0</v>
      </c>
      <c r="G142" s="57">
        <v>0</v>
      </c>
      <c r="H142" s="57">
        <v>650000</v>
      </c>
      <c r="I142" s="57">
        <v>0</v>
      </c>
      <c r="J142" s="57">
        <v>650000</v>
      </c>
    </row>
    <row r="143" spans="1:10" ht="15" x14ac:dyDescent="0.4">
      <c r="A143" s="54">
        <v>45980</v>
      </c>
      <c r="B143" s="57">
        <v>114908</v>
      </c>
      <c r="C143" s="55">
        <v>24</v>
      </c>
      <c r="D143" s="55">
        <v>7</v>
      </c>
      <c r="E143" s="55">
        <v>7</v>
      </c>
      <c r="F143" s="55">
        <v>0</v>
      </c>
      <c r="G143" s="57">
        <v>0</v>
      </c>
      <c r="H143" s="57">
        <v>0</v>
      </c>
      <c r="I143" s="57">
        <v>0</v>
      </c>
      <c r="J143" s="57">
        <v>0</v>
      </c>
    </row>
    <row r="144" spans="1:10" ht="15" x14ac:dyDescent="0.4">
      <c r="A144" s="54">
        <v>45981</v>
      </c>
      <c r="B144" s="57">
        <v>113544</v>
      </c>
      <c r="C144" s="55">
        <v>28</v>
      </c>
      <c r="D144" s="55">
        <v>8</v>
      </c>
      <c r="E144" s="55">
        <v>5</v>
      </c>
      <c r="F144" s="55">
        <v>2</v>
      </c>
      <c r="G144" s="57">
        <v>960000</v>
      </c>
      <c r="H144" s="57">
        <v>170000</v>
      </c>
      <c r="I144" s="57">
        <v>0</v>
      </c>
      <c r="J144" s="57">
        <v>170000</v>
      </c>
    </row>
    <row r="145" spans="1:10" ht="15" x14ac:dyDescent="0.4">
      <c r="A145" s="54">
        <v>45982</v>
      </c>
      <c r="B145" s="57">
        <v>116581</v>
      </c>
      <c r="C145" s="55">
        <v>20</v>
      </c>
      <c r="D145" s="55">
        <v>4</v>
      </c>
      <c r="E145" s="55">
        <v>3</v>
      </c>
      <c r="F145" s="55">
        <v>1</v>
      </c>
      <c r="G145" s="57">
        <v>480000</v>
      </c>
      <c r="H145" s="57">
        <v>1230000</v>
      </c>
      <c r="I145" s="57">
        <v>0</v>
      </c>
      <c r="J145" s="57">
        <v>1230000</v>
      </c>
    </row>
    <row r="146" spans="1:10" ht="15" x14ac:dyDescent="0.4">
      <c r="A146" s="54">
        <v>45983</v>
      </c>
      <c r="B146" s="57">
        <v>117736</v>
      </c>
      <c r="C146" s="55">
        <v>11</v>
      </c>
      <c r="D146" s="55">
        <v>7</v>
      </c>
      <c r="E146" s="55">
        <v>3</v>
      </c>
      <c r="F146" s="55">
        <v>2</v>
      </c>
      <c r="G146" s="57">
        <v>630000</v>
      </c>
      <c r="H146" s="57">
        <v>1110000</v>
      </c>
      <c r="I146" s="57">
        <v>0</v>
      </c>
      <c r="J146" s="57">
        <v>1110000</v>
      </c>
    </row>
    <row r="147" spans="1:10" ht="15" x14ac:dyDescent="0.4">
      <c r="A147" s="54">
        <v>45984</v>
      </c>
      <c r="B147" s="57">
        <v>111142</v>
      </c>
      <c r="C147" s="55">
        <v>22</v>
      </c>
      <c r="D147" s="55">
        <v>3</v>
      </c>
      <c r="E147" s="55">
        <v>4</v>
      </c>
      <c r="F147" s="55">
        <v>1</v>
      </c>
      <c r="G147" s="57">
        <v>480000</v>
      </c>
      <c r="H147" s="57">
        <v>1230000</v>
      </c>
      <c r="I147" s="57">
        <v>0</v>
      </c>
      <c r="J147" s="57">
        <v>1230000</v>
      </c>
    </row>
    <row r="148" spans="1:10" ht="15" x14ac:dyDescent="0.4">
      <c r="A148" s="54">
        <v>45985</v>
      </c>
      <c r="B148" s="57">
        <v>115738</v>
      </c>
      <c r="C148" s="55">
        <v>30</v>
      </c>
      <c r="D148" s="55">
        <v>5</v>
      </c>
      <c r="E148" s="55">
        <v>2</v>
      </c>
      <c r="F148" s="55">
        <v>0</v>
      </c>
      <c r="G148" s="57">
        <v>0</v>
      </c>
      <c r="H148" s="57">
        <v>480000</v>
      </c>
      <c r="I148" s="57">
        <v>0</v>
      </c>
      <c r="J148" s="57">
        <v>480000</v>
      </c>
    </row>
    <row r="149" spans="1:10" ht="15" x14ac:dyDescent="0.4">
      <c r="A149" s="54">
        <v>45986</v>
      </c>
      <c r="B149" s="57">
        <v>112274</v>
      </c>
      <c r="C149" s="55">
        <v>31</v>
      </c>
      <c r="D149" s="55">
        <v>10</v>
      </c>
      <c r="E149" s="55">
        <v>1</v>
      </c>
      <c r="F149" s="55">
        <v>1</v>
      </c>
      <c r="G149" s="57">
        <v>150000</v>
      </c>
      <c r="H149" s="57">
        <v>490000</v>
      </c>
      <c r="I149" s="57">
        <v>0</v>
      </c>
      <c r="J149" s="57">
        <v>490000</v>
      </c>
    </row>
    <row r="150" spans="1:10" ht="15" x14ac:dyDescent="0.4">
      <c r="A150" s="54">
        <v>45987</v>
      </c>
      <c r="B150" s="57">
        <v>112205</v>
      </c>
      <c r="C150" s="55">
        <v>29</v>
      </c>
      <c r="D150" s="55">
        <v>9</v>
      </c>
      <c r="E150" s="55">
        <v>4</v>
      </c>
      <c r="F150" s="55">
        <v>0</v>
      </c>
      <c r="G150" s="57">
        <v>0</v>
      </c>
      <c r="H150" s="57">
        <v>170000</v>
      </c>
      <c r="I150" s="57">
        <v>75000</v>
      </c>
      <c r="J150" s="57">
        <v>95000</v>
      </c>
    </row>
    <row r="151" spans="1:10" ht="15" x14ac:dyDescent="0.4">
      <c r="A151" s="54">
        <v>45988</v>
      </c>
      <c r="B151" s="57">
        <v>108350</v>
      </c>
      <c r="C151" s="55">
        <v>23</v>
      </c>
      <c r="D151" s="55">
        <v>7</v>
      </c>
      <c r="E151" s="55">
        <v>5</v>
      </c>
      <c r="F151" s="55">
        <v>1</v>
      </c>
      <c r="G151" s="57">
        <v>1500000</v>
      </c>
      <c r="H151" s="57">
        <v>0</v>
      </c>
      <c r="I151" s="57">
        <v>0</v>
      </c>
      <c r="J151" s="57">
        <v>0</v>
      </c>
    </row>
    <row r="152" spans="1:10" ht="15" x14ac:dyDescent="0.4">
      <c r="A152" s="54">
        <v>45989</v>
      </c>
      <c r="B152" s="57">
        <v>114749</v>
      </c>
      <c r="C152" s="55">
        <v>29</v>
      </c>
      <c r="D152" s="55">
        <v>11</v>
      </c>
      <c r="E152" s="55">
        <v>3</v>
      </c>
      <c r="F152" s="55">
        <v>2</v>
      </c>
      <c r="G152" s="57">
        <v>1980000</v>
      </c>
      <c r="H152" s="57">
        <v>680000</v>
      </c>
      <c r="I152" s="57">
        <v>0</v>
      </c>
      <c r="J152" s="57">
        <v>680000</v>
      </c>
    </row>
    <row r="153" spans="1:10" ht="15" x14ac:dyDescent="0.4">
      <c r="A153" s="54">
        <v>45990</v>
      </c>
      <c r="B153" s="57">
        <v>115266</v>
      </c>
      <c r="C153" s="55">
        <v>20</v>
      </c>
      <c r="D153" s="55">
        <v>11</v>
      </c>
      <c r="E153" s="55">
        <v>1</v>
      </c>
      <c r="F153" s="55">
        <v>4</v>
      </c>
      <c r="G153" s="57">
        <v>2280000</v>
      </c>
      <c r="H153" s="57">
        <v>5350000</v>
      </c>
      <c r="I153" s="57">
        <v>0</v>
      </c>
      <c r="J153" s="57">
        <v>5350000</v>
      </c>
    </row>
    <row r="154" spans="1:10" ht="15" x14ac:dyDescent="0.4">
      <c r="A154" s="54">
        <v>45991</v>
      </c>
      <c r="B154" s="57">
        <v>114353</v>
      </c>
      <c r="C154" s="55">
        <v>23</v>
      </c>
      <c r="D154" s="55">
        <v>11</v>
      </c>
      <c r="E154" s="55">
        <v>4</v>
      </c>
      <c r="F154" s="55">
        <v>0</v>
      </c>
      <c r="G154" s="57">
        <v>0</v>
      </c>
      <c r="H154" s="57">
        <v>0</v>
      </c>
      <c r="I154" s="57">
        <v>0</v>
      </c>
      <c r="J154" s="57">
        <v>0</v>
      </c>
    </row>
    <row r="155" spans="1:10" ht="15" x14ac:dyDescent="0.4">
      <c r="A155" s="54">
        <v>45992</v>
      </c>
      <c r="B155" s="57">
        <v>116210</v>
      </c>
      <c r="C155" s="55">
        <v>33</v>
      </c>
      <c r="D155" s="55">
        <v>9</v>
      </c>
      <c r="E155" s="55">
        <v>5</v>
      </c>
      <c r="F155" s="55">
        <v>2</v>
      </c>
      <c r="G155" s="57">
        <v>990000</v>
      </c>
      <c r="H155" s="57">
        <v>170000</v>
      </c>
      <c r="I155" s="57">
        <v>0</v>
      </c>
      <c r="J155" s="57">
        <v>170000</v>
      </c>
    </row>
    <row r="156" spans="1:10" ht="15" x14ac:dyDescent="0.4">
      <c r="A156" s="54">
        <v>45993</v>
      </c>
      <c r="B156" s="57">
        <v>112773</v>
      </c>
      <c r="C156" s="55">
        <v>40</v>
      </c>
      <c r="D156" s="55">
        <v>8</v>
      </c>
      <c r="E156" s="55">
        <v>3</v>
      </c>
      <c r="F156" s="55">
        <v>0</v>
      </c>
      <c r="G156" s="57">
        <v>0</v>
      </c>
      <c r="H156" s="57">
        <v>650000</v>
      </c>
      <c r="I156" s="57">
        <v>0</v>
      </c>
      <c r="J156" s="57">
        <v>650000</v>
      </c>
    </row>
    <row r="157" spans="1:10" ht="15" x14ac:dyDescent="0.4">
      <c r="A157" s="54">
        <v>45994</v>
      </c>
      <c r="B157" s="57">
        <v>114251</v>
      </c>
      <c r="C157" s="55">
        <v>44</v>
      </c>
      <c r="D157" s="55">
        <v>13</v>
      </c>
      <c r="E157" s="55">
        <v>4</v>
      </c>
      <c r="F157" s="55">
        <v>2</v>
      </c>
      <c r="G157" s="57">
        <v>990000</v>
      </c>
      <c r="H157" s="57">
        <v>0</v>
      </c>
      <c r="I157" s="57">
        <v>0</v>
      </c>
      <c r="J157" s="57">
        <v>0</v>
      </c>
    </row>
    <row r="158" spans="1:10" ht="15" x14ac:dyDescent="0.4">
      <c r="A158" s="54">
        <v>45995</v>
      </c>
      <c r="B158" s="57">
        <v>110304</v>
      </c>
      <c r="C158" s="55">
        <v>28</v>
      </c>
      <c r="D158" s="55">
        <v>6</v>
      </c>
      <c r="E158" s="55">
        <v>7</v>
      </c>
      <c r="F158" s="55">
        <v>1</v>
      </c>
      <c r="G158" s="57">
        <v>480000</v>
      </c>
      <c r="H158" s="57">
        <v>650000</v>
      </c>
      <c r="I158" s="57">
        <v>170000</v>
      </c>
      <c r="J158" s="57">
        <v>480000</v>
      </c>
    </row>
    <row r="159" spans="1:10" ht="15" x14ac:dyDescent="0.4">
      <c r="A159" s="54">
        <v>45996</v>
      </c>
      <c r="B159" s="57">
        <v>109662</v>
      </c>
      <c r="C159" s="55">
        <v>21</v>
      </c>
      <c r="D159" s="55">
        <v>15</v>
      </c>
      <c r="E159" s="55">
        <v>3</v>
      </c>
      <c r="F159" s="55">
        <v>0</v>
      </c>
      <c r="G159" s="57">
        <v>0</v>
      </c>
      <c r="H159" s="57">
        <v>480000</v>
      </c>
      <c r="I159" s="57">
        <v>0</v>
      </c>
      <c r="J159" s="57">
        <v>480000</v>
      </c>
    </row>
    <row r="160" spans="1:10" ht="15" x14ac:dyDescent="0.4">
      <c r="A160" s="54">
        <v>45997</v>
      </c>
      <c r="B160" s="57">
        <v>109326</v>
      </c>
      <c r="C160" s="55">
        <v>19</v>
      </c>
      <c r="D160" s="55">
        <v>5</v>
      </c>
      <c r="E160" s="55">
        <v>4</v>
      </c>
      <c r="F160" s="55">
        <v>1</v>
      </c>
      <c r="G160" s="57">
        <v>480000</v>
      </c>
      <c r="H160" s="57">
        <v>750000</v>
      </c>
      <c r="I160" s="57">
        <v>0</v>
      </c>
      <c r="J160" s="57">
        <v>750000</v>
      </c>
    </row>
    <row r="161" spans="1:10" ht="15" x14ac:dyDescent="0.4">
      <c r="A161" s="54">
        <v>45998</v>
      </c>
      <c r="B161" s="57">
        <v>116746</v>
      </c>
      <c r="C161" s="55">
        <v>19</v>
      </c>
      <c r="D161" s="55">
        <v>5</v>
      </c>
      <c r="E161" s="55">
        <v>5</v>
      </c>
      <c r="F161" s="55">
        <v>0</v>
      </c>
      <c r="G161" s="57">
        <v>0</v>
      </c>
      <c r="H161" s="57">
        <v>480000</v>
      </c>
      <c r="I161" s="57">
        <v>0</v>
      </c>
      <c r="J161" s="57">
        <v>480000</v>
      </c>
    </row>
    <row r="162" spans="1:10" ht="15" x14ac:dyDescent="0.4">
      <c r="A162" s="54">
        <v>45999</v>
      </c>
      <c r="B162" s="57">
        <v>115774</v>
      </c>
      <c r="C162" s="55">
        <v>26</v>
      </c>
      <c r="D162" s="55">
        <v>7</v>
      </c>
      <c r="E162" s="55">
        <v>3</v>
      </c>
      <c r="F162" s="55">
        <v>0</v>
      </c>
      <c r="G162" s="57">
        <v>0</v>
      </c>
      <c r="H162" s="57">
        <v>0</v>
      </c>
      <c r="I162" s="57">
        <v>0</v>
      </c>
      <c r="J162" s="57">
        <v>0</v>
      </c>
    </row>
    <row r="163" spans="1:10" ht="15" x14ac:dyDescent="0.4">
      <c r="A163" s="54">
        <v>46000</v>
      </c>
      <c r="B163" s="57">
        <v>114695</v>
      </c>
      <c r="C163" s="55">
        <v>33</v>
      </c>
      <c r="D163" s="55">
        <v>5</v>
      </c>
      <c r="E163" s="55">
        <v>6</v>
      </c>
      <c r="F163" s="55">
        <v>1</v>
      </c>
      <c r="G163" s="57">
        <v>480000</v>
      </c>
      <c r="H163" s="57">
        <v>170000</v>
      </c>
      <c r="I163" s="57">
        <v>0</v>
      </c>
      <c r="J163" s="57">
        <v>170000</v>
      </c>
    </row>
    <row r="164" spans="1:10" ht="15" x14ac:dyDescent="0.4">
      <c r="A164" s="54">
        <v>46001</v>
      </c>
      <c r="B164" s="57">
        <v>113104</v>
      </c>
      <c r="C164" s="55">
        <v>26</v>
      </c>
      <c r="D164" s="55">
        <v>12</v>
      </c>
      <c r="E164" s="55">
        <v>1</v>
      </c>
      <c r="F164" s="55">
        <v>0</v>
      </c>
      <c r="G164" s="57">
        <v>0</v>
      </c>
      <c r="H164" s="57">
        <v>650000</v>
      </c>
      <c r="I164" s="57">
        <v>0</v>
      </c>
      <c r="J164" s="57">
        <v>650000</v>
      </c>
    </row>
    <row r="165" spans="1:10" ht="15" x14ac:dyDescent="0.4">
      <c r="A165" s="54">
        <v>46002</v>
      </c>
      <c r="B165" s="57">
        <v>118466</v>
      </c>
      <c r="C165" s="55">
        <v>45</v>
      </c>
      <c r="D165" s="55">
        <v>1</v>
      </c>
      <c r="E165" s="55">
        <v>2</v>
      </c>
      <c r="F165" s="55">
        <v>1</v>
      </c>
      <c r="G165" s="57">
        <v>480000</v>
      </c>
      <c r="H165" s="57">
        <v>510000</v>
      </c>
      <c r="I165" s="57">
        <v>0</v>
      </c>
      <c r="J165" s="57">
        <v>510000</v>
      </c>
    </row>
    <row r="166" spans="1:10" ht="15" x14ac:dyDescent="0.4">
      <c r="A166" s="54">
        <v>46003</v>
      </c>
      <c r="B166" s="57">
        <v>114742</v>
      </c>
      <c r="C166" s="55">
        <v>27</v>
      </c>
      <c r="D166" s="55">
        <v>8</v>
      </c>
      <c r="E166" s="55">
        <v>4</v>
      </c>
      <c r="F166" s="55">
        <v>1</v>
      </c>
      <c r="G166" s="57">
        <v>480000</v>
      </c>
      <c r="H166" s="57">
        <v>960000</v>
      </c>
      <c r="I166" s="57">
        <v>0</v>
      </c>
      <c r="J166" s="57">
        <v>960000</v>
      </c>
    </row>
    <row r="167" spans="1:10" ht="15" x14ac:dyDescent="0.4">
      <c r="A167" s="54">
        <v>46004</v>
      </c>
      <c r="B167" s="57">
        <v>110159</v>
      </c>
      <c r="C167" s="55">
        <v>14</v>
      </c>
      <c r="D167" s="55">
        <v>12</v>
      </c>
      <c r="E167" s="55">
        <v>4</v>
      </c>
      <c r="F167" s="55">
        <v>3</v>
      </c>
      <c r="G167" s="57">
        <v>2160000</v>
      </c>
      <c r="H167" s="57">
        <v>490000</v>
      </c>
      <c r="I167" s="57">
        <v>0</v>
      </c>
      <c r="J167" s="57">
        <v>490000</v>
      </c>
    </row>
    <row r="168" spans="1:10" ht="15" x14ac:dyDescent="0.4">
      <c r="A168" s="54">
        <v>46005</v>
      </c>
      <c r="B168" s="57">
        <v>110185</v>
      </c>
      <c r="C168" s="55">
        <v>19</v>
      </c>
      <c r="D168" s="55">
        <v>7</v>
      </c>
      <c r="E168" s="55">
        <v>5</v>
      </c>
      <c r="F168" s="55">
        <v>4</v>
      </c>
      <c r="G168" s="57">
        <v>1620000</v>
      </c>
      <c r="H168" s="57">
        <v>2470000</v>
      </c>
      <c r="I168" s="57">
        <v>0</v>
      </c>
      <c r="J168" s="57">
        <v>2470000</v>
      </c>
    </row>
    <row r="169" spans="1:10" ht="15" x14ac:dyDescent="0.4">
      <c r="A169" s="54">
        <v>46006</v>
      </c>
      <c r="B169" s="57">
        <v>112525</v>
      </c>
      <c r="C169" s="55">
        <v>26</v>
      </c>
      <c r="D169" s="55">
        <v>6</v>
      </c>
      <c r="E169" s="55">
        <v>4</v>
      </c>
      <c r="F169" s="55">
        <v>0</v>
      </c>
      <c r="G169" s="57">
        <v>0</v>
      </c>
      <c r="H169" s="57">
        <v>480000</v>
      </c>
      <c r="I169" s="57">
        <v>0</v>
      </c>
      <c r="J169" s="57">
        <v>480000</v>
      </c>
    </row>
    <row r="170" spans="1:10" ht="15" x14ac:dyDescent="0.4">
      <c r="A170" s="54">
        <v>46007</v>
      </c>
      <c r="B170" s="57">
        <v>116301</v>
      </c>
      <c r="C170" s="55">
        <v>44</v>
      </c>
      <c r="D170" s="55">
        <v>8</v>
      </c>
      <c r="E170" s="55">
        <v>3</v>
      </c>
      <c r="F170" s="55">
        <v>0</v>
      </c>
      <c r="G170" s="57">
        <v>0</v>
      </c>
      <c r="H170" s="57">
        <v>920000</v>
      </c>
      <c r="I170" s="57">
        <v>0</v>
      </c>
      <c r="J170" s="57">
        <v>920000</v>
      </c>
    </row>
    <row r="171" spans="1:10" ht="15" x14ac:dyDescent="0.4">
      <c r="A171" s="54">
        <v>46008</v>
      </c>
      <c r="B171" s="57">
        <v>115050</v>
      </c>
      <c r="C171" s="55">
        <v>40</v>
      </c>
      <c r="D171" s="55">
        <v>9</v>
      </c>
      <c r="E171" s="55">
        <v>4</v>
      </c>
      <c r="F171" s="55">
        <v>2</v>
      </c>
      <c r="G171" s="57">
        <v>300000</v>
      </c>
      <c r="H171" s="57">
        <v>470000</v>
      </c>
      <c r="I171" s="57">
        <v>0</v>
      </c>
      <c r="J171" s="57">
        <v>470000</v>
      </c>
    </row>
    <row r="172" spans="1:10" ht="15" x14ac:dyDescent="0.4">
      <c r="A172" s="54">
        <v>46009</v>
      </c>
      <c r="B172" s="57">
        <v>114018</v>
      </c>
      <c r="C172" s="55">
        <v>31</v>
      </c>
      <c r="D172" s="55">
        <v>9</v>
      </c>
      <c r="E172" s="55">
        <v>2</v>
      </c>
      <c r="F172" s="55">
        <v>0</v>
      </c>
      <c r="G172" s="57">
        <v>0</v>
      </c>
      <c r="H172" s="57">
        <v>170000</v>
      </c>
      <c r="I172" s="57">
        <v>0</v>
      </c>
      <c r="J172" s="57">
        <v>170000</v>
      </c>
    </row>
    <row r="173" spans="1:10" ht="15" x14ac:dyDescent="0.4">
      <c r="A173" s="54">
        <v>46010</v>
      </c>
      <c r="B173" s="57">
        <v>113386</v>
      </c>
      <c r="C173" s="55">
        <v>25</v>
      </c>
      <c r="D173" s="55">
        <v>14</v>
      </c>
      <c r="E173" s="55">
        <v>8</v>
      </c>
      <c r="F173" s="55">
        <v>2</v>
      </c>
      <c r="G173" s="57">
        <v>1980000</v>
      </c>
      <c r="H173" s="57">
        <v>0</v>
      </c>
      <c r="I173" s="57">
        <v>1500000</v>
      </c>
      <c r="J173" s="57">
        <v>-1500000</v>
      </c>
    </row>
    <row r="174" spans="1:10" ht="15" x14ac:dyDescent="0.4">
      <c r="A174" s="54">
        <v>46011</v>
      </c>
      <c r="B174" s="57">
        <v>117181</v>
      </c>
      <c r="C174" s="55">
        <v>6</v>
      </c>
      <c r="D174" s="55">
        <v>8</v>
      </c>
      <c r="E174" s="55">
        <v>4</v>
      </c>
      <c r="F174" s="55">
        <v>1</v>
      </c>
      <c r="G174" s="57">
        <v>480000</v>
      </c>
      <c r="H174" s="57">
        <v>2150000</v>
      </c>
      <c r="I174" s="57">
        <v>0</v>
      </c>
      <c r="J174" s="57">
        <v>2150000</v>
      </c>
    </row>
    <row r="175" spans="1:10" ht="15" x14ac:dyDescent="0.4">
      <c r="A175" s="54">
        <v>46012</v>
      </c>
      <c r="B175" s="57">
        <v>112412</v>
      </c>
      <c r="C175" s="55">
        <v>15</v>
      </c>
      <c r="D175" s="55">
        <v>4</v>
      </c>
      <c r="E175" s="55">
        <v>5</v>
      </c>
      <c r="F175" s="55">
        <v>0</v>
      </c>
      <c r="G175" s="57">
        <v>0</v>
      </c>
      <c r="H175" s="57">
        <v>0</v>
      </c>
      <c r="I175" s="57">
        <v>0</v>
      </c>
      <c r="J175" s="57">
        <v>0</v>
      </c>
    </row>
    <row r="176" spans="1:10" ht="15" x14ac:dyDescent="0.4">
      <c r="A176" s="54">
        <v>46013</v>
      </c>
      <c r="B176" s="57">
        <v>109218</v>
      </c>
      <c r="C176" s="55">
        <v>28</v>
      </c>
      <c r="D176" s="55">
        <v>3</v>
      </c>
      <c r="E176" s="55">
        <v>8</v>
      </c>
      <c r="F176" s="55">
        <v>2</v>
      </c>
      <c r="G176" s="57">
        <v>660000</v>
      </c>
      <c r="H176" s="57">
        <v>800000</v>
      </c>
      <c r="I176" s="57">
        <v>0</v>
      </c>
      <c r="J176" s="57">
        <v>800000</v>
      </c>
    </row>
    <row r="177" spans="1:10" ht="15" x14ac:dyDescent="0.4">
      <c r="A177" s="54">
        <v>46014</v>
      </c>
      <c r="B177" s="57">
        <v>106986</v>
      </c>
      <c r="C177" s="55">
        <v>25</v>
      </c>
      <c r="D177" s="55">
        <v>7</v>
      </c>
      <c r="E177" s="55">
        <v>1</v>
      </c>
      <c r="F177" s="55">
        <v>2</v>
      </c>
      <c r="G177" s="57">
        <v>960000</v>
      </c>
      <c r="H177" s="57">
        <v>480000</v>
      </c>
      <c r="I177" s="57">
        <v>0</v>
      </c>
      <c r="J177" s="57">
        <v>480000</v>
      </c>
    </row>
    <row r="178" spans="1:10" ht="15" x14ac:dyDescent="0.4">
      <c r="A178" s="54">
        <v>46015</v>
      </c>
      <c r="B178" s="57">
        <v>117649</v>
      </c>
      <c r="C178" s="55">
        <v>22</v>
      </c>
      <c r="D178" s="55">
        <v>8</v>
      </c>
      <c r="E178" s="55">
        <v>1</v>
      </c>
      <c r="F178" s="55">
        <v>3</v>
      </c>
      <c r="G178" s="57">
        <v>2490000</v>
      </c>
      <c r="H178" s="57">
        <v>2460000</v>
      </c>
      <c r="I178" s="57">
        <v>0</v>
      </c>
      <c r="J178" s="57">
        <v>2460000</v>
      </c>
    </row>
    <row r="179" spans="1:10" ht="15" x14ac:dyDescent="0.4">
      <c r="A179" s="54">
        <v>46016</v>
      </c>
      <c r="B179" s="57">
        <v>114137</v>
      </c>
      <c r="C179" s="55">
        <v>12</v>
      </c>
      <c r="D179" s="55">
        <v>7</v>
      </c>
      <c r="E179" s="55">
        <v>4</v>
      </c>
      <c r="F179" s="55">
        <v>3</v>
      </c>
      <c r="G179" s="57">
        <v>1170000</v>
      </c>
      <c r="H179" s="57">
        <v>660000</v>
      </c>
      <c r="I179" s="57">
        <v>0</v>
      </c>
      <c r="J179" s="57">
        <v>660000</v>
      </c>
    </row>
    <row r="180" spans="1:10" ht="15" x14ac:dyDescent="0.4">
      <c r="A180" s="54">
        <v>46017</v>
      </c>
      <c r="B180" s="57">
        <v>105773</v>
      </c>
      <c r="C180" s="55">
        <v>18</v>
      </c>
      <c r="D180" s="55">
        <v>6</v>
      </c>
      <c r="E180" s="55">
        <v>1</v>
      </c>
      <c r="F180" s="55">
        <v>0</v>
      </c>
      <c r="G180" s="57">
        <v>0</v>
      </c>
      <c r="H180" s="57">
        <v>170000</v>
      </c>
      <c r="I180" s="57">
        <v>0</v>
      </c>
      <c r="J180" s="57">
        <v>170000</v>
      </c>
    </row>
    <row r="181" spans="1:10" ht="15" x14ac:dyDescent="0.4">
      <c r="A181" s="54">
        <v>46018</v>
      </c>
      <c r="B181" s="57">
        <v>116666</v>
      </c>
      <c r="C181" s="55">
        <v>15</v>
      </c>
      <c r="D181" s="55">
        <v>4</v>
      </c>
      <c r="E181" s="55">
        <v>5</v>
      </c>
      <c r="F181" s="55">
        <v>2</v>
      </c>
      <c r="G181" s="57">
        <v>3000000</v>
      </c>
      <c r="H181" s="57">
        <v>750000</v>
      </c>
      <c r="I181" s="57">
        <v>0</v>
      </c>
      <c r="J181" s="57">
        <v>750000</v>
      </c>
    </row>
    <row r="182" spans="1:10" ht="15" x14ac:dyDescent="0.4">
      <c r="A182" s="54">
        <v>46019</v>
      </c>
      <c r="B182" s="57">
        <v>115046</v>
      </c>
      <c r="C182" s="55">
        <v>20</v>
      </c>
      <c r="D182" s="55">
        <v>1</v>
      </c>
      <c r="E182" s="55">
        <v>3</v>
      </c>
      <c r="F182" s="55">
        <v>1</v>
      </c>
      <c r="G182" s="57">
        <v>480000</v>
      </c>
      <c r="H182" s="57">
        <v>2320000</v>
      </c>
      <c r="I182" s="57">
        <v>0</v>
      </c>
      <c r="J182" s="57">
        <v>2320000</v>
      </c>
    </row>
    <row r="183" spans="1:10" ht="15" x14ac:dyDescent="0.4">
      <c r="A183" s="54">
        <v>46020</v>
      </c>
      <c r="B183" s="57">
        <v>116903</v>
      </c>
      <c r="C183" s="55">
        <v>16</v>
      </c>
      <c r="D183" s="55">
        <v>6</v>
      </c>
      <c r="E183" s="55">
        <v>2</v>
      </c>
      <c r="F183" s="55">
        <v>1</v>
      </c>
      <c r="G183" s="57">
        <v>150000</v>
      </c>
      <c r="H183" s="57">
        <v>1070000</v>
      </c>
      <c r="I183" s="57">
        <v>1500000</v>
      </c>
      <c r="J183" s="57">
        <v>-430000</v>
      </c>
    </row>
    <row r="184" spans="1:10" ht="15" x14ac:dyDescent="0.4">
      <c r="A184" s="54">
        <v>46021</v>
      </c>
      <c r="B184" s="57">
        <v>110397</v>
      </c>
      <c r="C184" s="55">
        <v>27</v>
      </c>
      <c r="D184" s="55">
        <v>6</v>
      </c>
      <c r="E184" s="55">
        <v>2</v>
      </c>
      <c r="F184" s="55">
        <v>2</v>
      </c>
      <c r="G184" s="57">
        <v>3000000</v>
      </c>
      <c r="H184" s="57">
        <v>0</v>
      </c>
      <c r="I184" s="57">
        <v>0</v>
      </c>
      <c r="J184" s="57">
        <v>0</v>
      </c>
    </row>
    <row r="185" spans="1:10" ht="15" x14ac:dyDescent="0.4">
      <c r="A185" s="54">
        <v>46022</v>
      </c>
      <c r="B185" s="57">
        <v>110137</v>
      </c>
      <c r="C185" s="55">
        <v>26</v>
      </c>
      <c r="D185" s="55">
        <v>7</v>
      </c>
      <c r="E185" s="55">
        <v>0</v>
      </c>
      <c r="F185" s="55">
        <v>0</v>
      </c>
      <c r="G185" s="57">
        <v>0</v>
      </c>
      <c r="H185" s="57">
        <v>3000000</v>
      </c>
      <c r="I185" s="57">
        <v>0</v>
      </c>
      <c r="J185" s="57">
        <v>3000000</v>
      </c>
    </row>
    <row r="186" spans="1:10" ht="15" x14ac:dyDescent="0.4">
      <c r="A186" s="54">
        <v>46023</v>
      </c>
      <c r="B186" s="57">
        <v>108616</v>
      </c>
      <c r="C186" s="55">
        <v>21</v>
      </c>
      <c r="D186" s="55">
        <v>8</v>
      </c>
      <c r="E186" s="55">
        <v>2</v>
      </c>
      <c r="F186" s="55">
        <v>0</v>
      </c>
      <c r="G186" s="57">
        <v>0</v>
      </c>
      <c r="H186" s="57">
        <v>170000</v>
      </c>
      <c r="I186" s="57">
        <v>0</v>
      </c>
      <c r="J186" s="57">
        <v>170000</v>
      </c>
    </row>
    <row r="187" spans="1:10" ht="15" x14ac:dyDescent="0.4">
      <c r="A187" s="54">
        <v>46024</v>
      </c>
      <c r="B187" s="57">
        <v>113065</v>
      </c>
      <c r="C187" s="55">
        <v>16</v>
      </c>
      <c r="D187" s="55">
        <v>7</v>
      </c>
      <c r="E187" s="55">
        <v>4</v>
      </c>
      <c r="F187" s="55">
        <v>1</v>
      </c>
      <c r="G187" s="57">
        <v>480000</v>
      </c>
      <c r="H187" s="57">
        <v>0</v>
      </c>
      <c r="I187" s="57">
        <v>0</v>
      </c>
      <c r="J187" s="57">
        <v>0</v>
      </c>
    </row>
    <row r="188" spans="1:10" ht="15" x14ac:dyDescent="0.4">
      <c r="A188" s="54">
        <v>46025</v>
      </c>
      <c r="B188" s="57">
        <v>116284</v>
      </c>
      <c r="C188" s="55">
        <v>22</v>
      </c>
      <c r="D188" s="55">
        <v>10</v>
      </c>
      <c r="E188" s="55">
        <v>3</v>
      </c>
      <c r="F188" s="55">
        <v>3</v>
      </c>
      <c r="G188" s="57">
        <v>780000</v>
      </c>
      <c r="H188" s="57">
        <v>950000</v>
      </c>
      <c r="I188" s="57">
        <v>0</v>
      </c>
      <c r="J188" s="57">
        <v>950000</v>
      </c>
    </row>
    <row r="189" spans="1:10" ht="15" x14ac:dyDescent="0.4">
      <c r="A189" s="54">
        <v>46026</v>
      </c>
      <c r="B189" s="57">
        <v>116716</v>
      </c>
      <c r="C189" s="55">
        <v>24</v>
      </c>
      <c r="D189" s="55">
        <v>6</v>
      </c>
      <c r="E189" s="55">
        <v>3</v>
      </c>
      <c r="F189" s="55">
        <v>2</v>
      </c>
      <c r="G189" s="57">
        <v>1650000</v>
      </c>
      <c r="H189" s="57">
        <v>630000</v>
      </c>
      <c r="I189" s="57">
        <v>0</v>
      </c>
      <c r="J189" s="57">
        <v>630000</v>
      </c>
    </row>
    <row r="190" spans="1:10" ht="15" x14ac:dyDescent="0.4">
      <c r="A190" s="54">
        <v>46027</v>
      </c>
      <c r="B190" s="57">
        <v>113068</v>
      </c>
      <c r="C190" s="55">
        <v>42</v>
      </c>
      <c r="D190" s="55">
        <v>9</v>
      </c>
      <c r="E190" s="55">
        <v>1</v>
      </c>
      <c r="F190" s="55">
        <v>1</v>
      </c>
      <c r="G190" s="57">
        <v>1500000</v>
      </c>
      <c r="H190" s="57">
        <v>2250000</v>
      </c>
      <c r="I190" s="57">
        <v>0</v>
      </c>
      <c r="J190" s="57">
        <v>2250000</v>
      </c>
    </row>
    <row r="191" spans="1:10" ht="15" x14ac:dyDescent="0.4">
      <c r="A191" s="54">
        <v>46028</v>
      </c>
      <c r="B191" s="57">
        <v>113729</v>
      </c>
      <c r="C191" s="55">
        <v>50</v>
      </c>
      <c r="D191" s="55">
        <v>8</v>
      </c>
      <c r="E191" s="55">
        <v>4</v>
      </c>
      <c r="F191" s="55">
        <v>0</v>
      </c>
      <c r="G191" s="57">
        <v>0</v>
      </c>
      <c r="H191" s="57">
        <v>0</v>
      </c>
      <c r="I191" s="57">
        <v>0</v>
      </c>
      <c r="J191" s="57">
        <v>0</v>
      </c>
    </row>
    <row r="192" spans="1:10" ht="15" x14ac:dyDescent="0.4">
      <c r="A192" s="54">
        <v>46029</v>
      </c>
      <c r="B192" s="57">
        <v>110622</v>
      </c>
      <c r="C192" s="55">
        <v>32</v>
      </c>
      <c r="D192" s="55">
        <v>10</v>
      </c>
      <c r="E192" s="55">
        <v>6</v>
      </c>
      <c r="F192" s="55">
        <v>1</v>
      </c>
      <c r="G192" s="57">
        <v>510000</v>
      </c>
      <c r="H192" s="57">
        <v>0</v>
      </c>
      <c r="I192" s="57">
        <v>0</v>
      </c>
      <c r="J192" s="57">
        <v>0</v>
      </c>
    </row>
    <row r="193" spans="1:10" ht="15" x14ac:dyDescent="0.4">
      <c r="A193" s="54">
        <v>46030</v>
      </c>
      <c r="B193" s="57">
        <v>117330</v>
      </c>
      <c r="C193" s="55">
        <v>61</v>
      </c>
      <c r="D193" s="55">
        <v>8</v>
      </c>
      <c r="E193" s="55">
        <v>1</v>
      </c>
      <c r="F193" s="55">
        <v>1</v>
      </c>
      <c r="G193" s="57">
        <v>480000</v>
      </c>
      <c r="H193" s="57">
        <v>340000</v>
      </c>
      <c r="I193" s="57">
        <v>0</v>
      </c>
      <c r="J193" s="57">
        <v>340000</v>
      </c>
    </row>
    <row r="194" spans="1:10" ht="15" x14ac:dyDescent="0.4">
      <c r="A194" s="54">
        <v>46031</v>
      </c>
      <c r="B194" s="57">
        <v>112222</v>
      </c>
      <c r="C194" s="55">
        <v>34</v>
      </c>
      <c r="D194" s="55">
        <v>17</v>
      </c>
      <c r="E194" s="55">
        <v>3</v>
      </c>
      <c r="F194" s="55">
        <v>0</v>
      </c>
      <c r="G194" s="57">
        <v>0</v>
      </c>
      <c r="H194" s="57">
        <v>650000</v>
      </c>
      <c r="I194" s="57">
        <v>0</v>
      </c>
      <c r="J194" s="57">
        <v>650000</v>
      </c>
    </row>
    <row r="195" spans="1:10" ht="15" x14ac:dyDescent="0.4">
      <c r="A195" s="54">
        <v>46032</v>
      </c>
      <c r="B195" s="57">
        <v>112131</v>
      </c>
      <c r="C195" s="55">
        <v>24</v>
      </c>
      <c r="D195" s="55">
        <v>12</v>
      </c>
      <c r="E195" s="55">
        <v>5</v>
      </c>
      <c r="F195" s="55">
        <v>1</v>
      </c>
      <c r="G195" s="57">
        <v>510000</v>
      </c>
      <c r="H195" s="57">
        <v>510000</v>
      </c>
      <c r="I195" s="57">
        <v>480000</v>
      </c>
      <c r="J195" s="57">
        <v>30000</v>
      </c>
    </row>
    <row r="196" spans="1:10" ht="15" x14ac:dyDescent="0.4">
      <c r="A196" s="54">
        <v>46033</v>
      </c>
      <c r="B196" s="57">
        <v>116045</v>
      </c>
      <c r="C196" s="55">
        <v>26</v>
      </c>
      <c r="D196" s="55">
        <v>8</v>
      </c>
      <c r="E196" s="55">
        <v>7</v>
      </c>
      <c r="F196" s="55">
        <v>2</v>
      </c>
      <c r="G196" s="57">
        <v>960000</v>
      </c>
      <c r="H196" s="57">
        <v>650000</v>
      </c>
      <c r="I196" s="57">
        <v>0</v>
      </c>
      <c r="J196" s="57">
        <v>650000</v>
      </c>
    </row>
    <row r="197" spans="1:10" ht="15" x14ac:dyDescent="0.4">
      <c r="A197" s="54">
        <v>46034</v>
      </c>
      <c r="B197" s="57">
        <v>112695</v>
      </c>
      <c r="C197" s="55">
        <v>26</v>
      </c>
      <c r="D197" s="55">
        <v>9</v>
      </c>
      <c r="E197" s="55">
        <v>5</v>
      </c>
      <c r="F197" s="55">
        <v>0</v>
      </c>
      <c r="G197" s="57">
        <v>0</v>
      </c>
      <c r="H197" s="57">
        <v>820000</v>
      </c>
      <c r="I197" s="57">
        <v>0</v>
      </c>
      <c r="J197" s="57">
        <v>820000</v>
      </c>
    </row>
    <row r="198" spans="1:10" ht="15" x14ac:dyDescent="0.4">
      <c r="A198" s="54">
        <v>46035</v>
      </c>
      <c r="B198" s="57">
        <v>115338</v>
      </c>
      <c r="C198" s="55">
        <v>37</v>
      </c>
      <c r="D198" s="55">
        <v>9</v>
      </c>
      <c r="E198" s="55">
        <v>4</v>
      </c>
      <c r="F198" s="55">
        <v>0</v>
      </c>
      <c r="G198" s="57">
        <v>0</v>
      </c>
      <c r="H198" s="57">
        <v>340000</v>
      </c>
      <c r="I198" s="57">
        <v>0</v>
      </c>
      <c r="J198" s="57">
        <v>340000</v>
      </c>
    </row>
    <row r="199" spans="1:10" ht="15" x14ac:dyDescent="0.4">
      <c r="A199" s="54">
        <v>46036</v>
      </c>
      <c r="B199" s="57">
        <v>116694</v>
      </c>
      <c r="C199" s="55">
        <v>33</v>
      </c>
      <c r="D199" s="55">
        <v>7</v>
      </c>
      <c r="E199" s="55">
        <v>5</v>
      </c>
      <c r="F199" s="55">
        <v>0</v>
      </c>
      <c r="G199" s="57">
        <v>0</v>
      </c>
      <c r="H199" s="57">
        <v>0</v>
      </c>
      <c r="I199" s="57">
        <v>0</v>
      </c>
      <c r="J199" s="57">
        <v>0</v>
      </c>
    </row>
    <row r="200" spans="1:10" ht="15" x14ac:dyDescent="0.4">
      <c r="A200" s="54">
        <v>46037</v>
      </c>
      <c r="B200" s="57">
        <v>108081</v>
      </c>
      <c r="C200" s="55">
        <v>35</v>
      </c>
      <c r="D200" s="55">
        <v>6</v>
      </c>
      <c r="E200" s="55">
        <v>5</v>
      </c>
      <c r="F200" s="55">
        <v>1</v>
      </c>
      <c r="G200" s="57">
        <v>150000</v>
      </c>
      <c r="H200" s="57">
        <v>320000</v>
      </c>
      <c r="I200" s="57">
        <v>0</v>
      </c>
      <c r="J200" s="57">
        <v>320000</v>
      </c>
    </row>
    <row r="201" spans="1:10" ht="15" x14ac:dyDescent="0.4">
      <c r="A201" s="54">
        <v>46038</v>
      </c>
      <c r="B201" s="57">
        <v>113905</v>
      </c>
      <c r="C201" s="55">
        <v>33</v>
      </c>
      <c r="D201" s="55">
        <v>9</v>
      </c>
      <c r="E201" s="55">
        <v>1</v>
      </c>
      <c r="F201" s="55">
        <v>0</v>
      </c>
      <c r="G201" s="57">
        <v>0</v>
      </c>
      <c r="H201" s="57">
        <v>0</v>
      </c>
      <c r="I201" s="57">
        <v>0</v>
      </c>
      <c r="J201" s="57">
        <v>0</v>
      </c>
    </row>
    <row r="202" spans="1:10" ht="15" x14ac:dyDescent="0.4">
      <c r="A202" s="54">
        <v>46039</v>
      </c>
      <c r="B202" s="57">
        <v>113159</v>
      </c>
      <c r="C202" s="55">
        <v>21</v>
      </c>
      <c r="D202" s="55">
        <v>5</v>
      </c>
      <c r="E202" s="55">
        <v>8</v>
      </c>
      <c r="F202" s="55">
        <v>1</v>
      </c>
      <c r="G202" s="57">
        <v>150000</v>
      </c>
      <c r="H202" s="57">
        <v>320000</v>
      </c>
      <c r="I202" s="57">
        <v>0</v>
      </c>
      <c r="J202" s="57">
        <v>320000</v>
      </c>
    </row>
    <row r="203" spans="1:10" ht="15" x14ac:dyDescent="0.4">
      <c r="A203" s="54">
        <v>46040</v>
      </c>
      <c r="B203" s="57">
        <v>110796</v>
      </c>
      <c r="C203" s="55">
        <v>23</v>
      </c>
      <c r="D203" s="55">
        <v>9</v>
      </c>
      <c r="E203" s="55">
        <v>3</v>
      </c>
      <c r="F203" s="55">
        <v>2</v>
      </c>
      <c r="G203" s="57">
        <v>660000</v>
      </c>
      <c r="H203" s="57">
        <v>320000</v>
      </c>
      <c r="I203" s="57">
        <v>0</v>
      </c>
      <c r="J203" s="57">
        <v>320000</v>
      </c>
    </row>
    <row r="204" spans="1:10" ht="15" x14ac:dyDescent="0.4">
      <c r="A204" s="54">
        <v>46041</v>
      </c>
      <c r="B204" s="57">
        <v>109236</v>
      </c>
      <c r="C204" s="55">
        <v>35</v>
      </c>
      <c r="D204" s="55">
        <v>7</v>
      </c>
      <c r="E204" s="55">
        <v>4</v>
      </c>
      <c r="F204" s="55">
        <v>0</v>
      </c>
      <c r="G204" s="57">
        <v>0</v>
      </c>
      <c r="H204" s="57">
        <v>0</v>
      </c>
      <c r="I204" s="57">
        <v>0</v>
      </c>
      <c r="J204" s="57">
        <v>0</v>
      </c>
    </row>
    <row r="205" spans="1:10" ht="15" x14ac:dyDescent="0.4">
      <c r="A205" s="54">
        <v>46042</v>
      </c>
      <c r="B205" s="57">
        <v>113736</v>
      </c>
      <c r="C205" s="55">
        <v>52</v>
      </c>
      <c r="D205" s="55">
        <v>10</v>
      </c>
      <c r="E205" s="55">
        <v>5</v>
      </c>
      <c r="F205" s="55">
        <v>0</v>
      </c>
      <c r="G205" s="57">
        <v>0</v>
      </c>
      <c r="H205" s="57">
        <v>0</v>
      </c>
      <c r="I205" s="57">
        <v>0</v>
      </c>
      <c r="J205" s="57">
        <v>0</v>
      </c>
    </row>
    <row r="206" spans="1:10" ht="15" x14ac:dyDescent="0.4">
      <c r="A206" s="54">
        <v>46043</v>
      </c>
      <c r="B206" s="57">
        <v>114123</v>
      </c>
      <c r="C206" s="55">
        <v>39</v>
      </c>
      <c r="D206" s="55">
        <v>14</v>
      </c>
      <c r="E206" s="55">
        <v>3</v>
      </c>
      <c r="F206" s="55">
        <v>0</v>
      </c>
      <c r="G206" s="57">
        <v>0</v>
      </c>
      <c r="H206" s="57">
        <v>0</v>
      </c>
      <c r="I206" s="57">
        <v>0</v>
      </c>
      <c r="J206" s="57">
        <v>0</v>
      </c>
    </row>
    <row r="207" spans="1:10" ht="15" x14ac:dyDescent="0.4">
      <c r="A207" s="54">
        <v>46044</v>
      </c>
      <c r="B207" s="57">
        <v>113301</v>
      </c>
      <c r="C207" s="55">
        <v>30</v>
      </c>
      <c r="D207" s="55">
        <v>11</v>
      </c>
      <c r="E207" s="55">
        <v>5</v>
      </c>
      <c r="F207" s="55">
        <v>1</v>
      </c>
      <c r="G207" s="57">
        <v>480000</v>
      </c>
      <c r="H207" s="57">
        <v>0</v>
      </c>
      <c r="I207" s="57">
        <v>0</v>
      </c>
      <c r="J207" s="57">
        <v>0</v>
      </c>
    </row>
    <row r="208" spans="1:10" ht="15" x14ac:dyDescent="0.4">
      <c r="A208" s="54">
        <v>46045</v>
      </c>
      <c r="B208" s="57">
        <v>113321</v>
      </c>
      <c r="C208" s="55">
        <v>33</v>
      </c>
      <c r="D208" s="55">
        <v>17</v>
      </c>
      <c r="E208" s="55">
        <v>2</v>
      </c>
      <c r="F208" s="55">
        <v>1</v>
      </c>
      <c r="G208" s="57">
        <v>480000</v>
      </c>
      <c r="H208" s="57">
        <v>480000</v>
      </c>
      <c r="I208" s="57">
        <v>0</v>
      </c>
      <c r="J208" s="57">
        <v>480000</v>
      </c>
    </row>
    <row r="209" spans="1:10" ht="15" x14ac:dyDescent="0.4">
      <c r="A209" s="54">
        <v>46046</v>
      </c>
      <c r="B209" s="57">
        <v>109234</v>
      </c>
      <c r="C209" s="55">
        <v>18</v>
      </c>
      <c r="D209" s="55">
        <v>7</v>
      </c>
      <c r="E209" s="55">
        <v>7</v>
      </c>
      <c r="F209" s="55">
        <v>1</v>
      </c>
      <c r="G209" s="57">
        <v>510000</v>
      </c>
      <c r="H209" s="57">
        <v>170000</v>
      </c>
      <c r="I209" s="57">
        <v>0</v>
      </c>
      <c r="J209" s="57">
        <v>170000</v>
      </c>
    </row>
    <row r="210" spans="1:10" ht="15" x14ac:dyDescent="0.4">
      <c r="A210" s="54">
        <v>46047</v>
      </c>
      <c r="B210" s="57">
        <v>109091</v>
      </c>
      <c r="C210" s="55">
        <v>20</v>
      </c>
      <c r="D210" s="55">
        <v>12</v>
      </c>
      <c r="E210" s="55">
        <v>1</v>
      </c>
      <c r="F210" s="55">
        <v>1</v>
      </c>
      <c r="G210" s="57">
        <v>1500000</v>
      </c>
      <c r="H210" s="57">
        <v>2320000</v>
      </c>
      <c r="I210" s="57">
        <v>0</v>
      </c>
      <c r="J210" s="57">
        <v>2320000</v>
      </c>
    </row>
    <row r="211" spans="1:10" ht="15" x14ac:dyDescent="0.4">
      <c r="A211" s="54">
        <v>46048</v>
      </c>
      <c r="B211" s="57">
        <v>108644</v>
      </c>
      <c r="C211" s="55">
        <v>33</v>
      </c>
      <c r="D211" s="55">
        <v>8</v>
      </c>
      <c r="E211" s="55">
        <v>5</v>
      </c>
      <c r="F211" s="55">
        <v>0</v>
      </c>
      <c r="G211" s="57">
        <v>0</v>
      </c>
      <c r="H211" s="57">
        <v>750000</v>
      </c>
      <c r="I211" s="57">
        <v>0</v>
      </c>
      <c r="J211" s="57">
        <v>750000</v>
      </c>
    </row>
    <row r="212" spans="1:10" ht="15" x14ac:dyDescent="0.4">
      <c r="A212" s="54">
        <v>46049</v>
      </c>
      <c r="B212" s="57">
        <v>110229</v>
      </c>
      <c r="C212" s="55">
        <v>45</v>
      </c>
      <c r="D212" s="55">
        <v>3</v>
      </c>
      <c r="E212" s="55">
        <v>2</v>
      </c>
      <c r="F212" s="55">
        <v>1</v>
      </c>
      <c r="G212" s="57">
        <v>480000</v>
      </c>
      <c r="H212" s="57">
        <v>480000</v>
      </c>
      <c r="I212" s="57">
        <v>0</v>
      </c>
      <c r="J212" s="57">
        <v>480000</v>
      </c>
    </row>
    <row r="213" spans="1:10" ht="15" x14ac:dyDescent="0.4">
      <c r="A213" s="54">
        <v>46050</v>
      </c>
      <c r="B213" s="57">
        <v>110134</v>
      </c>
      <c r="C213" s="55">
        <v>45</v>
      </c>
      <c r="D213" s="55">
        <v>13</v>
      </c>
      <c r="E213" s="55">
        <v>2</v>
      </c>
      <c r="F213" s="55">
        <v>2</v>
      </c>
      <c r="G213" s="57">
        <v>990000</v>
      </c>
      <c r="H213" s="57">
        <v>480000</v>
      </c>
      <c r="I213" s="57">
        <v>0</v>
      </c>
      <c r="J213" s="57">
        <v>480000</v>
      </c>
    </row>
    <row r="214" spans="1:10" ht="15" x14ac:dyDescent="0.4">
      <c r="A214" s="54">
        <v>46051</v>
      </c>
      <c r="B214" s="57">
        <v>110663</v>
      </c>
      <c r="C214" s="55">
        <v>31</v>
      </c>
      <c r="D214" s="55">
        <v>11</v>
      </c>
      <c r="E214" s="55">
        <v>2</v>
      </c>
      <c r="F214" s="55">
        <v>2</v>
      </c>
      <c r="G214" s="57">
        <v>1650000</v>
      </c>
      <c r="H214" s="57">
        <v>150000</v>
      </c>
      <c r="I214" s="57">
        <v>0</v>
      </c>
      <c r="J214" s="57">
        <v>150000</v>
      </c>
    </row>
    <row r="215" spans="1:10" ht="15" x14ac:dyDescent="0.4">
      <c r="A215" s="54">
        <v>46052</v>
      </c>
      <c r="B215" s="57">
        <v>111910</v>
      </c>
      <c r="C215" s="55">
        <v>29</v>
      </c>
      <c r="D215" s="55">
        <v>10</v>
      </c>
      <c r="E215" s="55">
        <v>4</v>
      </c>
      <c r="F215" s="55">
        <v>1</v>
      </c>
      <c r="G215" s="57">
        <v>510000</v>
      </c>
      <c r="H215" s="57">
        <v>920000</v>
      </c>
      <c r="I215" s="57">
        <v>0</v>
      </c>
      <c r="J215" s="57">
        <v>920000</v>
      </c>
    </row>
    <row r="216" spans="1:10" ht="15" x14ac:dyDescent="0.4">
      <c r="A216" s="54">
        <v>46053</v>
      </c>
      <c r="B216" s="57">
        <v>112199</v>
      </c>
      <c r="C216" s="55">
        <v>25</v>
      </c>
      <c r="D216" s="55">
        <v>5</v>
      </c>
      <c r="E216" s="55">
        <v>5</v>
      </c>
      <c r="F216" s="55">
        <v>0</v>
      </c>
      <c r="G216" s="57">
        <v>0</v>
      </c>
      <c r="H216" s="57">
        <v>340000</v>
      </c>
      <c r="I216" s="57">
        <v>0</v>
      </c>
      <c r="J216" s="57">
        <v>340000</v>
      </c>
    </row>
    <row r="217" spans="1:10" ht="15" x14ac:dyDescent="0.4">
      <c r="A217" s="54">
        <v>46054</v>
      </c>
      <c r="B217" s="57">
        <v>102153</v>
      </c>
      <c r="C217" s="55">
        <v>24</v>
      </c>
      <c r="D217" s="55">
        <v>12</v>
      </c>
      <c r="E217" s="55">
        <v>8</v>
      </c>
      <c r="F217" s="55">
        <v>1</v>
      </c>
      <c r="G217" s="57">
        <v>510000</v>
      </c>
      <c r="H217" s="57">
        <v>0</v>
      </c>
      <c r="I217" s="57">
        <v>0</v>
      </c>
      <c r="J217" s="57">
        <v>0</v>
      </c>
    </row>
    <row r="218" spans="1:10" ht="15" x14ac:dyDescent="0.4">
      <c r="A218" s="54">
        <v>46055</v>
      </c>
      <c r="B218" s="57">
        <v>103272</v>
      </c>
      <c r="C218" s="55">
        <v>41</v>
      </c>
      <c r="D218" s="55">
        <v>3</v>
      </c>
      <c r="E218" s="55">
        <v>5</v>
      </c>
      <c r="F218" s="55">
        <v>2</v>
      </c>
      <c r="G218" s="57">
        <v>990000</v>
      </c>
      <c r="H218" s="57">
        <v>820000</v>
      </c>
      <c r="I218" s="57">
        <v>0</v>
      </c>
      <c r="J218" s="57">
        <v>820000</v>
      </c>
    </row>
    <row r="219" spans="1:10" ht="15" x14ac:dyDescent="0.4">
      <c r="A219" s="54">
        <v>46056</v>
      </c>
      <c r="B219" s="57">
        <v>110982</v>
      </c>
      <c r="C219" s="55">
        <v>46</v>
      </c>
      <c r="D219" s="55">
        <v>10</v>
      </c>
      <c r="E219" s="55">
        <v>3</v>
      </c>
      <c r="F219" s="55">
        <v>2</v>
      </c>
      <c r="G219" s="57">
        <v>300000</v>
      </c>
      <c r="H219" s="57">
        <v>300000</v>
      </c>
      <c r="I219" s="57">
        <v>0</v>
      </c>
      <c r="J219" s="57">
        <v>300000</v>
      </c>
    </row>
    <row r="220" spans="1:10" ht="15" x14ac:dyDescent="0.4">
      <c r="A220" s="54">
        <v>46057</v>
      </c>
      <c r="B220" s="57">
        <v>110228</v>
      </c>
      <c r="C220" s="55">
        <v>30</v>
      </c>
      <c r="D220" s="55">
        <v>11</v>
      </c>
      <c r="E220" s="55">
        <v>3</v>
      </c>
      <c r="F220" s="55">
        <v>2</v>
      </c>
      <c r="G220" s="57">
        <v>300000</v>
      </c>
      <c r="H220" s="57">
        <v>1220000</v>
      </c>
      <c r="I220" s="57">
        <v>0</v>
      </c>
      <c r="J220" s="57">
        <v>1220000</v>
      </c>
    </row>
    <row r="221" spans="1:10" ht="15" x14ac:dyDescent="0.4">
      <c r="A221" s="54">
        <v>46058</v>
      </c>
      <c r="B221" s="57">
        <v>109264</v>
      </c>
      <c r="C221" s="55">
        <v>28</v>
      </c>
      <c r="D221" s="55">
        <v>14</v>
      </c>
      <c r="E221" s="55">
        <v>5</v>
      </c>
      <c r="F221" s="55">
        <v>1</v>
      </c>
      <c r="G221" s="57">
        <v>510000</v>
      </c>
      <c r="H221" s="57">
        <v>0</v>
      </c>
      <c r="I221" s="57">
        <v>0</v>
      </c>
      <c r="J221" s="57">
        <v>0</v>
      </c>
    </row>
    <row r="222" spans="1:10" ht="15" x14ac:dyDescent="0.4">
      <c r="A222" s="54">
        <v>46059</v>
      </c>
      <c r="B222" s="57">
        <v>105827</v>
      </c>
      <c r="C222" s="55">
        <v>23</v>
      </c>
      <c r="D222" s="55">
        <v>11</v>
      </c>
      <c r="E222" s="55">
        <v>5</v>
      </c>
      <c r="F222" s="55">
        <v>1</v>
      </c>
      <c r="G222" s="57">
        <v>480000</v>
      </c>
      <c r="H222" s="57">
        <v>170000</v>
      </c>
      <c r="I222" s="57">
        <v>0</v>
      </c>
      <c r="J222" s="57">
        <v>170000</v>
      </c>
    </row>
    <row r="223" spans="1:10" ht="15" x14ac:dyDescent="0.4">
      <c r="A223" s="54">
        <v>46060</v>
      </c>
      <c r="B223" s="57">
        <v>118599</v>
      </c>
      <c r="C223" s="55">
        <v>23</v>
      </c>
      <c r="D223" s="55">
        <v>4</v>
      </c>
      <c r="E223" s="55">
        <v>4</v>
      </c>
      <c r="F223" s="55">
        <v>1</v>
      </c>
      <c r="G223" s="57">
        <v>150000</v>
      </c>
      <c r="H223" s="57">
        <v>320000</v>
      </c>
      <c r="I223" s="57">
        <v>0</v>
      </c>
      <c r="J223" s="57">
        <v>320000</v>
      </c>
    </row>
    <row r="224" spans="1:10" ht="15" x14ac:dyDescent="0.4">
      <c r="A224" s="54">
        <v>46061</v>
      </c>
      <c r="B224" s="57">
        <v>112017</v>
      </c>
      <c r="C224" s="55">
        <v>29</v>
      </c>
      <c r="D224" s="55">
        <v>9</v>
      </c>
      <c r="E224" s="55">
        <v>2</v>
      </c>
      <c r="F224" s="55">
        <v>1</v>
      </c>
      <c r="G224" s="57">
        <v>150000</v>
      </c>
      <c r="H224" s="57">
        <v>630000</v>
      </c>
      <c r="I224" s="57">
        <v>0</v>
      </c>
      <c r="J224" s="57">
        <v>630000</v>
      </c>
    </row>
    <row r="225" spans="1:10" ht="15" x14ac:dyDescent="0.4">
      <c r="A225" s="54">
        <v>46062</v>
      </c>
      <c r="B225" s="57">
        <v>111994</v>
      </c>
      <c r="C225" s="55">
        <v>31</v>
      </c>
      <c r="D225" s="55">
        <v>6</v>
      </c>
      <c r="E225" s="55">
        <v>1</v>
      </c>
      <c r="F225" s="55">
        <v>1</v>
      </c>
      <c r="G225" s="57">
        <v>150000</v>
      </c>
      <c r="H225" s="57">
        <v>150000</v>
      </c>
      <c r="I225" s="57">
        <v>0</v>
      </c>
      <c r="J225" s="57">
        <v>150000</v>
      </c>
    </row>
    <row r="226" spans="1:10" ht="15" x14ac:dyDescent="0.4">
      <c r="A226" s="54">
        <v>46063</v>
      </c>
      <c r="B226" s="57">
        <v>113111</v>
      </c>
      <c r="C226" s="55">
        <v>33</v>
      </c>
      <c r="D226" s="55">
        <v>9</v>
      </c>
      <c r="E226" s="55">
        <v>4</v>
      </c>
      <c r="F226" s="55">
        <v>0</v>
      </c>
      <c r="G226" s="57">
        <v>0</v>
      </c>
      <c r="H226" s="57">
        <v>170000</v>
      </c>
      <c r="I226" s="57">
        <v>0</v>
      </c>
      <c r="J226" s="57">
        <v>170000</v>
      </c>
    </row>
    <row r="227" spans="1:10" ht="15" x14ac:dyDescent="0.4">
      <c r="A227" s="54">
        <v>46064</v>
      </c>
      <c r="B227" s="57">
        <v>107832</v>
      </c>
      <c r="C227" s="55">
        <v>25</v>
      </c>
      <c r="D227" s="55">
        <v>13</v>
      </c>
      <c r="E227" s="55">
        <v>6</v>
      </c>
      <c r="F227" s="55">
        <v>0</v>
      </c>
      <c r="G227" s="57">
        <v>0</v>
      </c>
      <c r="H227" s="57">
        <v>170000</v>
      </c>
      <c r="I227" s="57">
        <v>0</v>
      </c>
      <c r="J227" s="57">
        <v>170000</v>
      </c>
    </row>
    <row r="228" spans="1:10" ht="15" x14ac:dyDescent="0.4">
      <c r="A228" s="54">
        <v>46065</v>
      </c>
      <c r="B228" s="57">
        <v>102629</v>
      </c>
      <c r="C228" s="55">
        <v>40</v>
      </c>
      <c r="D228" s="55">
        <v>10</v>
      </c>
      <c r="E228" s="55">
        <v>4</v>
      </c>
      <c r="F228" s="55">
        <v>1</v>
      </c>
      <c r="G228" s="57">
        <v>480000</v>
      </c>
      <c r="H228" s="57">
        <v>0</v>
      </c>
      <c r="I228" s="57">
        <v>0</v>
      </c>
      <c r="J228" s="57">
        <v>0</v>
      </c>
    </row>
    <row r="229" spans="1:10" ht="15" x14ac:dyDescent="0.4">
      <c r="A229" s="54">
        <v>46066</v>
      </c>
      <c r="B229" s="57">
        <v>109771</v>
      </c>
      <c r="C229" s="55">
        <v>31</v>
      </c>
      <c r="D229" s="55">
        <v>7</v>
      </c>
      <c r="E229" s="55">
        <v>3</v>
      </c>
      <c r="F229" s="55">
        <v>0</v>
      </c>
      <c r="G229" s="57">
        <v>0</v>
      </c>
      <c r="H229" s="57">
        <v>480000</v>
      </c>
      <c r="I229" s="57">
        <v>0</v>
      </c>
      <c r="J229" s="57">
        <v>480000</v>
      </c>
    </row>
    <row r="230" spans="1:10" ht="15" x14ac:dyDescent="0.4">
      <c r="A230" s="54">
        <v>46067</v>
      </c>
      <c r="B230" s="57">
        <v>113000</v>
      </c>
      <c r="C230" s="55">
        <v>26</v>
      </c>
      <c r="D230" s="55">
        <v>12</v>
      </c>
      <c r="E230" s="55">
        <v>3</v>
      </c>
      <c r="F230" s="55">
        <v>0</v>
      </c>
      <c r="G230" s="57">
        <v>0</v>
      </c>
      <c r="H230" s="57">
        <v>170000</v>
      </c>
      <c r="I230" s="57">
        <v>0</v>
      </c>
      <c r="J230" s="57">
        <v>170000</v>
      </c>
    </row>
    <row r="231" spans="1:10" ht="15" x14ac:dyDescent="0.4">
      <c r="A231" s="54">
        <v>46068</v>
      </c>
      <c r="B231" s="57">
        <v>111041</v>
      </c>
      <c r="C231" s="55">
        <v>17</v>
      </c>
      <c r="D231" s="55">
        <v>14</v>
      </c>
      <c r="E231" s="55">
        <v>6</v>
      </c>
      <c r="F231" s="55">
        <v>1</v>
      </c>
      <c r="G231" s="57">
        <v>480000</v>
      </c>
      <c r="H231" s="57">
        <v>480000</v>
      </c>
      <c r="I231" s="57">
        <v>0</v>
      </c>
      <c r="J231" s="57">
        <v>480000</v>
      </c>
    </row>
    <row r="232" spans="1:10" ht="15" x14ac:dyDescent="0.4">
      <c r="A232" s="54">
        <v>46069</v>
      </c>
      <c r="B232" s="57">
        <v>113207</v>
      </c>
      <c r="C232" s="55">
        <v>38</v>
      </c>
      <c r="D232" s="55">
        <v>12</v>
      </c>
      <c r="E232" s="55">
        <v>4</v>
      </c>
      <c r="F232" s="55">
        <v>1</v>
      </c>
      <c r="G232" s="57">
        <v>480000</v>
      </c>
      <c r="H232" s="57">
        <v>480000</v>
      </c>
      <c r="I232" s="57">
        <v>0</v>
      </c>
      <c r="J232" s="57">
        <v>480000</v>
      </c>
    </row>
    <row r="233" spans="1:10" ht="15" x14ac:dyDescent="0.4">
      <c r="A233" s="54">
        <v>46070</v>
      </c>
      <c r="B233" s="57">
        <v>108698</v>
      </c>
      <c r="C233" s="55">
        <v>36</v>
      </c>
      <c r="D233" s="55">
        <v>8</v>
      </c>
      <c r="E233" s="55">
        <v>8</v>
      </c>
      <c r="F233" s="55">
        <v>0</v>
      </c>
      <c r="G233" s="57">
        <v>0</v>
      </c>
      <c r="H233" s="57">
        <v>170000</v>
      </c>
      <c r="I233" s="57">
        <v>0</v>
      </c>
      <c r="J233" s="57">
        <v>170000</v>
      </c>
    </row>
    <row r="234" spans="1:10" ht="15" x14ac:dyDescent="0.4">
      <c r="A234" s="54">
        <v>46071</v>
      </c>
      <c r="B234" s="57">
        <v>109146</v>
      </c>
      <c r="C234" s="55">
        <v>27</v>
      </c>
      <c r="D234" s="55">
        <v>13</v>
      </c>
      <c r="E234" s="55">
        <v>7</v>
      </c>
      <c r="F234" s="55">
        <v>0</v>
      </c>
      <c r="G234" s="57">
        <v>0</v>
      </c>
      <c r="H234" s="57">
        <v>0</v>
      </c>
      <c r="I234" s="57">
        <v>0</v>
      </c>
      <c r="J234" s="57">
        <v>0</v>
      </c>
    </row>
    <row r="235" spans="1:10" ht="15" x14ac:dyDescent="0.4">
      <c r="A235" s="54">
        <v>46072</v>
      </c>
      <c r="B235" s="57">
        <v>107756</v>
      </c>
      <c r="C235" s="55">
        <v>18</v>
      </c>
      <c r="D235" s="55">
        <v>5</v>
      </c>
      <c r="E235" s="55">
        <v>5</v>
      </c>
      <c r="F235" s="55">
        <v>1</v>
      </c>
      <c r="G235" s="57">
        <v>150000</v>
      </c>
      <c r="H235" s="57">
        <v>150000</v>
      </c>
      <c r="I235" s="57">
        <v>0</v>
      </c>
      <c r="J235" s="57">
        <v>150000</v>
      </c>
    </row>
    <row r="236" spans="1:10" ht="15" x14ac:dyDescent="0.4">
      <c r="A236" s="54">
        <v>46073</v>
      </c>
      <c r="B236" s="57">
        <v>105164</v>
      </c>
      <c r="C236" s="55">
        <v>24</v>
      </c>
      <c r="D236" s="55">
        <v>9</v>
      </c>
      <c r="E236" s="55">
        <v>2</v>
      </c>
      <c r="F236" s="55">
        <v>1</v>
      </c>
      <c r="G236" s="57">
        <v>150000</v>
      </c>
      <c r="H236" s="57">
        <v>150000</v>
      </c>
      <c r="I236" s="57">
        <v>0</v>
      </c>
      <c r="J236" s="57">
        <v>150000</v>
      </c>
    </row>
    <row r="237" spans="1:10" ht="15" x14ac:dyDescent="0.4">
      <c r="A237" s="54">
        <v>46074</v>
      </c>
      <c r="B237" s="57">
        <v>104276</v>
      </c>
      <c r="C237" s="55">
        <v>25</v>
      </c>
      <c r="D237" s="55">
        <v>7</v>
      </c>
      <c r="E237" s="55">
        <v>7</v>
      </c>
      <c r="F237" s="55">
        <v>1</v>
      </c>
      <c r="G237" s="57">
        <v>480000</v>
      </c>
      <c r="H237" s="57">
        <v>480000</v>
      </c>
      <c r="I237" s="57">
        <v>0</v>
      </c>
      <c r="J237" s="57">
        <v>480000</v>
      </c>
    </row>
    <row r="238" spans="1:10" ht="15" x14ac:dyDescent="0.4">
      <c r="A238" s="54">
        <v>46075</v>
      </c>
      <c r="B238" s="57">
        <v>113838</v>
      </c>
      <c r="C238" s="55">
        <v>22</v>
      </c>
      <c r="D238" s="55">
        <v>5</v>
      </c>
      <c r="E238" s="55">
        <v>2</v>
      </c>
      <c r="F238" s="55">
        <v>1</v>
      </c>
      <c r="G238" s="57">
        <v>480000</v>
      </c>
      <c r="H238" s="57">
        <v>0</v>
      </c>
      <c r="I238" s="57">
        <v>0</v>
      </c>
      <c r="J238" s="57">
        <v>0</v>
      </c>
    </row>
    <row r="239" spans="1:10" ht="15" x14ac:dyDescent="0.4">
      <c r="A239" s="54">
        <v>46076</v>
      </c>
      <c r="B239" s="57">
        <v>105906</v>
      </c>
      <c r="C239" s="55">
        <v>31</v>
      </c>
      <c r="D239" s="55">
        <v>10</v>
      </c>
      <c r="E239" s="55">
        <v>2</v>
      </c>
      <c r="F239" s="55">
        <v>1</v>
      </c>
      <c r="G239" s="57">
        <v>480000</v>
      </c>
      <c r="H239" s="57">
        <v>1130000</v>
      </c>
      <c r="I239" s="57">
        <v>0</v>
      </c>
      <c r="J239" s="57">
        <v>1130000</v>
      </c>
    </row>
    <row r="240" spans="1:10" ht="15" x14ac:dyDescent="0.4">
      <c r="A240" s="54">
        <v>46077</v>
      </c>
      <c r="B240" s="57">
        <v>113295</v>
      </c>
      <c r="C240" s="55">
        <v>44</v>
      </c>
      <c r="D240" s="55">
        <v>9</v>
      </c>
      <c r="E240" s="55">
        <v>7</v>
      </c>
      <c r="F240" s="55">
        <v>1</v>
      </c>
      <c r="G240" s="57">
        <v>1500000</v>
      </c>
      <c r="H240" s="57">
        <v>340000</v>
      </c>
      <c r="I240" s="57">
        <v>0</v>
      </c>
      <c r="J240" s="57">
        <v>340000</v>
      </c>
    </row>
    <row r="241" spans="1:10" ht="15" x14ac:dyDescent="0.4">
      <c r="A241" s="54">
        <v>46078</v>
      </c>
      <c r="B241" s="57">
        <v>106663</v>
      </c>
      <c r="C241" s="55">
        <v>37</v>
      </c>
      <c r="D241" s="55">
        <v>9</v>
      </c>
      <c r="E241" s="55">
        <v>5</v>
      </c>
      <c r="F241" s="55">
        <v>2</v>
      </c>
      <c r="G241" s="57">
        <v>990000</v>
      </c>
      <c r="H241" s="57">
        <v>0</v>
      </c>
      <c r="I241" s="57">
        <v>0</v>
      </c>
      <c r="J241" s="57">
        <v>0</v>
      </c>
    </row>
    <row r="242" spans="1:10" ht="15" x14ac:dyDescent="0.4">
      <c r="A242" s="54">
        <v>46079</v>
      </c>
      <c r="B242" s="57">
        <v>110642</v>
      </c>
      <c r="C242" s="55">
        <v>27</v>
      </c>
      <c r="D242" s="55">
        <v>13</v>
      </c>
      <c r="E242" s="55">
        <v>4</v>
      </c>
      <c r="F242" s="55">
        <v>3</v>
      </c>
      <c r="G242" s="57">
        <v>2460000</v>
      </c>
      <c r="H242" s="57">
        <v>960000</v>
      </c>
      <c r="I242" s="57">
        <v>0</v>
      </c>
      <c r="J242" s="57">
        <v>960000</v>
      </c>
    </row>
    <row r="243" spans="1:10" ht="15" x14ac:dyDescent="0.4">
      <c r="A243" s="54">
        <v>46080</v>
      </c>
      <c r="B243" s="57">
        <v>110725</v>
      </c>
      <c r="C243" s="55">
        <v>22</v>
      </c>
      <c r="D243" s="55">
        <v>12</v>
      </c>
      <c r="E243" s="55">
        <v>7</v>
      </c>
      <c r="F243" s="55">
        <v>3</v>
      </c>
      <c r="G243" s="57">
        <v>1500000</v>
      </c>
      <c r="H243" s="57">
        <v>2630000</v>
      </c>
      <c r="I243" s="57">
        <v>0</v>
      </c>
      <c r="J243" s="57">
        <v>2630000</v>
      </c>
    </row>
    <row r="244" spans="1:10" ht="15" x14ac:dyDescent="0.4">
      <c r="A244" s="54">
        <v>46081</v>
      </c>
      <c r="B244" s="57">
        <v>105090</v>
      </c>
      <c r="C244" s="55">
        <v>22</v>
      </c>
      <c r="D244" s="55">
        <v>10</v>
      </c>
      <c r="E244" s="55">
        <v>4</v>
      </c>
      <c r="F244" s="55">
        <v>3</v>
      </c>
      <c r="G244" s="57">
        <v>1500000</v>
      </c>
      <c r="H244" s="57">
        <v>340000</v>
      </c>
      <c r="I244" s="57">
        <v>0</v>
      </c>
      <c r="J244" s="57">
        <v>340000</v>
      </c>
    </row>
    <row r="245" spans="1:10" ht="15" x14ac:dyDescent="0.4">
      <c r="A245" s="54">
        <v>46082</v>
      </c>
      <c r="B245" s="57">
        <v>114611</v>
      </c>
      <c r="C245" s="55">
        <v>22</v>
      </c>
      <c r="D245" s="55">
        <v>8</v>
      </c>
      <c r="E245" s="55">
        <v>6</v>
      </c>
      <c r="F245" s="55">
        <v>1</v>
      </c>
      <c r="G245" s="57">
        <v>510000</v>
      </c>
      <c r="H245" s="57">
        <v>1400000</v>
      </c>
      <c r="I245" s="57">
        <v>0</v>
      </c>
      <c r="J245" s="57">
        <v>1400000</v>
      </c>
    </row>
    <row r="246" spans="1:10" ht="15" x14ac:dyDescent="0.4">
      <c r="A246" s="54">
        <v>46083</v>
      </c>
      <c r="B246" s="57">
        <v>108518</v>
      </c>
      <c r="C246" s="55">
        <v>39</v>
      </c>
      <c r="D246" s="55">
        <v>5</v>
      </c>
      <c r="E246" s="55">
        <v>4</v>
      </c>
      <c r="F246" s="55">
        <v>1</v>
      </c>
      <c r="G246" s="57">
        <v>1500000</v>
      </c>
      <c r="H246" s="57">
        <v>510000</v>
      </c>
      <c r="I246" s="57">
        <v>0</v>
      </c>
      <c r="J246" s="57">
        <v>510000</v>
      </c>
    </row>
    <row r="247" spans="1:10" ht="15" x14ac:dyDescent="0.4">
      <c r="A247" s="54">
        <v>46084</v>
      </c>
      <c r="B247" s="57">
        <v>106958</v>
      </c>
      <c r="C247" s="55">
        <v>31</v>
      </c>
      <c r="D247" s="55">
        <v>11</v>
      </c>
      <c r="E247" s="55">
        <v>9</v>
      </c>
      <c r="F247" s="55">
        <v>2</v>
      </c>
      <c r="G247" s="57">
        <v>1650000</v>
      </c>
      <c r="H247" s="57">
        <v>150000</v>
      </c>
      <c r="I247" s="57">
        <v>0</v>
      </c>
      <c r="J247" s="57">
        <v>150000</v>
      </c>
    </row>
    <row r="248" spans="1:10" ht="15" x14ac:dyDescent="0.4">
      <c r="A248" s="54">
        <v>46085</v>
      </c>
      <c r="B248" s="57">
        <v>106387</v>
      </c>
      <c r="C248" s="55">
        <v>29</v>
      </c>
      <c r="D248" s="55">
        <v>7</v>
      </c>
      <c r="E248" s="55">
        <v>3</v>
      </c>
      <c r="F248" s="55">
        <v>0</v>
      </c>
      <c r="G248" s="57">
        <v>0</v>
      </c>
      <c r="H248" s="57">
        <v>2420000</v>
      </c>
      <c r="I248" s="57">
        <v>0</v>
      </c>
      <c r="J248" s="57">
        <v>2420000</v>
      </c>
    </row>
    <row r="249" spans="1:10" ht="15" x14ac:dyDescent="0.4">
      <c r="A249" s="54">
        <v>46086</v>
      </c>
      <c r="B249" s="57">
        <v>112903</v>
      </c>
      <c r="C249" s="55">
        <v>34</v>
      </c>
      <c r="D249" s="55">
        <v>8</v>
      </c>
      <c r="E249" s="55">
        <v>5</v>
      </c>
      <c r="F249" s="55">
        <v>1</v>
      </c>
      <c r="G249" s="57">
        <v>1500000</v>
      </c>
      <c r="H249" s="57">
        <v>0</v>
      </c>
      <c r="I249" s="57">
        <v>0</v>
      </c>
      <c r="J249" s="57">
        <v>0</v>
      </c>
    </row>
    <row r="250" spans="1:10" ht="15" x14ac:dyDescent="0.4">
      <c r="A250" s="54">
        <v>46087</v>
      </c>
      <c r="B250" s="57">
        <v>108629</v>
      </c>
      <c r="C250" s="55">
        <v>26</v>
      </c>
      <c r="D250" s="55">
        <v>12</v>
      </c>
      <c r="E250" s="55">
        <v>7</v>
      </c>
      <c r="F250" s="55">
        <v>1</v>
      </c>
      <c r="G250" s="57">
        <v>1500000</v>
      </c>
      <c r="H250" s="57">
        <v>1670000</v>
      </c>
      <c r="I250" s="57">
        <v>0</v>
      </c>
      <c r="J250" s="57">
        <v>1670000</v>
      </c>
    </row>
    <row r="251" spans="1:10" ht="15" x14ac:dyDescent="0.4">
      <c r="A251" s="54">
        <v>46088</v>
      </c>
      <c r="B251" s="57">
        <v>111000</v>
      </c>
      <c r="C251" s="55">
        <v>20</v>
      </c>
      <c r="D251" s="55">
        <v>10</v>
      </c>
      <c r="E251" s="55">
        <v>5</v>
      </c>
      <c r="F251" s="55">
        <v>1</v>
      </c>
      <c r="G251" s="57">
        <v>150000</v>
      </c>
      <c r="H251" s="57">
        <v>1650000</v>
      </c>
      <c r="I251" s="57">
        <v>750000</v>
      </c>
      <c r="J251" s="57">
        <v>900000</v>
      </c>
    </row>
    <row r="252" spans="1:10" ht="15" x14ac:dyDescent="0.4">
      <c r="A252" s="54">
        <v>46089</v>
      </c>
      <c r="B252" s="57">
        <v>113070</v>
      </c>
      <c r="C252" s="55">
        <v>27</v>
      </c>
      <c r="D252" s="55">
        <v>10</v>
      </c>
      <c r="E252" s="55">
        <v>5</v>
      </c>
      <c r="F252" s="55">
        <v>2</v>
      </c>
      <c r="G252" s="57">
        <v>990000</v>
      </c>
      <c r="H252" s="57">
        <v>170000</v>
      </c>
      <c r="I252" s="57">
        <v>0</v>
      </c>
      <c r="J252" s="57">
        <v>170000</v>
      </c>
    </row>
    <row r="253" spans="1:10" ht="15" x14ac:dyDescent="0.4">
      <c r="A253" s="54">
        <v>46090</v>
      </c>
      <c r="B253" s="57">
        <v>111255</v>
      </c>
      <c r="C253" s="55">
        <v>29</v>
      </c>
      <c r="D253" s="55">
        <v>10</v>
      </c>
      <c r="E253" s="55">
        <v>4</v>
      </c>
      <c r="F253" s="55">
        <v>1</v>
      </c>
      <c r="G253" s="57">
        <v>150000</v>
      </c>
      <c r="H253" s="57">
        <v>800000</v>
      </c>
      <c r="I253" s="57">
        <v>0</v>
      </c>
      <c r="J253" s="57">
        <v>800000</v>
      </c>
    </row>
    <row r="254" spans="1:10" ht="15" x14ac:dyDescent="0.4">
      <c r="A254" s="54">
        <v>46091</v>
      </c>
      <c r="B254" s="57">
        <v>113063</v>
      </c>
      <c r="C254" s="55">
        <v>34</v>
      </c>
      <c r="D254" s="55">
        <v>4</v>
      </c>
      <c r="E254" s="55">
        <v>4</v>
      </c>
      <c r="F254" s="55">
        <v>3</v>
      </c>
      <c r="G254" s="57">
        <v>1470000</v>
      </c>
      <c r="H254" s="57">
        <v>170000</v>
      </c>
      <c r="I254" s="57">
        <v>0</v>
      </c>
      <c r="J254" s="57">
        <v>170000</v>
      </c>
    </row>
    <row r="255" spans="1:10" ht="15" x14ac:dyDescent="0.4">
      <c r="A255" s="54">
        <v>46092</v>
      </c>
      <c r="B255" s="57">
        <v>108306</v>
      </c>
      <c r="C255" s="55">
        <v>34</v>
      </c>
      <c r="D255" s="55">
        <v>8</v>
      </c>
      <c r="E255" s="55">
        <v>7</v>
      </c>
      <c r="F255" s="55">
        <v>2</v>
      </c>
      <c r="G255" s="57">
        <v>990000</v>
      </c>
      <c r="H255" s="57">
        <v>960000</v>
      </c>
      <c r="I255" s="57">
        <v>0</v>
      </c>
      <c r="J255" s="57">
        <v>960000</v>
      </c>
    </row>
    <row r="256" spans="1:10" ht="15" x14ac:dyDescent="0.4">
      <c r="A256" s="54">
        <v>46093</v>
      </c>
      <c r="B256" s="57">
        <v>117113</v>
      </c>
      <c r="C256" s="55">
        <v>52</v>
      </c>
      <c r="D256" s="55">
        <v>4</v>
      </c>
      <c r="E256" s="55">
        <v>3</v>
      </c>
      <c r="F256" s="55">
        <v>2</v>
      </c>
      <c r="G256" s="57">
        <v>1650000</v>
      </c>
      <c r="H256" s="57">
        <v>660000</v>
      </c>
      <c r="I256" s="57">
        <v>0</v>
      </c>
      <c r="J256" s="57">
        <v>660000</v>
      </c>
    </row>
    <row r="257" spans="1:10" ht="15" x14ac:dyDescent="0.4">
      <c r="A257" s="54">
        <v>46094</v>
      </c>
      <c r="B257" s="57">
        <v>110767</v>
      </c>
      <c r="C257" s="55">
        <v>35</v>
      </c>
      <c r="D257" s="55">
        <v>15</v>
      </c>
      <c r="E257" s="55">
        <v>1</v>
      </c>
      <c r="F257" s="55">
        <v>2</v>
      </c>
      <c r="G257" s="57">
        <v>1980000</v>
      </c>
      <c r="H257" s="57">
        <v>3480000</v>
      </c>
      <c r="I257" s="57">
        <v>0</v>
      </c>
      <c r="J257" s="57">
        <v>3480000</v>
      </c>
    </row>
    <row r="258" spans="1:10" ht="15" x14ac:dyDescent="0.4">
      <c r="A258" s="54">
        <v>46095</v>
      </c>
      <c r="B258" s="57">
        <v>109680</v>
      </c>
      <c r="C258" s="55">
        <v>12</v>
      </c>
      <c r="D258" s="55">
        <v>11</v>
      </c>
      <c r="E258" s="55">
        <v>3</v>
      </c>
      <c r="F258" s="55">
        <v>0</v>
      </c>
      <c r="G258" s="57">
        <v>0</v>
      </c>
      <c r="H258" s="57">
        <v>480000</v>
      </c>
      <c r="I258" s="57">
        <v>0</v>
      </c>
      <c r="J258" s="57">
        <v>480000</v>
      </c>
    </row>
    <row r="259" spans="1:10" ht="15" x14ac:dyDescent="0.4">
      <c r="A259" s="54">
        <v>46096</v>
      </c>
      <c r="B259" s="57">
        <v>96216</v>
      </c>
      <c r="C259" s="55">
        <v>152</v>
      </c>
      <c r="D259" s="55">
        <v>9</v>
      </c>
      <c r="E259" s="55">
        <v>3</v>
      </c>
      <c r="F259" s="55">
        <v>5</v>
      </c>
      <c r="G259" s="57">
        <v>3090000</v>
      </c>
      <c r="H259" s="57">
        <v>150000</v>
      </c>
      <c r="I259" s="57">
        <v>0</v>
      </c>
      <c r="J259" s="57">
        <v>150000</v>
      </c>
    </row>
    <row r="260" spans="1:10" ht="15" x14ac:dyDescent="0.4">
      <c r="A260" s="54">
        <v>46097</v>
      </c>
      <c r="B260" s="57">
        <v>91307</v>
      </c>
      <c r="C260" s="55">
        <v>29</v>
      </c>
      <c r="D260" s="55">
        <v>7</v>
      </c>
      <c r="E260" s="55">
        <v>2</v>
      </c>
      <c r="F260" s="55">
        <v>2</v>
      </c>
      <c r="G260" s="57">
        <v>960000</v>
      </c>
      <c r="H260" s="57">
        <v>2190000</v>
      </c>
      <c r="I260" s="57">
        <v>0</v>
      </c>
      <c r="J260" s="57">
        <v>2190000</v>
      </c>
    </row>
    <row r="261" spans="1:10" ht="15" x14ac:dyDescent="0.4">
      <c r="A261" s="54">
        <v>46098</v>
      </c>
      <c r="B261" s="57">
        <v>94404</v>
      </c>
      <c r="C261" s="55">
        <v>31</v>
      </c>
      <c r="D261" s="55">
        <v>11</v>
      </c>
      <c r="E261" s="55">
        <v>4</v>
      </c>
      <c r="F261" s="55">
        <v>2</v>
      </c>
      <c r="G261" s="57">
        <v>1650000</v>
      </c>
      <c r="H261" s="57">
        <v>2130000</v>
      </c>
      <c r="I261" s="57">
        <v>0</v>
      </c>
      <c r="J261" s="57">
        <v>2130000</v>
      </c>
    </row>
    <row r="262" spans="1:10" ht="15" x14ac:dyDescent="0.4">
      <c r="A262" s="54">
        <v>46099</v>
      </c>
      <c r="B262" s="57">
        <v>93661</v>
      </c>
      <c r="C262" s="55">
        <v>22</v>
      </c>
      <c r="D262" s="55">
        <v>7</v>
      </c>
      <c r="E262" s="55">
        <v>3</v>
      </c>
      <c r="F262" s="55">
        <v>1</v>
      </c>
      <c r="G262" s="57">
        <v>150000</v>
      </c>
      <c r="H262" s="57">
        <v>150000</v>
      </c>
      <c r="I262" s="57">
        <v>0</v>
      </c>
      <c r="J262" s="57">
        <v>150000</v>
      </c>
    </row>
    <row r="263" spans="1:10" ht="15" x14ac:dyDescent="0.4">
      <c r="A263" s="54">
        <v>46100</v>
      </c>
      <c r="B263" s="57">
        <v>92873</v>
      </c>
      <c r="C263" s="55">
        <v>32</v>
      </c>
      <c r="D263" s="55">
        <v>13</v>
      </c>
      <c r="E263" s="55">
        <v>3</v>
      </c>
      <c r="F263" s="55">
        <v>1</v>
      </c>
      <c r="G263" s="57">
        <v>480000</v>
      </c>
      <c r="H263" s="57">
        <v>170000</v>
      </c>
      <c r="I263" s="57">
        <v>0</v>
      </c>
      <c r="J263" s="57">
        <v>170000</v>
      </c>
    </row>
    <row r="264" spans="1:10" ht="15" x14ac:dyDescent="0.4">
      <c r="A264" s="54">
        <v>46101</v>
      </c>
      <c r="B264" s="57">
        <v>92934</v>
      </c>
      <c r="C264" s="55">
        <v>19</v>
      </c>
      <c r="D264" s="55">
        <v>6</v>
      </c>
      <c r="E264" s="55">
        <v>3</v>
      </c>
      <c r="F264" s="55">
        <v>1</v>
      </c>
      <c r="G264" s="57">
        <v>480000</v>
      </c>
      <c r="H264" s="57">
        <v>480000</v>
      </c>
      <c r="I264" s="57">
        <v>0</v>
      </c>
      <c r="J264" s="57">
        <v>480000</v>
      </c>
    </row>
    <row r="265" spans="1:10" ht="15" x14ac:dyDescent="0.4">
      <c r="A265" s="54">
        <v>46102</v>
      </c>
      <c r="B265" s="57">
        <v>90693</v>
      </c>
      <c r="C265" s="55">
        <v>18</v>
      </c>
      <c r="D265" s="55">
        <v>5</v>
      </c>
      <c r="E265" s="55">
        <v>2</v>
      </c>
      <c r="F265" s="55">
        <v>2</v>
      </c>
      <c r="G265" s="57">
        <v>1980000</v>
      </c>
      <c r="H265" s="57">
        <v>480000</v>
      </c>
      <c r="I265" s="57">
        <v>0</v>
      </c>
      <c r="J265" s="57">
        <v>480000</v>
      </c>
    </row>
    <row r="266" spans="1:10" ht="15" x14ac:dyDescent="0.4">
      <c r="A266" s="54">
        <v>46103</v>
      </c>
      <c r="B266" s="57">
        <v>101716</v>
      </c>
      <c r="C266" s="55">
        <v>24</v>
      </c>
      <c r="D266" s="55">
        <v>11</v>
      </c>
      <c r="E266" s="55">
        <v>9</v>
      </c>
      <c r="F266" s="55">
        <v>0</v>
      </c>
      <c r="G266" s="57">
        <v>0</v>
      </c>
      <c r="H266" s="57">
        <v>1230000</v>
      </c>
      <c r="I266" s="57">
        <v>0</v>
      </c>
      <c r="J266" s="57">
        <v>1230000</v>
      </c>
    </row>
    <row r="267" spans="1:10" ht="15" x14ac:dyDescent="0.4">
      <c r="A267" s="54">
        <v>46104</v>
      </c>
      <c r="B267" s="57">
        <v>90623</v>
      </c>
      <c r="C267" s="55">
        <v>29</v>
      </c>
      <c r="D267" s="55">
        <v>9</v>
      </c>
      <c r="E267" s="55">
        <v>4</v>
      </c>
      <c r="F267" s="55">
        <v>3</v>
      </c>
      <c r="G267" s="57">
        <v>2490000</v>
      </c>
      <c r="H267" s="57">
        <v>1500000</v>
      </c>
      <c r="I267" s="57">
        <v>0</v>
      </c>
      <c r="J267" s="57">
        <v>1500000</v>
      </c>
    </row>
    <row r="268" spans="1:10" ht="15" x14ac:dyDescent="0.4">
      <c r="A268" s="54">
        <v>46105</v>
      </c>
      <c r="B268" s="57">
        <v>92264</v>
      </c>
      <c r="C268" s="55">
        <v>32</v>
      </c>
      <c r="D268" s="55">
        <v>6</v>
      </c>
      <c r="E268" s="55">
        <v>3</v>
      </c>
      <c r="F268" s="55">
        <v>0</v>
      </c>
      <c r="G268" s="57">
        <v>0</v>
      </c>
      <c r="H268" s="57">
        <v>650000</v>
      </c>
      <c r="I268" s="57">
        <v>0</v>
      </c>
      <c r="J268" s="57">
        <v>650000</v>
      </c>
    </row>
    <row r="269" spans="1:10" ht="15" x14ac:dyDescent="0.4">
      <c r="A269" s="54">
        <v>46106</v>
      </c>
      <c r="B269" s="57">
        <v>94726</v>
      </c>
      <c r="C269" s="55">
        <v>23</v>
      </c>
      <c r="D269" s="55">
        <v>10</v>
      </c>
      <c r="E269" s="55">
        <v>2</v>
      </c>
      <c r="F269" s="55">
        <v>3</v>
      </c>
      <c r="G269" s="57">
        <v>1140000</v>
      </c>
      <c r="H269" s="57">
        <v>320000</v>
      </c>
      <c r="I269" s="57">
        <v>0</v>
      </c>
      <c r="J269" s="57">
        <v>320000</v>
      </c>
    </row>
    <row r="270" spans="1:10" ht="15" x14ac:dyDescent="0.4">
      <c r="A270" s="54">
        <v>46107</v>
      </c>
      <c r="B270" s="57">
        <v>93627</v>
      </c>
      <c r="C270" s="55">
        <v>26</v>
      </c>
      <c r="D270" s="55">
        <v>9</v>
      </c>
      <c r="E270" s="55">
        <v>3</v>
      </c>
      <c r="F270" s="55">
        <v>0</v>
      </c>
      <c r="G270" s="57">
        <v>0</v>
      </c>
      <c r="H270" s="57">
        <v>650000</v>
      </c>
      <c r="I270" s="57">
        <v>0</v>
      </c>
      <c r="J270" s="57">
        <v>650000</v>
      </c>
    </row>
    <row r="271" spans="1:10" ht="15" x14ac:dyDescent="0.4">
      <c r="A271" s="54">
        <v>46108</v>
      </c>
      <c r="B271" s="57">
        <v>97526</v>
      </c>
      <c r="C271" s="55">
        <v>29</v>
      </c>
      <c r="D271" s="55">
        <v>8</v>
      </c>
      <c r="E271" s="55">
        <v>3</v>
      </c>
      <c r="F271" s="55">
        <v>1</v>
      </c>
      <c r="G271" s="57">
        <v>480000</v>
      </c>
      <c r="H271" s="57">
        <v>0</v>
      </c>
      <c r="I271" s="57">
        <v>0</v>
      </c>
      <c r="J271" s="57">
        <v>0</v>
      </c>
    </row>
    <row r="272" spans="1:10" ht="15" x14ac:dyDescent="0.4">
      <c r="A272" s="54">
        <v>46109</v>
      </c>
      <c r="B272" s="57">
        <v>88374</v>
      </c>
      <c r="C272" s="55">
        <v>12</v>
      </c>
      <c r="D272" s="55">
        <v>3</v>
      </c>
      <c r="E272" s="55">
        <v>3</v>
      </c>
      <c r="F272" s="55">
        <v>1</v>
      </c>
      <c r="G272" s="57">
        <v>1500000</v>
      </c>
      <c r="H272" s="57">
        <v>480000</v>
      </c>
      <c r="I272" s="57">
        <v>0</v>
      </c>
      <c r="J272" s="57">
        <v>480000</v>
      </c>
    </row>
    <row r="273" spans="1:10" ht="15" x14ac:dyDescent="0.4">
      <c r="A273" s="54">
        <v>46110</v>
      </c>
      <c r="B273" s="57">
        <v>95216</v>
      </c>
      <c r="C273" s="55">
        <v>20</v>
      </c>
      <c r="D273" s="55">
        <v>8</v>
      </c>
      <c r="E273" s="55">
        <v>9</v>
      </c>
      <c r="F273" s="55">
        <v>3</v>
      </c>
      <c r="G273" s="57">
        <v>2460000</v>
      </c>
      <c r="H273" s="57">
        <v>1670000</v>
      </c>
      <c r="I273" s="57">
        <v>480000</v>
      </c>
      <c r="J273" s="57">
        <v>1190000</v>
      </c>
    </row>
    <row r="274" spans="1:10" ht="15" x14ac:dyDescent="0.4">
      <c r="A274" s="54">
        <v>46111</v>
      </c>
      <c r="B274" s="57">
        <v>92310</v>
      </c>
      <c r="C274" s="55">
        <v>37</v>
      </c>
      <c r="D274" s="55">
        <v>8</v>
      </c>
      <c r="E274" s="55">
        <v>3</v>
      </c>
      <c r="F274" s="55">
        <v>2</v>
      </c>
      <c r="G274" s="57">
        <v>630000</v>
      </c>
      <c r="H274" s="57">
        <v>970000</v>
      </c>
      <c r="I274" s="57">
        <v>0</v>
      </c>
      <c r="J274" s="57">
        <v>970000</v>
      </c>
    </row>
    <row r="275" spans="1:10" ht="15" x14ac:dyDescent="0.4">
      <c r="A275" s="54">
        <v>46112</v>
      </c>
      <c r="B275" s="57">
        <v>98734</v>
      </c>
      <c r="C275" s="55">
        <v>26</v>
      </c>
      <c r="D275" s="55">
        <v>6</v>
      </c>
      <c r="E275" s="55">
        <v>2</v>
      </c>
      <c r="F275" s="55">
        <v>1</v>
      </c>
      <c r="G275" s="57">
        <v>510000</v>
      </c>
      <c r="H275" s="57">
        <v>2050000</v>
      </c>
      <c r="I275" s="57">
        <v>0</v>
      </c>
      <c r="J275" s="57">
        <v>2050000</v>
      </c>
    </row>
    <row r="276" spans="1:10" ht="15" x14ac:dyDescent="0.4">
      <c r="A276" s="54">
        <v>46113</v>
      </c>
      <c r="B276" s="57">
        <v>100594</v>
      </c>
      <c r="C276" s="55">
        <v>31</v>
      </c>
      <c r="D276" s="55">
        <v>7</v>
      </c>
      <c r="E276" s="55">
        <v>3</v>
      </c>
      <c r="F276" s="55">
        <v>1</v>
      </c>
      <c r="G276" s="57">
        <v>480000</v>
      </c>
      <c r="H276" s="57">
        <v>510000</v>
      </c>
      <c r="I276" s="57">
        <v>0</v>
      </c>
      <c r="J276" s="57">
        <v>510000</v>
      </c>
    </row>
    <row r="277" spans="1:10" ht="15" x14ac:dyDescent="0.4">
      <c r="A277" s="54">
        <v>46114</v>
      </c>
      <c r="B277" s="57">
        <v>102412</v>
      </c>
      <c r="C277" s="55">
        <v>28</v>
      </c>
      <c r="D277" s="55">
        <v>9</v>
      </c>
      <c r="E277" s="55">
        <v>2</v>
      </c>
      <c r="F277" s="55">
        <v>3</v>
      </c>
      <c r="G277" s="57">
        <v>810000</v>
      </c>
      <c r="H277" s="57">
        <v>780000</v>
      </c>
      <c r="I277" s="57">
        <v>0</v>
      </c>
      <c r="J277" s="57">
        <v>780000</v>
      </c>
    </row>
    <row r="278" spans="1:10" ht="15" x14ac:dyDescent="0.4">
      <c r="A278" s="54">
        <v>46115</v>
      </c>
      <c r="B278" s="57">
        <v>94607</v>
      </c>
      <c r="C278" s="55">
        <v>32</v>
      </c>
      <c r="D278" s="55">
        <v>8</v>
      </c>
      <c r="E278" s="55">
        <v>6</v>
      </c>
      <c r="F278" s="55">
        <v>1</v>
      </c>
      <c r="G278" s="57">
        <v>1500000</v>
      </c>
      <c r="H278" s="57">
        <v>2590000</v>
      </c>
      <c r="I278" s="57">
        <v>0</v>
      </c>
      <c r="J278" s="57">
        <v>2590000</v>
      </c>
    </row>
    <row r="279" spans="1:10" ht="15" x14ac:dyDescent="0.4">
      <c r="A279" s="54">
        <v>46116</v>
      </c>
      <c r="B279" s="57">
        <v>105295</v>
      </c>
      <c r="C279" s="55">
        <v>22</v>
      </c>
      <c r="D279" s="55">
        <v>9</v>
      </c>
      <c r="E279" s="55">
        <v>1</v>
      </c>
      <c r="F279" s="55">
        <v>1</v>
      </c>
      <c r="G279" s="57">
        <v>150000</v>
      </c>
      <c r="H279" s="57">
        <v>150000</v>
      </c>
      <c r="I279" s="57">
        <v>750000</v>
      </c>
      <c r="J279" s="57">
        <v>-600000</v>
      </c>
    </row>
    <row r="280" spans="1:10" ht="15" x14ac:dyDescent="0.4">
      <c r="A280" s="54">
        <v>46117</v>
      </c>
      <c r="B280" s="57">
        <v>97532</v>
      </c>
      <c r="C280" s="55">
        <v>21</v>
      </c>
      <c r="D280" s="55">
        <v>13</v>
      </c>
      <c r="E280" s="55">
        <v>4</v>
      </c>
      <c r="F280" s="55">
        <v>1</v>
      </c>
      <c r="G280" s="57">
        <v>510000</v>
      </c>
      <c r="H280" s="57">
        <v>170000</v>
      </c>
      <c r="I280" s="57">
        <v>0</v>
      </c>
      <c r="J280" s="57">
        <v>170000</v>
      </c>
    </row>
    <row r="281" spans="1:10" ht="15" x14ac:dyDescent="0.4">
      <c r="A281" s="54">
        <v>46118</v>
      </c>
      <c r="B281" s="57">
        <v>96604</v>
      </c>
      <c r="C281" s="55">
        <v>37</v>
      </c>
      <c r="D281" s="55">
        <v>5</v>
      </c>
      <c r="E281" s="55">
        <v>3</v>
      </c>
      <c r="F281" s="55">
        <v>0</v>
      </c>
      <c r="G281" s="57">
        <v>0</v>
      </c>
      <c r="H281" s="57">
        <v>170000</v>
      </c>
      <c r="I281" s="57">
        <v>75000</v>
      </c>
      <c r="J281" s="57">
        <v>95000</v>
      </c>
    </row>
    <row r="282" spans="1:10" ht="15" x14ac:dyDescent="0.4">
      <c r="A282" s="54">
        <v>46119</v>
      </c>
      <c r="B282" s="57">
        <v>105238</v>
      </c>
      <c r="C282" s="55">
        <v>37</v>
      </c>
      <c r="D282" s="55">
        <v>11</v>
      </c>
      <c r="E282" s="55">
        <v>3</v>
      </c>
      <c r="F282" s="55">
        <v>1</v>
      </c>
      <c r="G282" s="57">
        <v>1500000</v>
      </c>
      <c r="H282" s="57">
        <v>170000</v>
      </c>
      <c r="I282" s="57">
        <v>0</v>
      </c>
      <c r="J282" s="57">
        <v>170000</v>
      </c>
    </row>
    <row r="283" spans="1:10" ht="15" x14ac:dyDescent="0.4">
      <c r="A283" s="54">
        <v>46120</v>
      </c>
      <c r="B283" s="57">
        <v>98844</v>
      </c>
      <c r="C283" s="55">
        <v>30</v>
      </c>
      <c r="D283" s="55">
        <v>5</v>
      </c>
      <c r="E283" s="55">
        <v>6</v>
      </c>
      <c r="F283" s="55">
        <v>3</v>
      </c>
      <c r="G283" s="57">
        <v>780000</v>
      </c>
      <c r="H283" s="57">
        <v>300000</v>
      </c>
      <c r="I283" s="57">
        <v>0</v>
      </c>
      <c r="J283" s="57">
        <v>300000</v>
      </c>
    </row>
    <row r="284" spans="1:10" ht="15" x14ac:dyDescent="0.4">
      <c r="A284" s="54">
        <v>46121</v>
      </c>
      <c r="B284" s="57">
        <v>105639</v>
      </c>
      <c r="C284" s="55">
        <v>48</v>
      </c>
      <c r="D284" s="55">
        <v>7</v>
      </c>
      <c r="E284" s="55">
        <v>2</v>
      </c>
      <c r="F284" s="55">
        <v>0</v>
      </c>
      <c r="G284" s="57">
        <v>0</v>
      </c>
      <c r="H284" s="57">
        <v>2150000</v>
      </c>
      <c r="I284" s="57">
        <v>0</v>
      </c>
      <c r="J284" s="57">
        <v>2150000</v>
      </c>
    </row>
    <row r="285" spans="1:10" ht="15" x14ac:dyDescent="0.4">
      <c r="A285" s="54">
        <v>46122</v>
      </c>
      <c r="B285" s="57">
        <v>103490</v>
      </c>
      <c r="C285" s="55">
        <v>20</v>
      </c>
      <c r="D285" s="55">
        <v>14</v>
      </c>
      <c r="E285" s="55">
        <v>5</v>
      </c>
      <c r="F285" s="55">
        <v>1</v>
      </c>
      <c r="G285" s="57">
        <v>480000</v>
      </c>
      <c r="H285" s="57">
        <v>0</v>
      </c>
      <c r="I285" s="57">
        <v>750000</v>
      </c>
      <c r="J285" s="57">
        <v>-750000</v>
      </c>
    </row>
    <row r="286" spans="1:10" ht="15" x14ac:dyDescent="0.4">
      <c r="A286" s="54">
        <v>46123</v>
      </c>
      <c r="B286" s="57">
        <v>100047</v>
      </c>
      <c r="C286" s="55">
        <v>22</v>
      </c>
      <c r="D286" s="55">
        <v>7</v>
      </c>
      <c r="E286" s="55">
        <v>5</v>
      </c>
      <c r="F286" s="55">
        <v>0</v>
      </c>
      <c r="G286" s="57">
        <v>0</v>
      </c>
      <c r="H286" s="57">
        <v>820000</v>
      </c>
      <c r="I286" s="57">
        <v>0</v>
      </c>
      <c r="J286" s="57">
        <v>820000</v>
      </c>
    </row>
    <row r="287" spans="1:10" ht="15" x14ac:dyDescent="0.4">
      <c r="A287" s="54">
        <v>46124</v>
      </c>
      <c r="B287" s="57">
        <v>101107</v>
      </c>
      <c r="C287" s="55">
        <v>23</v>
      </c>
      <c r="D287" s="55">
        <v>10</v>
      </c>
      <c r="E287" s="55">
        <v>2</v>
      </c>
      <c r="F287" s="55">
        <v>0</v>
      </c>
      <c r="G287" s="57">
        <v>0</v>
      </c>
      <c r="H287" s="57">
        <v>0</v>
      </c>
      <c r="I287" s="57">
        <v>0</v>
      </c>
      <c r="J287" s="57">
        <v>0</v>
      </c>
    </row>
    <row r="288" spans="1:10" ht="15" x14ac:dyDescent="0.4">
      <c r="A288" s="54">
        <v>46125</v>
      </c>
      <c r="B288" s="57">
        <v>100070</v>
      </c>
      <c r="C288" s="55">
        <v>40</v>
      </c>
      <c r="D288" s="55">
        <v>6</v>
      </c>
      <c r="E288" s="55">
        <v>4</v>
      </c>
      <c r="F288" s="55">
        <v>3</v>
      </c>
      <c r="G288" s="57">
        <v>1800000</v>
      </c>
      <c r="H288" s="57">
        <v>1050000</v>
      </c>
      <c r="I288" s="57">
        <v>240000</v>
      </c>
      <c r="J288" s="57">
        <v>810000</v>
      </c>
    </row>
    <row r="289" spans="1:10" ht="15" x14ac:dyDescent="0.4">
      <c r="A289" s="54">
        <v>46126</v>
      </c>
      <c r="B289" s="57">
        <v>103233</v>
      </c>
      <c r="C289" s="55">
        <v>33</v>
      </c>
      <c r="D289" s="55">
        <v>7</v>
      </c>
      <c r="E289" s="55">
        <v>2</v>
      </c>
      <c r="F289" s="55">
        <v>2</v>
      </c>
      <c r="G289" s="57">
        <v>1650000</v>
      </c>
      <c r="H289" s="57">
        <v>150000</v>
      </c>
      <c r="I289" s="57">
        <v>0</v>
      </c>
      <c r="J289" s="57">
        <v>150000</v>
      </c>
    </row>
    <row r="290" spans="1:10" ht="15" x14ac:dyDescent="0.4">
      <c r="A290" s="54">
        <v>46127</v>
      </c>
      <c r="B290" s="57">
        <v>100566</v>
      </c>
      <c r="C290" s="55">
        <v>32</v>
      </c>
      <c r="D290" s="55">
        <v>12</v>
      </c>
      <c r="E290" s="55">
        <v>3</v>
      </c>
      <c r="F290" s="55">
        <v>2</v>
      </c>
      <c r="G290" s="57">
        <v>630000</v>
      </c>
      <c r="H290" s="57">
        <v>2400000</v>
      </c>
      <c r="I290" s="57">
        <v>0</v>
      </c>
      <c r="J290" s="57">
        <v>2400000</v>
      </c>
    </row>
    <row r="291" spans="1:10" ht="15" x14ac:dyDescent="0.4">
      <c r="A291" s="54">
        <v>46128</v>
      </c>
      <c r="B291" s="57">
        <v>98143</v>
      </c>
      <c r="C291" s="55">
        <v>33</v>
      </c>
      <c r="D291" s="55">
        <v>10</v>
      </c>
      <c r="E291" s="55">
        <v>8</v>
      </c>
      <c r="F291" s="55">
        <v>2</v>
      </c>
      <c r="G291" s="57">
        <v>990000</v>
      </c>
      <c r="H291" s="57">
        <v>480000</v>
      </c>
      <c r="I291" s="57">
        <v>0</v>
      </c>
      <c r="J291" s="57">
        <v>480000</v>
      </c>
    </row>
    <row r="292" spans="1:10" ht="15" x14ac:dyDescent="0.4">
      <c r="A292" s="54">
        <v>46129</v>
      </c>
      <c r="B292" s="57">
        <v>97195</v>
      </c>
      <c r="C292" s="55">
        <v>24</v>
      </c>
      <c r="D292" s="55">
        <v>10</v>
      </c>
      <c r="E292" s="55">
        <v>0</v>
      </c>
      <c r="F292" s="55">
        <v>2</v>
      </c>
      <c r="G292" s="57">
        <v>2010000</v>
      </c>
      <c r="H292" s="57">
        <v>820000</v>
      </c>
      <c r="I292" s="57">
        <v>0</v>
      </c>
      <c r="J292" s="57">
        <v>820000</v>
      </c>
    </row>
    <row r="293" spans="1:10" ht="15" x14ac:dyDescent="0.4">
      <c r="A293" s="54">
        <v>46130</v>
      </c>
      <c r="B293" s="57">
        <v>102054</v>
      </c>
      <c r="C293" s="55">
        <v>32</v>
      </c>
      <c r="D293" s="55">
        <v>17</v>
      </c>
      <c r="E293" s="55">
        <v>3</v>
      </c>
      <c r="F293" s="55">
        <v>0</v>
      </c>
      <c r="G293" s="57">
        <v>0</v>
      </c>
      <c r="H293" s="57">
        <v>750000</v>
      </c>
      <c r="I293" s="57">
        <v>0</v>
      </c>
      <c r="J293" s="57">
        <v>750000</v>
      </c>
    </row>
    <row r="294" spans="1:10" ht="15" x14ac:dyDescent="0.4">
      <c r="A294" s="54">
        <v>46131</v>
      </c>
      <c r="B294" s="57">
        <v>100394</v>
      </c>
      <c r="C294" s="55">
        <v>20</v>
      </c>
      <c r="D294" s="55">
        <v>11</v>
      </c>
      <c r="E294" s="55">
        <v>7</v>
      </c>
      <c r="F294" s="55">
        <v>3</v>
      </c>
      <c r="G294" s="57">
        <v>1470000</v>
      </c>
      <c r="H294" s="57">
        <v>480000</v>
      </c>
      <c r="I294" s="57">
        <v>0</v>
      </c>
      <c r="J294" s="57">
        <v>480000</v>
      </c>
    </row>
    <row r="295" spans="1:10" ht="15" x14ac:dyDescent="0.4">
      <c r="A295" s="54">
        <v>46132</v>
      </c>
      <c r="B295" s="57">
        <v>93709</v>
      </c>
      <c r="C295" s="55">
        <v>29</v>
      </c>
      <c r="D295" s="55">
        <v>8</v>
      </c>
      <c r="E295" s="55">
        <v>13</v>
      </c>
      <c r="F295" s="55">
        <v>0</v>
      </c>
      <c r="G295" s="57">
        <v>0</v>
      </c>
      <c r="H295" s="57">
        <v>650000</v>
      </c>
      <c r="I295" s="57">
        <v>0</v>
      </c>
      <c r="J295" s="57">
        <v>650000</v>
      </c>
    </row>
    <row r="296" spans="1:10" ht="15" x14ac:dyDescent="0.4">
      <c r="A296" s="54">
        <v>46133</v>
      </c>
      <c r="B296" s="57">
        <v>101225</v>
      </c>
      <c r="C296" s="55">
        <v>38</v>
      </c>
      <c r="D296" s="55">
        <v>8</v>
      </c>
      <c r="E296" s="55">
        <v>6</v>
      </c>
      <c r="F296" s="55">
        <v>1</v>
      </c>
      <c r="G296" s="57">
        <v>480000</v>
      </c>
      <c r="H296" s="57">
        <v>750000</v>
      </c>
      <c r="I296" s="57">
        <v>0</v>
      </c>
      <c r="J296" s="57">
        <v>750000</v>
      </c>
    </row>
    <row r="297" spans="1:10" ht="15" x14ac:dyDescent="0.4">
      <c r="A297" s="54">
        <v>46134</v>
      </c>
      <c r="B297" s="57">
        <v>99726</v>
      </c>
      <c r="C297" s="55">
        <v>40</v>
      </c>
      <c r="D297" s="55">
        <v>16</v>
      </c>
      <c r="E297" s="55">
        <v>6</v>
      </c>
      <c r="F297" s="55">
        <v>0</v>
      </c>
      <c r="G297" s="57">
        <v>0</v>
      </c>
      <c r="H297" s="57">
        <v>480000</v>
      </c>
      <c r="I297" s="57">
        <v>0</v>
      </c>
      <c r="J297" s="57">
        <v>480000</v>
      </c>
    </row>
    <row r="298" spans="1:10" ht="15" x14ac:dyDescent="0.4">
      <c r="A298" s="54">
        <v>46135</v>
      </c>
      <c r="B298" s="57">
        <v>99648</v>
      </c>
      <c r="C298" s="55">
        <v>31</v>
      </c>
      <c r="D298" s="55">
        <v>9</v>
      </c>
      <c r="E298" s="55">
        <v>9</v>
      </c>
      <c r="F298" s="55">
        <v>1</v>
      </c>
      <c r="G298" s="57">
        <v>1500000</v>
      </c>
      <c r="H298" s="57">
        <v>170000</v>
      </c>
      <c r="I298" s="57">
        <v>0</v>
      </c>
      <c r="J298" s="57">
        <v>170000</v>
      </c>
    </row>
    <row r="299" spans="1:10" ht="15" x14ac:dyDescent="0.4">
      <c r="A299" s="54">
        <v>46136</v>
      </c>
      <c r="B299" s="57">
        <v>96564</v>
      </c>
      <c r="C299" s="55">
        <v>24</v>
      </c>
      <c r="D299" s="55">
        <v>10</v>
      </c>
      <c r="E299" s="55">
        <v>5</v>
      </c>
      <c r="F299" s="55">
        <v>1</v>
      </c>
      <c r="G299" s="57">
        <v>150000</v>
      </c>
      <c r="H299" s="57">
        <v>1820000</v>
      </c>
      <c r="I299" s="57">
        <v>0</v>
      </c>
      <c r="J299" s="57">
        <v>1820000</v>
      </c>
    </row>
    <row r="300" spans="1:10" ht="15" x14ac:dyDescent="0.4">
      <c r="A300" s="54">
        <v>46137</v>
      </c>
      <c r="B300" s="57">
        <v>102507</v>
      </c>
      <c r="C300" s="55">
        <v>19</v>
      </c>
      <c r="D300" s="55">
        <v>7</v>
      </c>
      <c r="E300" s="55">
        <v>8</v>
      </c>
      <c r="F300" s="55">
        <v>3</v>
      </c>
      <c r="G300" s="57">
        <v>1140000</v>
      </c>
      <c r="H300" s="57">
        <v>150000</v>
      </c>
      <c r="I300" s="57">
        <v>0</v>
      </c>
      <c r="J300" s="57">
        <v>150000</v>
      </c>
    </row>
    <row r="301" spans="1:10" ht="15" x14ac:dyDescent="0.4">
      <c r="A301" s="54">
        <v>46138</v>
      </c>
      <c r="B301" s="57">
        <v>101238</v>
      </c>
      <c r="C301" s="55">
        <v>30</v>
      </c>
      <c r="D301" s="55">
        <v>4</v>
      </c>
      <c r="E301" s="55">
        <v>6</v>
      </c>
      <c r="F301" s="55">
        <v>0</v>
      </c>
      <c r="G301" s="57">
        <v>0</v>
      </c>
      <c r="H301" s="57">
        <v>170000</v>
      </c>
      <c r="I301" s="57">
        <v>0</v>
      </c>
      <c r="J301" s="57">
        <v>170000</v>
      </c>
    </row>
    <row r="302" spans="1:10" ht="15" x14ac:dyDescent="0.4">
      <c r="A302" s="54">
        <v>46139</v>
      </c>
      <c r="B302" s="57">
        <v>102627</v>
      </c>
      <c r="C302" s="55">
        <v>41</v>
      </c>
      <c r="D302" s="55">
        <v>12</v>
      </c>
      <c r="E302" s="55">
        <v>3</v>
      </c>
      <c r="F302" s="55">
        <v>2</v>
      </c>
      <c r="G302" s="57">
        <v>990000</v>
      </c>
      <c r="H302" s="57">
        <v>480000</v>
      </c>
      <c r="I302" s="57">
        <v>0</v>
      </c>
      <c r="J302" s="57">
        <v>480000</v>
      </c>
    </row>
    <row r="303" spans="1:10" ht="15" x14ac:dyDescent="0.4">
      <c r="A303" s="54">
        <v>46140</v>
      </c>
      <c r="B303" s="57">
        <v>98192</v>
      </c>
      <c r="C303" s="55">
        <v>41</v>
      </c>
      <c r="D303" s="55">
        <v>6</v>
      </c>
      <c r="E303" s="55">
        <v>4</v>
      </c>
      <c r="F303" s="55">
        <v>2</v>
      </c>
      <c r="G303" s="57">
        <v>630000</v>
      </c>
      <c r="H303" s="57">
        <v>970000</v>
      </c>
      <c r="I303" s="57">
        <v>0</v>
      </c>
      <c r="J303" s="57">
        <v>970000</v>
      </c>
    </row>
    <row r="304" spans="1:10" ht="15" x14ac:dyDescent="0.4">
      <c r="A304" s="54">
        <v>46141</v>
      </c>
      <c r="B304" s="57">
        <v>98173</v>
      </c>
      <c r="C304" s="55">
        <v>33</v>
      </c>
      <c r="D304" s="55">
        <v>16</v>
      </c>
      <c r="E304" s="55">
        <v>1</v>
      </c>
      <c r="F304" s="55">
        <v>2</v>
      </c>
      <c r="G304" s="57">
        <v>1650000</v>
      </c>
      <c r="H304" s="57">
        <v>490000</v>
      </c>
      <c r="I304" s="57">
        <v>0</v>
      </c>
      <c r="J304" s="57">
        <v>490000</v>
      </c>
    </row>
    <row r="305" spans="1:10" ht="15" x14ac:dyDescent="0.4">
      <c r="A305" s="54">
        <v>46142</v>
      </c>
      <c r="B305" s="57">
        <v>100865</v>
      </c>
      <c r="C305" s="55">
        <v>23</v>
      </c>
      <c r="D305" s="55">
        <v>11</v>
      </c>
      <c r="E305" s="55">
        <v>4</v>
      </c>
      <c r="F305" s="55">
        <v>1</v>
      </c>
      <c r="G305" s="57">
        <v>1500000</v>
      </c>
      <c r="H305" s="57">
        <v>1980000</v>
      </c>
      <c r="I305" s="57">
        <v>0</v>
      </c>
      <c r="J305" s="57">
        <v>1980000</v>
      </c>
    </row>
    <row r="306" spans="1:10" ht="15" x14ac:dyDescent="0.4">
      <c r="A306" s="54">
        <v>46143</v>
      </c>
      <c r="B306" s="57">
        <v>90927</v>
      </c>
      <c r="C306" s="55">
        <v>17</v>
      </c>
      <c r="D306" s="55">
        <v>10</v>
      </c>
      <c r="E306" s="55">
        <v>4</v>
      </c>
      <c r="F306" s="55">
        <v>3</v>
      </c>
      <c r="G306" s="57">
        <v>1530000</v>
      </c>
      <c r="H306" s="57">
        <v>2180000</v>
      </c>
      <c r="I306" s="57">
        <v>0</v>
      </c>
      <c r="J306" s="57">
        <v>2180000</v>
      </c>
    </row>
    <row r="307" spans="1:10" ht="15" x14ac:dyDescent="0.4">
      <c r="A307" s="54">
        <v>46144</v>
      </c>
      <c r="B307" s="57">
        <v>98344</v>
      </c>
      <c r="C307" s="55">
        <v>18</v>
      </c>
      <c r="D307" s="55">
        <v>7</v>
      </c>
      <c r="E307" s="55">
        <v>3</v>
      </c>
      <c r="F307" s="55">
        <v>2</v>
      </c>
      <c r="G307" s="57">
        <v>1980000</v>
      </c>
      <c r="H307" s="57">
        <v>650000</v>
      </c>
      <c r="I307" s="57">
        <v>0</v>
      </c>
      <c r="J307" s="57">
        <v>650000</v>
      </c>
    </row>
    <row r="308" spans="1:10" ht="15" x14ac:dyDescent="0.4">
      <c r="A308" s="54">
        <v>46145</v>
      </c>
      <c r="B308" s="57">
        <v>99586</v>
      </c>
      <c r="C308" s="55">
        <v>25</v>
      </c>
      <c r="D308" s="55">
        <v>6</v>
      </c>
      <c r="E308" s="55">
        <v>4</v>
      </c>
      <c r="F308" s="55">
        <v>3</v>
      </c>
      <c r="G308" s="57">
        <v>2130000</v>
      </c>
      <c r="H308" s="57">
        <v>3320000</v>
      </c>
      <c r="I308" s="57">
        <v>0</v>
      </c>
      <c r="J308" s="57">
        <v>3320000</v>
      </c>
    </row>
    <row r="309" spans="1:10" ht="15" x14ac:dyDescent="0.4">
      <c r="A309" s="54">
        <v>46146</v>
      </c>
      <c r="B309" s="57">
        <v>98041</v>
      </c>
      <c r="C309" s="55">
        <v>38</v>
      </c>
      <c r="D309" s="55">
        <v>8</v>
      </c>
      <c r="E309" s="55">
        <v>6</v>
      </c>
      <c r="F309" s="55">
        <v>1</v>
      </c>
      <c r="G309" s="57">
        <v>510000</v>
      </c>
      <c r="H309" s="57">
        <v>650000</v>
      </c>
      <c r="I309" s="57">
        <v>0</v>
      </c>
      <c r="J309" s="57">
        <v>650000</v>
      </c>
    </row>
    <row r="310" spans="1:10" ht="15" x14ac:dyDescent="0.4">
      <c r="A310" s="54">
        <v>46147</v>
      </c>
      <c r="B310" s="57">
        <v>104786</v>
      </c>
      <c r="C310" s="55">
        <v>46</v>
      </c>
      <c r="D310" s="55">
        <v>11</v>
      </c>
      <c r="E310" s="55">
        <v>8</v>
      </c>
      <c r="F310" s="55">
        <v>1</v>
      </c>
      <c r="G310" s="57">
        <v>1500000</v>
      </c>
      <c r="H310" s="57">
        <v>170000</v>
      </c>
      <c r="I310" s="57">
        <v>0</v>
      </c>
      <c r="J310" s="57">
        <v>170000</v>
      </c>
    </row>
    <row r="311" spans="1:10" ht="15" x14ac:dyDescent="0.4">
      <c r="A311" s="54">
        <v>46148</v>
      </c>
      <c r="B311" s="57">
        <v>95075</v>
      </c>
      <c r="C311" s="55">
        <v>40</v>
      </c>
      <c r="D311" s="55">
        <v>6</v>
      </c>
      <c r="E311" s="55">
        <v>4</v>
      </c>
      <c r="F311" s="55">
        <v>1</v>
      </c>
      <c r="G311" s="57">
        <v>480000</v>
      </c>
      <c r="H311" s="57">
        <v>1670000</v>
      </c>
      <c r="I311" s="57">
        <v>0</v>
      </c>
      <c r="J311" s="57">
        <v>1670000</v>
      </c>
    </row>
    <row r="312" spans="1:10" ht="15" x14ac:dyDescent="0.4">
      <c r="A312" s="54">
        <v>46149</v>
      </c>
      <c r="B312" s="57">
        <v>96808</v>
      </c>
      <c r="C312" s="55">
        <v>36</v>
      </c>
      <c r="D312" s="55">
        <v>16</v>
      </c>
      <c r="E312" s="55">
        <v>4</v>
      </c>
      <c r="F312" s="55">
        <v>2</v>
      </c>
      <c r="G312" s="57">
        <v>660000</v>
      </c>
      <c r="H312" s="57">
        <v>320000</v>
      </c>
      <c r="I312" s="57">
        <v>0</v>
      </c>
      <c r="J312" s="57">
        <v>320000</v>
      </c>
    </row>
    <row r="313" spans="1:10" ht="15" x14ac:dyDescent="0.4">
      <c r="A313" s="54">
        <v>46150</v>
      </c>
      <c r="B313" s="57">
        <v>104220</v>
      </c>
      <c r="C313" s="55">
        <v>30</v>
      </c>
      <c r="D313" s="55">
        <v>8</v>
      </c>
      <c r="E313" s="55">
        <v>1</v>
      </c>
      <c r="F313" s="55">
        <v>2</v>
      </c>
      <c r="G313" s="57">
        <v>1980000</v>
      </c>
      <c r="H313" s="57">
        <v>480000</v>
      </c>
      <c r="I313" s="57">
        <v>0</v>
      </c>
      <c r="J313" s="57">
        <v>480000</v>
      </c>
    </row>
    <row r="314" spans="1:10" ht="15" x14ac:dyDescent="0.4">
      <c r="A314" s="54">
        <v>46151</v>
      </c>
      <c r="B314" s="57">
        <v>99457</v>
      </c>
      <c r="C314" s="55">
        <v>24</v>
      </c>
      <c r="D314" s="55">
        <v>7</v>
      </c>
      <c r="E314" s="55">
        <v>4</v>
      </c>
      <c r="F314" s="55">
        <v>2</v>
      </c>
      <c r="G314" s="57">
        <v>630000</v>
      </c>
      <c r="H314" s="57">
        <v>1280000</v>
      </c>
      <c r="I314" s="57">
        <v>0</v>
      </c>
      <c r="J314" s="57">
        <v>1280000</v>
      </c>
    </row>
    <row r="315" spans="1:10" ht="15" x14ac:dyDescent="0.4">
      <c r="A315" s="54">
        <v>46152</v>
      </c>
      <c r="B315" s="57">
        <v>99554</v>
      </c>
      <c r="C315" s="55">
        <v>29</v>
      </c>
      <c r="D315" s="55">
        <v>12</v>
      </c>
      <c r="E315" s="55">
        <v>5</v>
      </c>
      <c r="F315" s="55">
        <v>2</v>
      </c>
      <c r="G315" s="57">
        <v>1980000</v>
      </c>
      <c r="H315" s="57">
        <v>1230000</v>
      </c>
      <c r="I315" s="57">
        <v>0</v>
      </c>
      <c r="J315" s="57">
        <v>1230000</v>
      </c>
    </row>
    <row r="316" spans="1:10" ht="15" x14ac:dyDescent="0.4">
      <c r="A316" s="54">
        <v>46153</v>
      </c>
      <c r="B316" s="57">
        <v>99348</v>
      </c>
      <c r="C316" s="55">
        <v>33</v>
      </c>
      <c r="D316" s="55">
        <v>6</v>
      </c>
      <c r="E316" s="55">
        <v>6</v>
      </c>
      <c r="F316" s="55">
        <v>1</v>
      </c>
      <c r="G316" s="57">
        <v>150000</v>
      </c>
      <c r="H316" s="57">
        <v>1240000</v>
      </c>
      <c r="I316" s="57">
        <v>0</v>
      </c>
      <c r="J316" s="57">
        <v>1240000</v>
      </c>
    </row>
    <row r="317" spans="1:10" ht="15" x14ac:dyDescent="0.4">
      <c r="A317" s="54">
        <v>46154</v>
      </c>
      <c r="B317" s="57">
        <v>101865</v>
      </c>
      <c r="C317" s="55">
        <v>36</v>
      </c>
      <c r="D317" s="55">
        <v>8</v>
      </c>
      <c r="E317" s="55">
        <v>6</v>
      </c>
      <c r="F317" s="55">
        <v>2</v>
      </c>
      <c r="G317" s="57">
        <v>660000</v>
      </c>
      <c r="H317" s="57">
        <v>150000</v>
      </c>
      <c r="I317" s="57">
        <v>0</v>
      </c>
      <c r="J317" s="57">
        <v>150000</v>
      </c>
    </row>
    <row r="318" spans="1:10" ht="15" x14ac:dyDescent="0.4">
      <c r="A318" s="54">
        <v>46155</v>
      </c>
      <c r="B318" s="57">
        <v>105866</v>
      </c>
      <c r="C318" s="55">
        <v>41</v>
      </c>
      <c r="D318" s="55">
        <v>12</v>
      </c>
      <c r="E318" s="55">
        <v>2</v>
      </c>
      <c r="F318" s="55">
        <v>2</v>
      </c>
      <c r="G318" s="57">
        <v>990000</v>
      </c>
      <c r="H318" s="57">
        <v>1230000</v>
      </c>
      <c r="I318" s="57">
        <v>0</v>
      </c>
      <c r="J318" s="57">
        <v>1230000</v>
      </c>
    </row>
    <row r="319" spans="1:10" ht="15" x14ac:dyDescent="0.4">
      <c r="A319" s="54">
        <v>46156</v>
      </c>
      <c r="B319" s="57">
        <v>98860</v>
      </c>
      <c r="C319" s="55">
        <v>41</v>
      </c>
      <c r="D319" s="55">
        <v>11</v>
      </c>
      <c r="E319" s="55">
        <v>5</v>
      </c>
      <c r="F319" s="55">
        <v>4</v>
      </c>
      <c r="G319" s="57">
        <v>1620000</v>
      </c>
      <c r="H319" s="57">
        <v>1140000</v>
      </c>
      <c r="I319" s="57">
        <v>0</v>
      </c>
      <c r="J319" s="57">
        <v>1140000</v>
      </c>
    </row>
    <row r="320" spans="1:10" ht="15" x14ac:dyDescent="0.4">
      <c r="A320" s="54">
        <v>46157</v>
      </c>
      <c r="B320" s="57">
        <v>99339</v>
      </c>
      <c r="C320" s="55">
        <v>33</v>
      </c>
      <c r="D320" s="55">
        <v>4</v>
      </c>
      <c r="E320" s="55">
        <v>7</v>
      </c>
      <c r="F320" s="55">
        <v>4</v>
      </c>
      <c r="G320" s="57">
        <v>1260000</v>
      </c>
      <c r="H320" s="57">
        <v>1260000</v>
      </c>
      <c r="I320" s="57">
        <v>0</v>
      </c>
      <c r="J320" s="57">
        <v>1260000</v>
      </c>
    </row>
    <row r="321" spans="1:10" ht="15" x14ac:dyDescent="0.4">
      <c r="A321" s="54">
        <v>46158</v>
      </c>
      <c r="B321" s="57">
        <v>100825</v>
      </c>
      <c r="C321" s="55">
        <v>27</v>
      </c>
      <c r="D321" s="55">
        <v>8</v>
      </c>
      <c r="E321" s="55">
        <v>4</v>
      </c>
      <c r="F321" s="55">
        <v>0</v>
      </c>
      <c r="G321" s="57">
        <v>0</v>
      </c>
      <c r="H321" s="57">
        <v>480000</v>
      </c>
      <c r="I321" s="57">
        <v>0</v>
      </c>
      <c r="J321" s="57">
        <v>480000</v>
      </c>
    </row>
    <row r="322" spans="1:10" ht="15" x14ac:dyDescent="0.4">
      <c r="A322" s="54">
        <v>46159</v>
      </c>
      <c r="B322" s="57">
        <v>102836</v>
      </c>
      <c r="C322" s="55">
        <v>26</v>
      </c>
      <c r="D322" s="55">
        <v>13</v>
      </c>
      <c r="E322" s="55">
        <v>4</v>
      </c>
      <c r="F322" s="55">
        <v>2</v>
      </c>
      <c r="G322" s="57">
        <v>960000</v>
      </c>
      <c r="H322" s="57">
        <v>820000</v>
      </c>
      <c r="I322" s="57">
        <v>0</v>
      </c>
      <c r="J322" s="57">
        <v>820000</v>
      </c>
    </row>
    <row r="323" spans="1:10" ht="15" x14ac:dyDescent="0.4">
      <c r="A323" s="54">
        <v>46160</v>
      </c>
      <c r="B323" s="57">
        <v>96830</v>
      </c>
      <c r="C323" s="55">
        <v>21</v>
      </c>
      <c r="D323" s="55">
        <v>9</v>
      </c>
      <c r="E323" s="55">
        <v>4</v>
      </c>
      <c r="F323" s="55">
        <v>0</v>
      </c>
      <c r="G323" s="57">
        <v>0</v>
      </c>
      <c r="H323" s="57">
        <v>480000</v>
      </c>
      <c r="I323" s="57">
        <v>0</v>
      </c>
      <c r="J323" s="57">
        <v>480000</v>
      </c>
    </row>
    <row r="324" spans="1:10" ht="15" x14ac:dyDescent="0.4">
      <c r="A324" s="54">
        <v>46161</v>
      </c>
      <c r="B324" s="57">
        <v>92772</v>
      </c>
      <c r="C324" s="55">
        <v>48</v>
      </c>
      <c r="D324" s="55">
        <v>6</v>
      </c>
      <c r="E324" s="55">
        <v>5</v>
      </c>
      <c r="F324" s="55">
        <v>0</v>
      </c>
      <c r="G324" s="57">
        <v>0</v>
      </c>
      <c r="H324" s="57">
        <v>0</v>
      </c>
      <c r="I324" s="57">
        <v>0</v>
      </c>
      <c r="J324" s="57">
        <v>0</v>
      </c>
    </row>
    <row r="325" spans="1:10" ht="15" x14ac:dyDescent="0.4">
      <c r="A325" s="54">
        <v>46162</v>
      </c>
      <c r="B325" s="57">
        <v>102914</v>
      </c>
      <c r="C325" s="55">
        <v>35</v>
      </c>
      <c r="D325" s="55">
        <v>12</v>
      </c>
      <c r="E325" s="55">
        <v>3</v>
      </c>
      <c r="F325" s="55">
        <v>5</v>
      </c>
      <c r="G325" s="57">
        <v>1440000</v>
      </c>
      <c r="H325" s="57">
        <v>620000</v>
      </c>
      <c r="I325" s="57">
        <v>0</v>
      </c>
      <c r="J325" s="57">
        <v>620000</v>
      </c>
    </row>
    <row r="326" spans="1:10" ht="15" x14ac:dyDescent="0.4">
      <c r="A326" s="54">
        <v>46163</v>
      </c>
      <c r="B326" s="57">
        <v>101515</v>
      </c>
      <c r="C326" s="55">
        <v>31</v>
      </c>
      <c r="D326" s="55">
        <v>9</v>
      </c>
      <c r="E326" s="55">
        <v>3</v>
      </c>
      <c r="F326" s="55">
        <v>2</v>
      </c>
      <c r="G326" s="57">
        <v>660000</v>
      </c>
      <c r="H326" s="57">
        <v>970000</v>
      </c>
      <c r="I326" s="57">
        <v>0</v>
      </c>
      <c r="J326" s="57">
        <v>970000</v>
      </c>
    </row>
    <row r="327" spans="1:10" ht="15" x14ac:dyDescent="0.4">
      <c r="A327" s="54">
        <v>46164</v>
      </c>
      <c r="B327" s="57">
        <v>102779</v>
      </c>
      <c r="C327" s="55">
        <v>30</v>
      </c>
      <c r="D327" s="55">
        <v>10</v>
      </c>
      <c r="E327" s="55">
        <v>3</v>
      </c>
      <c r="F327" s="55">
        <v>2</v>
      </c>
      <c r="G327" s="57">
        <v>960000</v>
      </c>
      <c r="H327" s="57">
        <v>480000</v>
      </c>
      <c r="I327" s="57">
        <v>0</v>
      </c>
      <c r="J327" s="57">
        <v>480000</v>
      </c>
    </row>
    <row r="328" spans="1:10" ht="15" x14ac:dyDescent="0.4">
      <c r="A328" s="54">
        <v>46165</v>
      </c>
      <c r="B328" s="57">
        <v>101834</v>
      </c>
      <c r="C328" s="55">
        <v>32</v>
      </c>
      <c r="D328" s="55">
        <v>8</v>
      </c>
      <c r="E328" s="55">
        <v>6</v>
      </c>
      <c r="F328" s="55">
        <v>1</v>
      </c>
      <c r="G328" s="57">
        <v>150000</v>
      </c>
      <c r="H328" s="57">
        <v>320000</v>
      </c>
      <c r="I328" s="57">
        <v>0</v>
      </c>
      <c r="J328" s="57">
        <v>320000</v>
      </c>
    </row>
    <row r="329" spans="1:10" ht="15" x14ac:dyDescent="0.4">
      <c r="A329" s="54">
        <v>46166</v>
      </c>
      <c r="B329" s="57">
        <v>97229</v>
      </c>
      <c r="C329" s="55">
        <v>25</v>
      </c>
      <c r="D329" s="55">
        <v>12</v>
      </c>
      <c r="E329" s="55">
        <v>5</v>
      </c>
      <c r="F329" s="55">
        <v>0</v>
      </c>
      <c r="G329" s="57">
        <v>0</v>
      </c>
      <c r="H329" s="57">
        <v>650000</v>
      </c>
      <c r="I329" s="57">
        <v>0</v>
      </c>
      <c r="J329" s="57">
        <v>650000</v>
      </c>
    </row>
    <row r="330" spans="1:10" ht="15" x14ac:dyDescent="0.4">
      <c r="A330" s="54">
        <v>46167</v>
      </c>
      <c r="B330" s="57">
        <v>100867</v>
      </c>
      <c r="C330" s="55">
        <v>35</v>
      </c>
      <c r="D330" s="55">
        <v>8</v>
      </c>
      <c r="E330" s="55">
        <v>5</v>
      </c>
      <c r="F330" s="55">
        <v>3</v>
      </c>
      <c r="G330" s="57">
        <v>1470000</v>
      </c>
      <c r="H330" s="57">
        <v>0</v>
      </c>
      <c r="I330" s="57">
        <v>0</v>
      </c>
      <c r="J330" s="57">
        <v>0</v>
      </c>
    </row>
    <row r="331" spans="1:10" ht="15" x14ac:dyDescent="0.4">
      <c r="A331" s="54">
        <v>46168</v>
      </c>
      <c r="B331" s="57">
        <v>97600</v>
      </c>
      <c r="C331" s="55">
        <v>48</v>
      </c>
      <c r="D331" s="55">
        <v>8</v>
      </c>
      <c r="E331" s="55">
        <v>5</v>
      </c>
      <c r="F331" s="55">
        <v>3</v>
      </c>
      <c r="G331" s="57">
        <v>810000</v>
      </c>
      <c r="H331" s="57">
        <v>1600000</v>
      </c>
      <c r="I331" s="57">
        <v>0</v>
      </c>
      <c r="J331" s="57">
        <v>1600000</v>
      </c>
    </row>
    <row r="332" spans="1:10" ht="15" x14ac:dyDescent="0.4">
      <c r="A332" s="54">
        <v>46169</v>
      </c>
      <c r="B332" s="57">
        <v>99293</v>
      </c>
      <c r="C332" s="55">
        <v>26</v>
      </c>
      <c r="D332" s="55">
        <v>13</v>
      </c>
      <c r="E332" s="55">
        <v>4</v>
      </c>
      <c r="F332" s="55">
        <v>2</v>
      </c>
      <c r="G332" s="57">
        <v>630000</v>
      </c>
      <c r="H332" s="57">
        <v>320000</v>
      </c>
      <c r="I332" s="57">
        <v>0</v>
      </c>
      <c r="J332" s="57">
        <v>320000</v>
      </c>
    </row>
    <row r="333" spans="1:10" ht="15" x14ac:dyDescent="0.4">
      <c r="A333" s="54">
        <v>46170</v>
      </c>
      <c r="B333" s="57">
        <v>93977</v>
      </c>
      <c r="C333" s="55">
        <v>37</v>
      </c>
      <c r="D333" s="55">
        <v>7</v>
      </c>
      <c r="E333" s="55">
        <v>2</v>
      </c>
      <c r="F333" s="55">
        <v>2</v>
      </c>
      <c r="G333" s="57">
        <v>990000</v>
      </c>
      <c r="H333" s="57">
        <v>650000</v>
      </c>
      <c r="I333" s="57">
        <v>0</v>
      </c>
      <c r="J333" s="57">
        <v>650000</v>
      </c>
    </row>
    <row r="334" spans="1:10" ht="15" x14ac:dyDescent="0.4">
      <c r="A334" s="54">
        <v>46171</v>
      </c>
      <c r="B334" s="57">
        <v>100029</v>
      </c>
      <c r="C334" s="55">
        <v>35</v>
      </c>
      <c r="D334" s="55">
        <v>14</v>
      </c>
      <c r="E334" s="55">
        <v>2</v>
      </c>
      <c r="F334" s="55">
        <v>2</v>
      </c>
      <c r="G334" s="57">
        <v>660000</v>
      </c>
      <c r="H334" s="57">
        <v>630000</v>
      </c>
      <c r="I334" s="57">
        <v>0</v>
      </c>
      <c r="J334" s="57">
        <v>630000</v>
      </c>
    </row>
    <row r="335" spans="1:10" ht="15" x14ac:dyDescent="0.4">
      <c r="A335" s="54">
        <v>46172</v>
      </c>
      <c r="B335" s="57">
        <v>97679</v>
      </c>
      <c r="C335" s="55">
        <v>15</v>
      </c>
      <c r="D335" s="55">
        <v>6</v>
      </c>
      <c r="E335" s="55">
        <v>6</v>
      </c>
      <c r="F335" s="55">
        <v>0</v>
      </c>
      <c r="G335" s="57">
        <v>0</v>
      </c>
      <c r="H335" s="57">
        <v>1090000</v>
      </c>
      <c r="I335" s="57">
        <v>0</v>
      </c>
      <c r="J335" s="57">
        <v>1090000</v>
      </c>
    </row>
    <row r="336" spans="1:10" ht="15" x14ac:dyDescent="0.4">
      <c r="A336" s="54">
        <v>46173</v>
      </c>
      <c r="B336" s="57">
        <v>102895</v>
      </c>
      <c r="C336" s="55">
        <v>17</v>
      </c>
      <c r="D336" s="55">
        <v>10</v>
      </c>
      <c r="E336" s="55">
        <v>4</v>
      </c>
      <c r="F336" s="55">
        <v>0</v>
      </c>
      <c r="G336" s="57">
        <v>0</v>
      </c>
      <c r="H336" s="57">
        <v>340000</v>
      </c>
      <c r="I336" s="57">
        <v>170000</v>
      </c>
      <c r="J336" s="57">
        <v>170000</v>
      </c>
    </row>
    <row r="337" spans="1:10" ht="15" x14ac:dyDescent="0.4">
      <c r="A337" s="54">
        <v>46174</v>
      </c>
      <c r="B337" s="57">
        <v>99603</v>
      </c>
      <c r="C337" s="55">
        <v>34</v>
      </c>
      <c r="D337" s="55">
        <v>3</v>
      </c>
      <c r="E337" s="55">
        <v>5</v>
      </c>
      <c r="F337" s="55">
        <v>2</v>
      </c>
      <c r="G337" s="57">
        <v>3000000</v>
      </c>
      <c r="H337" s="57">
        <v>170000</v>
      </c>
      <c r="I337" s="57">
        <v>0</v>
      </c>
      <c r="J337" s="57">
        <v>170000</v>
      </c>
    </row>
    <row r="338" spans="1:10" ht="15" x14ac:dyDescent="0.4">
      <c r="A338" s="54">
        <v>46175</v>
      </c>
      <c r="B338" s="57">
        <v>100595</v>
      </c>
      <c r="C338" s="55">
        <v>47</v>
      </c>
      <c r="D338" s="55">
        <v>2</v>
      </c>
      <c r="E338" s="55">
        <v>3</v>
      </c>
      <c r="F338" s="55">
        <v>1</v>
      </c>
      <c r="G338" s="57">
        <v>480000</v>
      </c>
      <c r="H338" s="57">
        <v>1670000</v>
      </c>
      <c r="I338" s="57">
        <v>0</v>
      </c>
      <c r="J338" s="57">
        <v>1670000</v>
      </c>
    </row>
    <row r="339" spans="1:10" ht="15" x14ac:dyDescent="0.4">
      <c r="A339" s="54">
        <v>46176</v>
      </c>
      <c r="B339" s="57">
        <v>98123</v>
      </c>
      <c r="C339" s="55">
        <v>34</v>
      </c>
      <c r="D339" s="55">
        <v>14</v>
      </c>
      <c r="E339" s="55">
        <v>1</v>
      </c>
      <c r="F339" s="55">
        <v>1</v>
      </c>
      <c r="G339" s="57">
        <v>1500000</v>
      </c>
      <c r="H339" s="57">
        <v>2150000</v>
      </c>
      <c r="I339" s="57">
        <v>0</v>
      </c>
      <c r="J339" s="57">
        <v>2150000</v>
      </c>
    </row>
    <row r="340" spans="1:10" ht="15" x14ac:dyDescent="0.4">
      <c r="A340" s="54">
        <v>46177</v>
      </c>
      <c r="B340" s="57">
        <v>100495</v>
      </c>
      <c r="C340" s="55">
        <v>45</v>
      </c>
      <c r="D340" s="55">
        <v>7</v>
      </c>
      <c r="E340" s="55">
        <v>2</v>
      </c>
      <c r="F340" s="55">
        <v>1</v>
      </c>
      <c r="G340" s="57">
        <v>480000</v>
      </c>
      <c r="H340" s="57">
        <v>170000</v>
      </c>
      <c r="I340" s="57">
        <v>0</v>
      </c>
      <c r="J340" s="57">
        <v>170000</v>
      </c>
    </row>
    <row r="341" spans="1:10" ht="15" x14ac:dyDescent="0.4">
      <c r="A341" s="54">
        <v>46178</v>
      </c>
      <c r="B341" s="57">
        <v>99680</v>
      </c>
      <c r="C341" s="55">
        <v>23</v>
      </c>
      <c r="D341" s="55">
        <v>10</v>
      </c>
      <c r="E341" s="55">
        <v>2</v>
      </c>
      <c r="F341" s="55">
        <v>3</v>
      </c>
      <c r="G341" s="57">
        <v>1800000</v>
      </c>
      <c r="H341" s="57">
        <v>2450000</v>
      </c>
      <c r="I341" s="57">
        <v>0</v>
      </c>
      <c r="J341" s="57">
        <v>2450000</v>
      </c>
    </row>
    <row r="342" spans="1:10" ht="15" x14ac:dyDescent="0.4">
      <c r="A342" s="54">
        <v>46179</v>
      </c>
      <c r="B342" s="57">
        <v>102292</v>
      </c>
      <c r="C342" s="55">
        <v>29</v>
      </c>
      <c r="D342" s="55">
        <v>7</v>
      </c>
      <c r="E342" s="55">
        <v>5</v>
      </c>
      <c r="F342" s="55">
        <v>4</v>
      </c>
      <c r="G342" s="57">
        <v>2940000</v>
      </c>
      <c r="H342" s="57">
        <v>1670000</v>
      </c>
      <c r="I342" s="57">
        <v>0</v>
      </c>
      <c r="J342" s="57">
        <v>1670000</v>
      </c>
    </row>
    <row r="343" spans="1:10" ht="15" x14ac:dyDescent="0.4">
      <c r="A343" s="54">
        <v>46180</v>
      </c>
      <c r="B343" s="57">
        <v>102153</v>
      </c>
      <c r="C343" s="55">
        <v>23</v>
      </c>
      <c r="D343" s="55">
        <v>11</v>
      </c>
      <c r="E343" s="55">
        <v>3</v>
      </c>
      <c r="F343" s="55">
        <v>1</v>
      </c>
      <c r="G343" s="57">
        <v>150000</v>
      </c>
      <c r="H343" s="57">
        <v>1860000</v>
      </c>
      <c r="I343" s="57">
        <v>0</v>
      </c>
      <c r="J343" s="57">
        <v>1860000</v>
      </c>
    </row>
    <row r="344" spans="1:10" ht="15" x14ac:dyDescent="0.4">
      <c r="A344" s="54">
        <v>46181</v>
      </c>
      <c r="B344" s="57">
        <v>96026</v>
      </c>
      <c r="C344" s="55">
        <v>30</v>
      </c>
      <c r="D344" s="55">
        <v>13</v>
      </c>
      <c r="E344" s="55">
        <v>1</v>
      </c>
      <c r="F344" s="55">
        <v>1</v>
      </c>
      <c r="G344" s="57">
        <v>510000</v>
      </c>
      <c r="H344" s="57">
        <v>480000</v>
      </c>
      <c r="I344" s="57">
        <v>0</v>
      </c>
      <c r="J344" s="57">
        <v>480000</v>
      </c>
    </row>
    <row r="345" spans="1:10" ht="15" x14ac:dyDescent="0.4">
      <c r="A345" s="54">
        <v>46182</v>
      </c>
      <c r="B345" s="57">
        <v>105108</v>
      </c>
      <c r="C345" s="55">
        <v>47</v>
      </c>
      <c r="D345" s="55">
        <v>7</v>
      </c>
      <c r="E345" s="55">
        <v>6</v>
      </c>
      <c r="F345" s="55">
        <v>0</v>
      </c>
      <c r="G345" s="57">
        <v>0</v>
      </c>
      <c r="H345" s="57">
        <v>750000</v>
      </c>
      <c r="I345" s="57">
        <v>0</v>
      </c>
      <c r="J345" s="57">
        <v>750000</v>
      </c>
    </row>
    <row r="346" spans="1:10" ht="15" x14ac:dyDescent="0.4">
      <c r="A346" s="54">
        <v>46183</v>
      </c>
      <c r="B346" s="57">
        <v>94978</v>
      </c>
      <c r="C346" s="55">
        <v>24</v>
      </c>
      <c r="D346" s="55">
        <v>6</v>
      </c>
      <c r="E346" s="55">
        <v>6</v>
      </c>
      <c r="F346" s="55">
        <v>0</v>
      </c>
      <c r="G346" s="57">
        <v>0</v>
      </c>
      <c r="H346" s="57">
        <v>920000</v>
      </c>
      <c r="I346" s="57">
        <v>0</v>
      </c>
      <c r="J346" s="57">
        <v>920000</v>
      </c>
    </row>
    <row r="347" spans="1:10" ht="15" x14ac:dyDescent="0.4">
      <c r="A347" s="54">
        <v>46184</v>
      </c>
      <c r="B347" s="57">
        <v>99547</v>
      </c>
      <c r="C347" s="55">
        <v>47</v>
      </c>
      <c r="D347" s="55">
        <v>11</v>
      </c>
      <c r="E347" s="55">
        <v>6</v>
      </c>
      <c r="F347" s="55">
        <v>1</v>
      </c>
      <c r="G347" s="57">
        <v>1500000</v>
      </c>
      <c r="H347" s="57">
        <v>1500000</v>
      </c>
      <c r="I347" s="57">
        <v>240000</v>
      </c>
      <c r="J347" s="57">
        <v>1260000</v>
      </c>
    </row>
    <row r="348" spans="1:10" ht="15" x14ac:dyDescent="0.4">
      <c r="A348" s="54">
        <v>46185</v>
      </c>
      <c r="B348" s="57">
        <v>102736</v>
      </c>
      <c r="C348" s="55">
        <v>30</v>
      </c>
      <c r="D348" s="55">
        <v>6</v>
      </c>
      <c r="E348" s="55">
        <v>2</v>
      </c>
      <c r="F348" s="55">
        <v>3</v>
      </c>
      <c r="G348" s="57">
        <v>1110000</v>
      </c>
      <c r="H348" s="57">
        <v>150000</v>
      </c>
      <c r="I348" s="57">
        <v>0</v>
      </c>
      <c r="J348" s="57">
        <v>150000</v>
      </c>
    </row>
    <row r="349" spans="1:10" ht="15" x14ac:dyDescent="0.4">
      <c r="A349" s="54">
        <v>46186</v>
      </c>
      <c r="B349" s="57">
        <v>102845</v>
      </c>
      <c r="C349" s="55">
        <v>20</v>
      </c>
      <c r="D349" s="55">
        <v>10</v>
      </c>
      <c r="E349" s="55">
        <v>3</v>
      </c>
      <c r="F349" s="55">
        <v>2</v>
      </c>
      <c r="G349" s="57">
        <v>960000</v>
      </c>
      <c r="H349" s="57">
        <v>1470000</v>
      </c>
      <c r="I349" s="57">
        <v>0</v>
      </c>
      <c r="J349" s="57">
        <v>1470000</v>
      </c>
    </row>
    <row r="350" spans="1:10" ht="15" x14ac:dyDescent="0.4">
      <c r="A350" s="54">
        <v>46187</v>
      </c>
      <c r="B350" s="57">
        <v>103337</v>
      </c>
      <c r="C350" s="55">
        <v>24</v>
      </c>
      <c r="D350" s="55">
        <v>5</v>
      </c>
      <c r="E350" s="55">
        <v>2</v>
      </c>
      <c r="F350" s="55">
        <v>0</v>
      </c>
      <c r="G350" s="57">
        <v>0</v>
      </c>
      <c r="H350" s="57">
        <v>480000</v>
      </c>
      <c r="I350" s="57">
        <v>0</v>
      </c>
      <c r="J350" s="57">
        <v>480000</v>
      </c>
    </row>
    <row r="351" spans="1:10" ht="15" x14ac:dyDescent="0.4">
      <c r="A351" s="54">
        <v>46188</v>
      </c>
      <c r="B351" s="57">
        <v>99346</v>
      </c>
      <c r="C351" s="55">
        <v>47</v>
      </c>
      <c r="D351" s="55">
        <v>7</v>
      </c>
      <c r="E351" s="55">
        <v>4</v>
      </c>
      <c r="F351" s="55">
        <v>1</v>
      </c>
      <c r="G351" s="57">
        <v>150000</v>
      </c>
      <c r="H351" s="57">
        <v>150000</v>
      </c>
      <c r="I351" s="57">
        <v>0</v>
      </c>
      <c r="J351" s="57">
        <v>150000</v>
      </c>
    </row>
    <row r="352" spans="1:10" ht="15" x14ac:dyDescent="0.4">
      <c r="A352" s="54">
        <v>46189</v>
      </c>
      <c r="B352" s="57">
        <v>100518</v>
      </c>
      <c r="C352" s="55">
        <v>46</v>
      </c>
      <c r="D352" s="55">
        <v>5</v>
      </c>
      <c r="E352" s="55">
        <v>3</v>
      </c>
      <c r="F352" s="55">
        <v>2</v>
      </c>
      <c r="G352" s="57">
        <v>300000</v>
      </c>
      <c r="H352" s="57">
        <v>640000</v>
      </c>
      <c r="I352" s="57">
        <v>0</v>
      </c>
      <c r="J352" s="57">
        <v>640000</v>
      </c>
    </row>
    <row r="353" spans="1:10" ht="15" x14ac:dyDescent="0.4">
      <c r="A353" s="54">
        <v>46190</v>
      </c>
      <c r="B353" s="57">
        <v>98606</v>
      </c>
      <c r="C353" s="55">
        <v>35</v>
      </c>
      <c r="D353" s="55">
        <v>13</v>
      </c>
      <c r="E353" s="55">
        <v>2</v>
      </c>
      <c r="F353" s="55">
        <v>2</v>
      </c>
      <c r="G353" s="57">
        <v>990000</v>
      </c>
      <c r="H353" s="57">
        <v>0</v>
      </c>
      <c r="I353" s="57">
        <v>0</v>
      </c>
      <c r="J353" s="57">
        <v>0</v>
      </c>
    </row>
    <row r="354" spans="1:10" ht="15" x14ac:dyDescent="0.4">
      <c r="A354" s="54">
        <v>46191</v>
      </c>
      <c r="B354" s="57">
        <v>95841</v>
      </c>
      <c r="C354" s="55">
        <v>25</v>
      </c>
      <c r="D354" s="55">
        <v>23</v>
      </c>
      <c r="E354" s="55">
        <v>5</v>
      </c>
      <c r="F354" s="55">
        <v>1</v>
      </c>
      <c r="G354" s="57">
        <v>480000</v>
      </c>
      <c r="H354" s="57">
        <v>650000</v>
      </c>
      <c r="I354" s="57">
        <v>0</v>
      </c>
      <c r="J354" s="57">
        <v>650000</v>
      </c>
    </row>
    <row r="355" spans="1:10" ht="15" x14ac:dyDescent="0.4">
      <c r="A355" s="54">
        <v>46192</v>
      </c>
      <c r="B355" s="57">
        <v>99629</v>
      </c>
      <c r="C355" s="55">
        <v>30</v>
      </c>
      <c r="D355" s="55">
        <v>7</v>
      </c>
      <c r="E355" s="55">
        <v>5</v>
      </c>
      <c r="F355" s="55">
        <v>1</v>
      </c>
      <c r="G355" s="57">
        <v>1500000</v>
      </c>
      <c r="H355" s="57">
        <v>170000</v>
      </c>
      <c r="I355" s="57">
        <v>480000</v>
      </c>
      <c r="J355" s="57">
        <v>-310000</v>
      </c>
    </row>
    <row r="356" spans="1:10" ht="15" x14ac:dyDescent="0.4">
      <c r="A356" s="54">
        <v>46193</v>
      </c>
      <c r="B356" s="57">
        <v>105109</v>
      </c>
      <c r="C356" s="55">
        <v>19</v>
      </c>
      <c r="D356" s="55">
        <v>11</v>
      </c>
      <c r="E356" s="55">
        <v>4</v>
      </c>
      <c r="F356" s="55">
        <v>2</v>
      </c>
      <c r="G356" s="57">
        <v>630000</v>
      </c>
      <c r="H356" s="57">
        <v>2470000</v>
      </c>
      <c r="I356" s="57">
        <v>0</v>
      </c>
      <c r="J356" s="57">
        <v>2470000</v>
      </c>
    </row>
    <row r="357" spans="1:10" ht="15" x14ac:dyDescent="0.4">
      <c r="A357" s="54">
        <v>46194</v>
      </c>
      <c r="B357" s="57">
        <v>101769</v>
      </c>
      <c r="C357" s="55">
        <v>24</v>
      </c>
      <c r="D357" s="55">
        <v>8</v>
      </c>
      <c r="E357" s="55">
        <v>3</v>
      </c>
      <c r="F357" s="55">
        <v>0</v>
      </c>
      <c r="G357" s="57">
        <v>0</v>
      </c>
      <c r="H357" s="57">
        <v>480000</v>
      </c>
      <c r="I357" s="57">
        <v>0</v>
      </c>
      <c r="J357" s="57">
        <v>480000</v>
      </c>
    </row>
    <row r="358" spans="1:10" ht="15" x14ac:dyDescent="0.4">
      <c r="A358" s="54">
        <v>46195</v>
      </c>
      <c r="B358" s="57">
        <v>97975</v>
      </c>
      <c r="C358" s="55">
        <v>31</v>
      </c>
      <c r="D358" s="55">
        <v>4</v>
      </c>
      <c r="E358" s="55">
        <v>7</v>
      </c>
      <c r="F358" s="55">
        <v>0</v>
      </c>
      <c r="G358" s="57">
        <v>0</v>
      </c>
      <c r="H358" s="57">
        <v>0</v>
      </c>
      <c r="I358" s="57">
        <v>0</v>
      </c>
      <c r="J358" s="57">
        <v>0</v>
      </c>
    </row>
    <row r="359" spans="1:10" ht="15" x14ac:dyDescent="0.4">
      <c r="A359" s="54">
        <v>46196</v>
      </c>
      <c r="B359" s="57">
        <v>104034</v>
      </c>
      <c r="C359" s="55">
        <v>47</v>
      </c>
      <c r="D359" s="55">
        <v>8</v>
      </c>
      <c r="E359" s="55">
        <v>3</v>
      </c>
      <c r="F359" s="55">
        <v>1</v>
      </c>
      <c r="G359" s="57">
        <v>150000</v>
      </c>
      <c r="H359" s="57">
        <v>150000</v>
      </c>
      <c r="I359" s="57">
        <v>0</v>
      </c>
      <c r="J359" s="57">
        <v>150000</v>
      </c>
    </row>
    <row r="360" spans="1:10" ht="15" x14ac:dyDescent="0.4">
      <c r="A360" s="54">
        <v>46197</v>
      </c>
      <c r="B360" s="57">
        <v>92012</v>
      </c>
      <c r="C360" s="55">
        <v>31</v>
      </c>
      <c r="D360" s="55">
        <v>8</v>
      </c>
      <c r="E360" s="55">
        <v>2</v>
      </c>
      <c r="F360" s="55">
        <v>0</v>
      </c>
      <c r="G360" s="57">
        <v>0</v>
      </c>
      <c r="H360" s="57">
        <v>0</v>
      </c>
      <c r="I360" s="57">
        <v>0</v>
      </c>
      <c r="J360" s="57">
        <v>0</v>
      </c>
    </row>
    <row r="361" spans="1:10" ht="15" x14ac:dyDescent="0.4">
      <c r="A361" s="54">
        <v>46198</v>
      </c>
      <c r="B361" s="57">
        <v>100556</v>
      </c>
      <c r="C361" s="55">
        <v>50</v>
      </c>
      <c r="D361" s="55">
        <v>11</v>
      </c>
      <c r="E361" s="55">
        <v>3</v>
      </c>
      <c r="F361" s="55">
        <v>0</v>
      </c>
      <c r="G361" s="57">
        <v>0</v>
      </c>
      <c r="H361" s="57">
        <v>340000</v>
      </c>
      <c r="I361" s="57">
        <v>0</v>
      </c>
      <c r="J361" s="57">
        <v>340000</v>
      </c>
    </row>
    <row r="362" spans="1:10" ht="15" x14ac:dyDescent="0.4">
      <c r="A362" s="54">
        <v>46199</v>
      </c>
      <c r="B362" s="57">
        <v>98943</v>
      </c>
      <c r="C362" s="55">
        <v>36</v>
      </c>
      <c r="D362" s="55">
        <v>11</v>
      </c>
      <c r="E362" s="55">
        <v>6</v>
      </c>
      <c r="F362" s="55">
        <v>2</v>
      </c>
      <c r="G362" s="57">
        <v>2010000</v>
      </c>
      <c r="H362" s="57">
        <v>170000</v>
      </c>
      <c r="I362" s="57">
        <v>0</v>
      </c>
      <c r="J362" s="57">
        <v>170000</v>
      </c>
    </row>
    <row r="363" spans="1:10" ht="15" x14ac:dyDescent="0.4">
      <c r="A363" s="54">
        <v>46200</v>
      </c>
      <c r="B363" s="57">
        <v>100693</v>
      </c>
      <c r="C363" s="55">
        <v>17</v>
      </c>
      <c r="D363" s="55">
        <v>12</v>
      </c>
      <c r="E363" s="55">
        <v>2</v>
      </c>
      <c r="F363" s="55">
        <v>1</v>
      </c>
      <c r="G363" s="57">
        <v>480000</v>
      </c>
      <c r="H363" s="57">
        <v>920000</v>
      </c>
      <c r="I363" s="57">
        <v>0</v>
      </c>
      <c r="J363" s="57">
        <v>920000</v>
      </c>
    </row>
    <row r="364" spans="1:10" ht="15" x14ac:dyDescent="0.4">
      <c r="A364" s="54">
        <v>46201</v>
      </c>
      <c r="B364" s="57">
        <v>96154</v>
      </c>
      <c r="C364" s="55">
        <v>21</v>
      </c>
      <c r="D364" s="55">
        <v>6</v>
      </c>
      <c r="E364" s="55">
        <v>6</v>
      </c>
      <c r="F364" s="55">
        <v>0</v>
      </c>
      <c r="G364" s="57">
        <v>0</v>
      </c>
      <c r="H364" s="57">
        <v>0</v>
      </c>
      <c r="I364" s="57">
        <v>0</v>
      </c>
      <c r="J364" s="57">
        <v>0</v>
      </c>
    </row>
    <row r="365" spans="1:10" ht="15" x14ac:dyDescent="0.4">
      <c r="A365" s="54">
        <v>46202</v>
      </c>
      <c r="B365" s="57">
        <v>95738</v>
      </c>
      <c r="C365" s="55">
        <v>29</v>
      </c>
      <c r="D365" s="55">
        <v>7</v>
      </c>
      <c r="E365" s="55">
        <v>4</v>
      </c>
      <c r="F365" s="55">
        <v>2</v>
      </c>
      <c r="G365" s="57">
        <v>1980000</v>
      </c>
      <c r="H365" s="57">
        <v>650000</v>
      </c>
      <c r="I365" s="57">
        <v>0</v>
      </c>
      <c r="J365" s="57">
        <v>650000</v>
      </c>
    </row>
    <row r="366" spans="1:10" ht="15" x14ac:dyDescent="0.4">
      <c r="A366" s="54">
        <v>46203</v>
      </c>
      <c r="B366" s="57">
        <v>95255</v>
      </c>
      <c r="C366" s="55">
        <v>35</v>
      </c>
      <c r="D366" s="55">
        <v>10</v>
      </c>
      <c r="E366" s="55">
        <v>4</v>
      </c>
      <c r="F366" s="55">
        <v>1</v>
      </c>
      <c r="G366" s="57">
        <v>510000</v>
      </c>
      <c r="H366" s="57">
        <v>2320000</v>
      </c>
      <c r="I366" s="57">
        <v>0</v>
      </c>
      <c r="J366" s="57">
        <v>2320000</v>
      </c>
    </row>
    <row r="367" spans="1:10" ht="15" x14ac:dyDescent="0.4">
      <c r="A367" s="54">
        <v>46204</v>
      </c>
      <c r="B367" s="57">
        <v>95838</v>
      </c>
      <c r="C367" s="55">
        <v>30</v>
      </c>
      <c r="D367" s="55">
        <v>10</v>
      </c>
      <c r="E367" s="55">
        <v>1</v>
      </c>
      <c r="F367" s="55">
        <v>1</v>
      </c>
      <c r="G367" s="57">
        <v>510000</v>
      </c>
      <c r="H367" s="57">
        <v>510000</v>
      </c>
      <c r="I367" s="57">
        <v>0</v>
      </c>
      <c r="J367" s="57">
        <v>510000</v>
      </c>
    </row>
    <row r="368" spans="1:10" ht="15" x14ac:dyDescent="0.4">
      <c r="A368" s="54">
        <v>46205</v>
      </c>
      <c r="B368" s="57">
        <v>101368</v>
      </c>
      <c r="C368" s="55">
        <v>30</v>
      </c>
      <c r="D368" s="55">
        <v>14</v>
      </c>
      <c r="E368" s="55">
        <v>5</v>
      </c>
      <c r="F368" s="55">
        <v>2</v>
      </c>
      <c r="G368" s="57">
        <v>990000</v>
      </c>
      <c r="H368" s="57">
        <v>0</v>
      </c>
      <c r="I368" s="57">
        <v>0</v>
      </c>
      <c r="J368" s="57">
        <v>0</v>
      </c>
    </row>
    <row r="369" spans="1:10" ht="15" x14ac:dyDescent="0.4">
      <c r="A369" s="54">
        <v>46206</v>
      </c>
      <c r="B369" s="57">
        <v>98113</v>
      </c>
      <c r="C369" s="55">
        <v>30</v>
      </c>
      <c r="D369" s="55">
        <v>11</v>
      </c>
      <c r="E369" s="55">
        <v>3</v>
      </c>
      <c r="F369" s="55">
        <v>1</v>
      </c>
      <c r="G369" s="57">
        <v>510000</v>
      </c>
      <c r="H369" s="57">
        <v>650000</v>
      </c>
      <c r="I369" s="57">
        <v>0</v>
      </c>
      <c r="J369" s="57">
        <v>650000</v>
      </c>
    </row>
    <row r="370" spans="1:10" ht="15" x14ac:dyDescent="0.4">
      <c r="A370" s="54">
        <v>46207</v>
      </c>
      <c r="B370" s="57">
        <v>102205</v>
      </c>
      <c r="C370" s="55">
        <v>23</v>
      </c>
      <c r="D370" s="55">
        <v>6</v>
      </c>
      <c r="E370" s="55">
        <v>2</v>
      </c>
      <c r="F370" s="55">
        <v>3</v>
      </c>
      <c r="G370" s="57">
        <v>3150000</v>
      </c>
      <c r="H370" s="57">
        <v>1240000</v>
      </c>
      <c r="I370" s="57">
        <v>0</v>
      </c>
      <c r="J370" s="57">
        <v>1240000</v>
      </c>
    </row>
    <row r="371" spans="1:10" ht="15" x14ac:dyDescent="0.4">
      <c r="A371" s="54">
        <v>46208</v>
      </c>
      <c r="B371" s="57">
        <v>96076</v>
      </c>
      <c r="C371" s="55">
        <v>18</v>
      </c>
      <c r="D371" s="55">
        <v>10</v>
      </c>
      <c r="E371" s="55">
        <v>4</v>
      </c>
      <c r="F371" s="55">
        <v>2</v>
      </c>
      <c r="G371" s="57">
        <v>1650000</v>
      </c>
      <c r="H371" s="57">
        <v>1650000</v>
      </c>
      <c r="I371" s="57">
        <v>0</v>
      </c>
      <c r="J371" s="57">
        <v>1650000</v>
      </c>
    </row>
    <row r="372" spans="1:10" ht="15" x14ac:dyDescent="0.4">
      <c r="A372" s="54">
        <v>46209</v>
      </c>
      <c r="B372" s="57">
        <v>99339</v>
      </c>
      <c r="C372" s="55">
        <v>35</v>
      </c>
      <c r="D372" s="55">
        <v>4</v>
      </c>
      <c r="E372" s="55">
        <v>6</v>
      </c>
      <c r="F372" s="55">
        <v>0</v>
      </c>
      <c r="G372" s="57">
        <v>0</v>
      </c>
      <c r="H372" s="57">
        <v>170000</v>
      </c>
      <c r="I372" s="57">
        <v>150000</v>
      </c>
      <c r="J372" s="57">
        <v>20000</v>
      </c>
    </row>
    <row r="373" spans="1:10" ht="15" x14ac:dyDescent="0.4">
      <c r="A373" s="54">
        <v>46210</v>
      </c>
      <c r="B373" s="57">
        <v>104843</v>
      </c>
      <c r="C373" s="55">
        <v>50</v>
      </c>
      <c r="D373" s="55">
        <v>14</v>
      </c>
      <c r="E373" s="55">
        <v>6</v>
      </c>
      <c r="F373" s="55">
        <v>1</v>
      </c>
      <c r="G373" s="57">
        <v>510000</v>
      </c>
      <c r="H373" s="57">
        <v>2250000</v>
      </c>
      <c r="I373" s="57">
        <v>0</v>
      </c>
      <c r="J373" s="57">
        <v>2250000</v>
      </c>
    </row>
    <row r="374" spans="1:10" ht="15" x14ac:dyDescent="0.4">
      <c r="A374" s="54">
        <v>46211</v>
      </c>
      <c r="B374" s="57">
        <v>103770</v>
      </c>
      <c r="C374" s="55">
        <v>30</v>
      </c>
      <c r="D374" s="55">
        <v>11</v>
      </c>
      <c r="E374" s="55">
        <v>4</v>
      </c>
      <c r="F374" s="55">
        <v>2</v>
      </c>
      <c r="G374" s="57">
        <v>300000</v>
      </c>
      <c r="H374" s="57">
        <v>470000</v>
      </c>
      <c r="I374" s="57">
        <v>0</v>
      </c>
      <c r="J374" s="57">
        <v>470000</v>
      </c>
    </row>
    <row r="375" spans="1:10" ht="15" x14ac:dyDescent="0.4">
      <c r="A375" s="54">
        <v>46212</v>
      </c>
      <c r="B375" s="57">
        <v>96615</v>
      </c>
      <c r="C375" s="55">
        <v>41</v>
      </c>
      <c r="D375" s="55">
        <v>7</v>
      </c>
      <c r="E375" s="55">
        <v>12</v>
      </c>
      <c r="F375" s="55">
        <v>1</v>
      </c>
      <c r="G375" s="57">
        <v>510000</v>
      </c>
      <c r="H375" s="57">
        <v>0</v>
      </c>
      <c r="I375" s="57">
        <v>0</v>
      </c>
      <c r="J375" s="57">
        <v>0</v>
      </c>
    </row>
    <row r="376" spans="1:10" ht="15" x14ac:dyDescent="0.4">
      <c r="A376" s="54">
        <v>46213</v>
      </c>
      <c r="B376" s="57">
        <v>101915</v>
      </c>
      <c r="C376" s="55">
        <v>30</v>
      </c>
      <c r="D376" s="55">
        <v>10</v>
      </c>
      <c r="E376" s="55">
        <v>2</v>
      </c>
      <c r="F376" s="55">
        <v>3</v>
      </c>
      <c r="G376" s="57">
        <v>2520000</v>
      </c>
      <c r="H376" s="57">
        <v>510000</v>
      </c>
      <c r="I376" s="57">
        <v>0</v>
      </c>
      <c r="J376" s="57">
        <v>510000</v>
      </c>
    </row>
    <row r="377" spans="1:10" ht="15" x14ac:dyDescent="0.4">
      <c r="A377" s="54">
        <v>46214</v>
      </c>
      <c r="B377" s="57">
        <v>101088</v>
      </c>
      <c r="C377" s="55">
        <v>20</v>
      </c>
      <c r="D377" s="55">
        <v>10</v>
      </c>
      <c r="E377" s="55">
        <v>3</v>
      </c>
      <c r="F377" s="55">
        <v>1</v>
      </c>
      <c r="G377" s="57">
        <v>1500000</v>
      </c>
      <c r="H377" s="57">
        <v>0</v>
      </c>
      <c r="I377" s="57">
        <v>0</v>
      </c>
      <c r="J377" s="57">
        <v>0</v>
      </c>
    </row>
    <row r="378" spans="1:10" ht="15" x14ac:dyDescent="0.4">
      <c r="A378" s="54">
        <v>46215</v>
      </c>
      <c r="B378" s="57">
        <v>99887</v>
      </c>
      <c r="C378" s="55">
        <v>23</v>
      </c>
      <c r="D378" s="55">
        <v>9</v>
      </c>
      <c r="E378" s="55">
        <v>2</v>
      </c>
      <c r="F378" s="55">
        <v>0</v>
      </c>
      <c r="G378" s="57">
        <v>0</v>
      </c>
      <c r="H378" s="57">
        <v>3000000</v>
      </c>
      <c r="I378" s="57">
        <v>0</v>
      </c>
      <c r="J378" s="57">
        <v>3000000</v>
      </c>
    </row>
    <row r="379" spans="1:10" ht="15" x14ac:dyDescent="0.4">
      <c r="A379" s="54">
        <v>46216</v>
      </c>
      <c r="B379" s="57">
        <v>98635</v>
      </c>
      <c r="C379" s="55">
        <v>38</v>
      </c>
      <c r="D379" s="55">
        <v>10</v>
      </c>
      <c r="E379" s="55">
        <v>4</v>
      </c>
      <c r="F379" s="55">
        <v>0</v>
      </c>
      <c r="G379" s="57">
        <v>0</v>
      </c>
      <c r="H379" s="57">
        <v>510000</v>
      </c>
      <c r="I379" s="57">
        <v>0</v>
      </c>
      <c r="J379" s="57">
        <v>510000</v>
      </c>
    </row>
    <row r="380" spans="1:10" ht="15" x14ac:dyDescent="0.4">
      <c r="A380" s="54">
        <v>46217</v>
      </c>
      <c r="B380" s="57">
        <v>101822</v>
      </c>
      <c r="C380" s="55">
        <v>54</v>
      </c>
      <c r="D380" s="55">
        <v>11</v>
      </c>
      <c r="E380" s="55">
        <v>6</v>
      </c>
      <c r="F380" s="55">
        <v>4</v>
      </c>
      <c r="G380" s="57">
        <v>2310000</v>
      </c>
      <c r="H380" s="57">
        <v>300000</v>
      </c>
      <c r="I380" s="57">
        <v>1500000</v>
      </c>
      <c r="J380" s="57">
        <v>-1200000</v>
      </c>
    </row>
    <row r="381" spans="1:10" ht="15" x14ac:dyDescent="0.4">
      <c r="A381" s="54">
        <v>46218</v>
      </c>
      <c r="B381" s="57">
        <v>105058</v>
      </c>
      <c r="C381" s="55">
        <v>26</v>
      </c>
      <c r="D381" s="55">
        <v>9</v>
      </c>
      <c r="E381" s="55">
        <v>4</v>
      </c>
      <c r="F381" s="55">
        <v>0</v>
      </c>
      <c r="G381" s="57">
        <v>0</v>
      </c>
      <c r="H381" s="57">
        <v>1670000</v>
      </c>
      <c r="I381" s="57">
        <v>0</v>
      </c>
      <c r="J381" s="57">
        <v>1670000</v>
      </c>
    </row>
    <row r="382" spans="1:10" ht="15" x14ac:dyDescent="0.4">
      <c r="A382" s="54">
        <v>46219</v>
      </c>
      <c r="B382" s="57">
        <v>102353</v>
      </c>
      <c r="C382" s="55">
        <v>33</v>
      </c>
      <c r="D382" s="55">
        <v>9</v>
      </c>
      <c r="E382" s="55">
        <v>4</v>
      </c>
      <c r="F382" s="55">
        <v>0</v>
      </c>
      <c r="G382" s="57">
        <v>0</v>
      </c>
      <c r="H382" s="57">
        <v>0</v>
      </c>
      <c r="I382" s="57">
        <v>0</v>
      </c>
      <c r="J382" s="57">
        <v>0</v>
      </c>
    </row>
    <row r="383" spans="1:10" ht="15" x14ac:dyDescent="0.4">
      <c r="A383" s="54">
        <v>46220</v>
      </c>
      <c r="B383" s="57">
        <v>104208</v>
      </c>
      <c r="C383" s="55">
        <v>39</v>
      </c>
      <c r="D383" s="55">
        <v>13</v>
      </c>
      <c r="E383" s="55">
        <v>5</v>
      </c>
      <c r="F383" s="55">
        <v>1</v>
      </c>
      <c r="G383" s="57">
        <v>150000</v>
      </c>
      <c r="H383" s="57">
        <v>150000</v>
      </c>
      <c r="I383" s="57">
        <v>0</v>
      </c>
      <c r="J383" s="57">
        <v>150000</v>
      </c>
    </row>
    <row r="384" spans="1:10" ht="15" x14ac:dyDescent="0.4">
      <c r="A384" s="54">
        <v>46221</v>
      </c>
      <c r="B384" s="57">
        <v>98103</v>
      </c>
      <c r="C384" s="55">
        <v>31</v>
      </c>
      <c r="D384" s="55">
        <v>12</v>
      </c>
      <c r="E384" s="55">
        <v>4</v>
      </c>
      <c r="F384" s="55">
        <v>0</v>
      </c>
      <c r="G384" s="57">
        <v>0</v>
      </c>
      <c r="H384" s="57">
        <v>170000</v>
      </c>
      <c r="I384" s="57">
        <v>0</v>
      </c>
      <c r="J384" s="57">
        <v>170000</v>
      </c>
    </row>
    <row r="385" spans="1:10" ht="15" x14ac:dyDescent="0.4">
      <c r="A385" s="54">
        <v>46222</v>
      </c>
      <c r="B385" s="57">
        <v>97940</v>
      </c>
      <c r="C385" s="55">
        <v>24</v>
      </c>
      <c r="D385" s="55">
        <v>9</v>
      </c>
      <c r="E385" s="55">
        <v>8</v>
      </c>
      <c r="F385" s="55">
        <v>2</v>
      </c>
      <c r="G385" s="57">
        <v>990000</v>
      </c>
      <c r="H385" s="57">
        <v>480000</v>
      </c>
      <c r="I385" s="57">
        <v>0</v>
      </c>
      <c r="J385" s="57">
        <v>480000</v>
      </c>
    </row>
    <row r="386" spans="1:10" ht="15" x14ac:dyDescent="0.4">
      <c r="A386" s="54">
        <v>46223</v>
      </c>
      <c r="B386" s="57">
        <v>95670</v>
      </c>
      <c r="C386" s="55">
        <v>27</v>
      </c>
      <c r="D386" s="55">
        <v>9</v>
      </c>
      <c r="E386" s="55">
        <v>5</v>
      </c>
      <c r="F386" s="55">
        <v>0</v>
      </c>
      <c r="G386" s="57">
        <v>0</v>
      </c>
      <c r="H386" s="57">
        <v>340000</v>
      </c>
      <c r="I386" s="57">
        <v>0</v>
      </c>
      <c r="J386" s="57">
        <v>340000</v>
      </c>
    </row>
    <row r="387" spans="1:10" ht="15" x14ac:dyDescent="0.4">
      <c r="A387" s="54">
        <v>46224</v>
      </c>
      <c r="B387" s="57">
        <v>99154</v>
      </c>
      <c r="C387" s="55">
        <v>43</v>
      </c>
      <c r="D387" s="55">
        <v>8</v>
      </c>
      <c r="E387" s="55">
        <v>9</v>
      </c>
      <c r="F387" s="55">
        <v>2</v>
      </c>
      <c r="G387" s="57">
        <v>630000</v>
      </c>
      <c r="H387" s="57">
        <v>950000</v>
      </c>
      <c r="I387" s="57">
        <v>0</v>
      </c>
      <c r="J387" s="57">
        <v>950000</v>
      </c>
    </row>
    <row r="388" spans="1:10" ht="15" x14ac:dyDescent="0.4">
      <c r="A388" s="54">
        <v>46225</v>
      </c>
      <c r="B388" s="57">
        <v>105142</v>
      </c>
      <c r="C388" s="55">
        <v>39</v>
      </c>
      <c r="D388" s="55">
        <v>8</v>
      </c>
      <c r="E388" s="55">
        <v>4</v>
      </c>
      <c r="F388" s="55">
        <v>1</v>
      </c>
      <c r="G388" s="57">
        <v>1500000</v>
      </c>
      <c r="H388" s="57">
        <v>0</v>
      </c>
      <c r="I388" s="57">
        <v>0</v>
      </c>
      <c r="J388" s="57">
        <v>0</v>
      </c>
    </row>
    <row r="389" spans="1:10" ht="15" x14ac:dyDescent="0.4">
      <c r="A389" s="54">
        <v>46226</v>
      </c>
      <c r="B389" s="57">
        <v>102458</v>
      </c>
      <c r="C389" s="55">
        <v>36</v>
      </c>
      <c r="D389" s="55">
        <v>15</v>
      </c>
      <c r="E389" s="55">
        <v>7</v>
      </c>
      <c r="F389" s="55">
        <v>3</v>
      </c>
      <c r="G389" s="57">
        <v>2130000</v>
      </c>
      <c r="H389" s="57">
        <v>2400000</v>
      </c>
      <c r="I389" s="57">
        <v>0</v>
      </c>
      <c r="J389" s="57">
        <v>2400000</v>
      </c>
    </row>
    <row r="390" spans="1:10" ht="15" x14ac:dyDescent="0.4">
      <c r="A390" s="54">
        <v>46227</v>
      </c>
      <c r="B390" s="57">
        <v>97362</v>
      </c>
      <c r="C390" s="55">
        <v>36</v>
      </c>
      <c r="D390" s="55">
        <v>9</v>
      </c>
      <c r="E390" s="55">
        <v>3</v>
      </c>
      <c r="F390" s="55">
        <v>3</v>
      </c>
      <c r="G390" s="57">
        <v>2520000</v>
      </c>
      <c r="H390" s="57">
        <v>650000</v>
      </c>
      <c r="I390" s="57">
        <v>0</v>
      </c>
      <c r="J390" s="57">
        <v>650000</v>
      </c>
    </row>
    <row r="391" spans="1:10" ht="15" x14ac:dyDescent="0.4">
      <c r="A391" s="54">
        <v>46228</v>
      </c>
      <c r="B391" s="57">
        <v>100845</v>
      </c>
      <c r="C391" s="55">
        <v>29</v>
      </c>
      <c r="D391" s="55">
        <v>12</v>
      </c>
      <c r="E391" s="55">
        <v>6</v>
      </c>
      <c r="F391" s="55">
        <v>2</v>
      </c>
      <c r="G391" s="57">
        <v>630000</v>
      </c>
      <c r="H391" s="57">
        <v>1240000</v>
      </c>
      <c r="I391" s="57">
        <v>0</v>
      </c>
      <c r="J391" s="57">
        <v>1240000</v>
      </c>
    </row>
    <row r="392" spans="1:10" ht="15" x14ac:dyDescent="0.4">
      <c r="A392" s="54">
        <v>46229</v>
      </c>
      <c r="B392" s="57">
        <v>99677</v>
      </c>
      <c r="C392" s="55">
        <v>23</v>
      </c>
      <c r="D392" s="55">
        <v>10</v>
      </c>
      <c r="E392" s="55">
        <v>7</v>
      </c>
      <c r="F392" s="55">
        <v>4</v>
      </c>
      <c r="G392" s="57">
        <v>3630000</v>
      </c>
      <c r="H392" s="57">
        <v>2300000</v>
      </c>
      <c r="I392" s="57">
        <v>0</v>
      </c>
      <c r="J392" s="57">
        <v>2300000</v>
      </c>
    </row>
    <row r="393" spans="1:10" ht="15" x14ac:dyDescent="0.4">
      <c r="A393" s="54">
        <v>46230</v>
      </c>
      <c r="B393" s="57">
        <v>104501</v>
      </c>
      <c r="C393" s="55">
        <v>25</v>
      </c>
      <c r="D393" s="55">
        <v>13</v>
      </c>
      <c r="E393" s="55">
        <v>3</v>
      </c>
      <c r="F393" s="55">
        <v>1</v>
      </c>
      <c r="G393" s="57">
        <v>480000</v>
      </c>
      <c r="H393" s="57">
        <v>2300000</v>
      </c>
      <c r="I393" s="57">
        <v>0</v>
      </c>
      <c r="J393" s="57">
        <v>2300000</v>
      </c>
    </row>
    <row r="394" spans="1:10" ht="15" x14ac:dyDescent="0.4">
      <c r="A394" s="54">
        <v>46231</v>
      </c>
      <c r="B394" s="57">
        <v>103082</v>
      </c>
      <c r="C394" s="55">
        <v>29</v>
      </c>
      <c r="D394" s="55">
        <v>7</v>
      </c>
      <c r="E394" s="55">
        <v>7</v>
      </c>
      <c r="F394" s="55">
        <v>0</v>
      </c>
      <c r="G394" s="57">
        <v>0</v>
      </c>
      <c r="H394" s="57">
        <v>480000</v>
      </c>
      <c r="I394" s="57">
        <v>0</v>
      </c>
      <c r="J394" s="57">
        <v>480000</v>
      </c>
    </row>
    <row r="395" spans="1:10" ht="15" x14ac:dyDescent="0.4">
      <c r="A395" s="54">
        <v>46232</v>
      </c>
      <c r="B395" s="57">
        <v>105208</v>
      </c>
      <c r="C395" s="55">
        <v>25</v>
      </c>
      <c r="D395" s="55">
        <v>10</v>
      </c>
      <c r="E395" s="55">
        <v>4</v>
      </c>
      <c r="F395" s="55">
        <v>2</v>
      </c>
      <c r="G395" s="57">
        <v>660000</v>
      </c>
      <c r="H395" s="57">
        <v>470000</v>
      </c>
      <c r="I395" s="57">
        <v>0</v>
      </c>
      <c r="J395" s="57">
        <v>470000</v>
      </c>
    </row>
    <row r="396" spans="1:10" ht="15" x14ac:dyDescent="0.4">
      <c r="A396" s="54">
        <v>46233</v>
      </c>
      <c r="B396" s="57">
        <v>104835</v>
      </c>
      <c r="C396" s="55">
        <v>32</v>
      </c>
      <c r="D396" s="55">
        <v>9</v>
      </c>
      <c r="E396" s="55">
        <v>2</v>
      </c>
      <c r="F396" s="55">
        <v>0</v>
      </c>
      <c r="G396" s="57">
        <v>0</v>
      </c>
      <c r="H396" s="57">
        <v>170000</v>
      </c>
      <c r="I396" s="57">
        <v>0</v>
      </c>
      <c r="J396" s="57">
        <v>170000</v>
      </c>
    </row>
    <row r="397" spans="1:10" ht="15" x14ac:dyDescent="0.4">
      <c r="A397" s="54">
        <v>46234</v>
      </c>
      <c r="B397" s="57">
        <v>101081</v>
      </c>
      <c r="C397" s="55">
        <v>38</v>
      </c>
      <c r="D397" s="55">
        <v>6</v>
      </c>
      <c r="E397" s="55">
        <v>8</v>
      </c>
      <c r="F397" s="55">
        <v>0</v>
      </c>
      <c r="G397" s="57">
        <v>0</v>
      </c>
      <c r="H397" s="57">
        <v>340000</v>
      </c>
      <c r="I397" s="57">
        <v>0</v>
      </c>
      <c r="J397" s="57">
        <v>340000</v>
      </c>
    </row>
    <row r="398" spans="1:10" ht="15" x14ac:dyDescent="0.4">
      <c r="A398" s="54">
        <v>46235</v>
      </c>
      <c r="B398" s="57">
        <v>97493</v>
      </c>
      <c r="C398" s="55">
        <v>21</v>
      </c>
      <c r="D398" s="55">
        <v>10</v>
      </c>
      <c r="E398" s="55">
        <v>4</v>
      </c>
      <c r="F398" s="55">
        <v>3</v>
      </c>
      <c r="G398" s="57">
        <v>2460000</v>
      </c>
      <c r="H398" s="57">
        <v>750000</v>
      </c>
      <c r="I398" s="57">
        <v>0</v>
      </c>
      <c r="J398" s="57">
        <v>750000</v>
      </c>
    </row>
    <row r="399" spans="1:10" ht="15" x14ac:dyDescent="0.4">
      <c r="A399" s="54">
        <v>46236</v>
      </c>
      <c r="B399" s="57">
        <v>99570</v>
      </c>
      <c r="C399" s="55">
        <v>17</v>
      </c>
      <c r="D399" s="55">
        <v>14</v>
      </c>
      <c r="E399" s="55">
        <v>4</v>
      </c>
      <c r="F399" s="55">
        <v>1</v>
      </c>
      <c r="G399" s="57">
        <v>510000</v>
      </c>
      <c r="H399" s="57">
        <v>1450000</v>
      </c>
      <c r="I399" s="57">
        <v>0</v>
      </c>
      <c r="J399" s="57">
        <v>1450000</v>
      </c>
    </row>
    <row r="400" spans="1:10" ht="15" x14ac:dyDescent="0.4">
      <c r="A400" s="54">
        <v>46237</v>
      </c>
      <c r="B400" s="57">
        <v>97208</v>
      </c>
      <c r="C400" s="55">
        <v>40</v>
      </c>
      <c r="D400" s="55">
        <v>5</v>
      </c>
      <c r="E400" s="55">
        <v>5</v>
      </c>
      <c r="F400" s="55">
        <v>3</v>
      </c>
      <c r="G400" s="57">
        <v>2160000</v>
      </c>
      <c r="H400" s="57">
        <v>2570000</v>
      </c>
      <c r="I400" s="57">
        <v>0</v>
      </c>
      <c r="J400" s="57">
        <v>2570000</v>
      </c>
    </row>
    <row r="401" spans="1:10" ht="15" x14ac:dyDescent="0.4">
      <c r="A401" s="54">
        <v>46238</v>
      </c>
      <c r="B401" s="57">
        <v>96044</v>
      </c>
      <c r="C401" s="55">
        <v>33</v>
      </c>
      <c r="D401" s="55">
        <v>9</v>
      </c>
      <c r="E401" s="55">
        <v>1</v>
      </c>
      <c r="F401" s="55">
        <v>1</v>
      </c>
      <c r="G401" s="57">
        <v>510000</v>
      </c>
      <c r="H401" s="57">
        <v>0</v>
      </c>
      <c r="I401" s="57">
        <v>0</v>
      </c>
      <c r="J401" s="57">
        <v>0</v>
      </c>
    </row>
    <row r="402" spans="1:10" ht="15" x14ac:dyDescent="0.4">
      <c r="A402" s="54">
        <v>46239</v>
      </c>
      <c r="B402" s="57">
        <v>104942</v>
      </c>
      <c r="C402" s="55">
        <v>39</v>
      </c>
      <c r="D402" s="55">
        <v>13</v>
      </c>
      <c r="E402" s="55">
        <v>5</v>
      </c>
      <c r="F402" s="55">
        <v>0</v>
      </c>
      <c r="G402" s="57">
        <v>0</v>
      </c>
      <c r="H402" s="57">
        <v>0</v>
      </c>
      <c r="I402" s="57">
        <v>240000</v>
      </c>
      <c r="J402" s="57">
        <v>-240000</v>
      </c>
    </row>
    <row r="403" spans="1:10" ht="15" x14ac:dyDescent="0.4">
      <c r="A403" s="54">
        <v>46240</v>
      </c>
      <c r="B403" s="57">
        <v>96868</v>
      </c>
      <c r="C403" s="55">
        <v>30</v>
      </c>
      <c r="D403" s="55">
        <v>10</v>
      </c>
      <c r="E403" s="55">
        <v>4</v>
      </c>
      <c r="F403" s="55">
        <v>3</v>
      </c>
      <c r="G403" s="57">
        <v>1800000</v>
      </c>
      <c r="H403" s="57">
        <v>470000</v>
      </c>
      <c r="I403" s="57">
        <v>0</v>
      </c>
      <c r="J403" s="57">
        <v>470000</v>
      </c>
    </row>
    <row r="404" spans="1:10" ht="15" x14ac:dyDescent="0.4">
      <c r="A404" s="54">
        <v>46241</v>
      </c>
      <c r="B404" s="57">
        <v>99633</v>
      </c>
      <c r="C404" s="55">
        <v>29</v>
      </c>
      <c r="D404" s="55">
        <v>7</v>
      </c>
      <c r="E404" s="55">
        <v>5</v>
      </c>
      <c r="F404" s="55">
        <v>0</v>
      </c>
      <c r="G404" s="57">
        <v>0</v>
      </c>
      <c r="H404" s="57">
        <v>1840000</v>
      </c>
      <c r="I404" s="57">
        <v>0</v>
      </c>
      <c r="J404" s="57">
        <v>1840000</v>
      </c>
    </row>
    <row r="405" spans="1:10" ht="15" x14ac:dyDescent="0.4">
      <c r="A405" s="54">
        <v>46242</v>
      </c>
      <c r="B405" s="57">
        <v>104137</v>
      </c>
      <c r="C405" s="55">
        <v>17</v>
      </c>
      <c r="D405" s="55">
        <v>6</v>
      </c>
      <c r="E405" s="55">
        <v>10</v>
      </c>
      <c r="F405" s="55">
        <v>2</v>
      </c>
      <c r="G405" s="57">
        <v>630000</v>
      </c>
      <c r="H405" s="57">
        <v>150000</v>
      </c>
      <c r="I405" s="57">
        <v>0</v>
      </c>
      <c r="J405" s="57">
        <v>150000</v>
      </c>
    </row>
    <row r="406" spans="1:10" ht="15" x14ac:dyDescent="0.4">
      <c r="A406" s="54">
        <v>46243</v>
      </c>
      <c r="B406" s="57">
        <v>96361</v>
      </c>
      <c r="C406" s="55">
        <v>25</v>
      </c>
      <c r="D406" s="55">
        <v>11</v>
      </c>
      <c r="E406" s="55">
        <v>3</v>
      </c>
      <c r="F406" s="55">
        <v>1</v>
      </c>
      <c r="G406" s="57">
        <v>510000</v>
      </c>
      <c r="H406" s="57">
        <v>820000</v>
      </c>
      <c r="I406" s="57">
        <v>750000</v>
      </c>
      <c r="J406" s="57">
        <v>70000</v>
      </c>
    </row>
    <row r="407" spans="1:10" ht="15" x14ac:dyDescent="0.4">
      <c r="A407" s="54">
        <v>46244</v>
      </c>
      <c r="B407" s="57">
        <v>151704</v>
      </c>
      <c r="C407" s="55">
        <v>60</v>
      </c>
      <c r="D407" s="55">
        <v>7</v>
      </c>
      <c r="E407" s="55">
        <v>3</v>
      </c>
      <c r="F407" s="55">
        <v>1</v>
      </c>
      <c r="G407" s="57">
        <v>1500000</v>
      </c>
      <c r="H407" s="57">
        <v>170000</v>
      </c>
      <c r="I407" s="57">
        <v>0</v>
      </c>
      <c r="J407" s="57">
        <v>170000</v>
      </c>
    </row>
    <row r="408" spans="1:10" ht="15" x14ac:dyDescent="0.4">
      <c r="A408" s="54">
        <v>46245</v>
      </c>
      <c r="B408" s="57">
        <v>143999</v>
      </c>
      <c r="C408" s="55">
        <v>61</v>
      </c>
      <c r="D408" s="55">
        <v>9</v>
      </c>
      <c r="E408" s="55">
        <v>6</v>
      </c>
      <c r="F408" s="55">
        <v>2</v>
      </c>
      <c r="G408" s="57">
        <v>3000000</v>
      </c>
      <c r="H408" s="57">
        <v>3000000</v>
      </c>
      <c r="I408" s="57">
        <v>0</v>
      </c>
      <c r="J408" s="57">
        <v>3000000</v>
      </c>
    </row>
    <row r="409" spans="1:10" ht="15" x14ac:dyDescent="0.4">
      <c r="A409" s="54">
        <v>46246</v>
      </c>
      <c r="B409" s="57">
        <v>146624</v>
      </c>
      <c r="C409" s="55">
        <v>72</v>
      </c>
      <c r="D409" s="55">
        <v>17</v>
      </c>
      <c r="E409" s="55">
        <v>7</v>
      </c>
      <c r="F409" s="55">
        <v>4</v>
      </c>
      <c r="G409" s="57">
        <v>2010000</v>
      </c>
      <c r="H409" s="57">
        <v>2150000</v>
      </c>
      <c r="I409" s="57">
        <v>0</v>
      </c>
      <c r="J409" s="57">
        <v>2150000</v>
      </c>
    </row>
    <row r="410" spans="1:10" ht="15" x14ac:dyDescent="0.4">
      <c r="A410" s="54">
        <v>46247</v>
      </c>
      <c r="B410" s="57">
        <v>147022</v>
      </c>
      <c r="C410" s="55">
        <v>74</v>
      </c>
      <c r="D410" s="55">
        <v>10</v>
      </c>
      <c r="E410" s="55">
        <v>3</v>
      </c>
      <c r="F410" s="55">
        <v>2</v>
      </c>
      <c r="G410" s="57">
        <v>630000</v>
      </c>
      <c r="H410" s="57">
        <v>1140000</v>
      </c>
      <c r="I410" s="57">
        <v>0</v>
      </c>
      <c r="J410" s="57">
        <v>1140000</v>
      </c>
    </row>
    <row r="411" spans="1:10" ht="15" x14ac:dyDescent="0.4">
      <c r="A411" s="54">
        <v>46248</v>
      </c>
      <c r="B411" s="57">
        <v>145912</v>
      </c>
      <c r="C411" s="55">
        <v>48</v>
      </c>
      <c r="D411" s="55">
        <v>10</v>
      </c>
      <c r="E411" s="55">
        <v>7</v>
      </c>
      <c r="F411" s="55">
        <v>3</v>
      </c>
      <c r="G411" s="57">
        <v>1140000</v>
      </c>
      <c r="H411" s="57">
        <v>320000</v>
      </c>
      <c r="I411" s="57">
        <v>0</v>
      </c>
      <c r="J411" s="57">
        <v>320000</v>
      </c>
    </row>
    <row r="412" spans="1:10" ht="15" x14ac:dyDescent="0.4">
      <c r="A412" s="54">
        <v>46249</v>
      </c>
      <c r="B412" s="57">
        <v>142003</v>
      </c>
      <c r="C412" s="55">
        <v>43</v>
      </c>
      <c r="D412" s="55">
        <v>17</v>
      </c>
      <c r="E412" s="55">
        <v>11</v>
      </c>
      <c r="F412" s="55">
        <v>1</v>
      </c>
      <c r="G412" s="57">
        <v>150000</v>
      </c>
      <c r="H412" s="57">
        <v>630000</v>
      </c>
      <c r="I412" s="57">
        <v>240000</v>
      </c>
      <c r="J412" s="57">
        <v>390000</v>
      </c>
    </row>
    <row r="413" spans="1:10" ht="15" x14ac:dyDescent="0.4">
      <c r="A413" s="54">
        <v>46250</v>
      </c>
      <c r="B413" s="57">
        <v>152007</v>
      </c>
      <c r="C413" s="55">
        <v>47</v>
      </c>
      <c r="D413" s="55">
        <v>2</v>
      </c>
      <c r="E413" s="55">
        <v>4</v>
      </c>
      <c r="F413" s="55">
        <v>0</v>
      </c>
      <c r="G413" s="57">
        <v>0</v>
      </c>
      <c r="H413" s="57">
        <v>170000</v>
      </c>
      <c r="I413" s="57">
        <v>0</v>
      </c>
      <c r="J413" s="57">
        <v>170000</v>
      </c>
    </row>
    <row r="414" spans="1:10" ht="15" x14ac:dyDescent="0.4">
      <c r="A414" s="54">
        <v>46251</v>
      </c>
      <c r="B414" s="57">
        <v>149606</v>
      </c>
      <c r="C414" s="55">
        <v>62</v>
      </c>
      <c r="D414" s="55">
        <v>8</v>
      </c>
      <c r="E414" s="55">
        <v>2</v>
      </c>
      <c r="F414" s="55">
        <v>2</v>
      </c>
      <c r="G414" s="57">
        <v>990000</v>
      </c>
      <c r="H414" s="57">
        <v>170000</v>
      </c>
      <c r="I414" s="57">
        <v>150000</v>
      </c>
      <c r="J414" s="57">
        <v>20000</v>
      </c>
    </row>
    <row r="415" spans="1:10" ht="15" x14ac:dyDescent="0.4">
      <c r="A415" s="54">
        <v>46252</v>
      </c>
      <c r="B415" s="57">
        <v>151868</v>
      </c>
      <c r="C415" s="55">
        <v>73</v>
      </c>
      <c r="D415" s="55">
        <v>14</v>
      </c>
      <c r="E415" s="55">
        <v>2</v>
      </c>
      <c r="F415" s="55">
        <v>0</v>
      </c>
      <c r="G415" s="57">
        <v>0</v>
      </c>
      <c r="H415" s="57">
        <v>150000</v>
      </c>
      <c r="I415" s="57">
        <v>0</v>
      </c>
      <c r="J415" s="57">
        <v>150000</v>
      </c>
    </row>
    <row r="416" spans="1:10" ht="15" x14ac:dyDescent="0.4">
      <c r="A416" s="54">
        <v>46253</v>
      </c>
      <c r="B416" s="57">
        <v>141157</v>
      </c>
      <c r="C416" s="55">
        <v>69</v>
      </c>
      <c r="D416" s="55">
        <v>13</v>
      </c>
      <c r="E416" s="55">
        <v>7</v>
      </c>
      <c r="F416" s="55">
        <v>3</v>
      </c>
      <c r="G416" s="57">
        <v>1140000</v>
      </c>
      <c r="H416" s="57">
        <v>950000</v>
      </c>
      <c r="I416" s="57">
        <v>0</v>
      </c>
      <c r="J416" s="57">
        <v>950000</v>
      </c>
    </row>
    <row r="417" spans="1:10" ht="15" x14ac:dyDescent="0.4">
      <c r="A417" s="54">
        <v>46254</v>
      </c>
      <c r="B417" s="57">
        <v>152050</v>
      </c>
      <c r="C417" s="55">
        <v>48</v>
      </c>
      <c r="D417" s="55">
        <v>20</v>
      </c>
      <c r="E417" s="55">
        <v>1</v>
      </c>
      <c r="F417" s="55">
        <v>0</v>
      </c>
      <c r="G417" s="57">
        <v>0</v>
      </c>
      <c r="H417" s="57">
        <v>650000</v>
      </c>
      <c r="I417" s="57">
        <v>0</v>
      </c>
      <c r="J417" s="57">
        <v>650000</v>
      </c>
    </row>
    <row r="418" spans="1:10" ht="15" x14ac:dyDescent="0.4">
      <c r="A418" s="54">
        <v>46255</v>
      </c>
      <c r="B418" s="57">
        <v>141257</v>
      </c>
      <c r="C418" s="55">
        <v>50</v>
      </c>
      <c r="D418" s="55">
        <v>13</v>
      </c>
      <c r="E418" s="55">
        <v>6</v>
      </c>
      <c r="F418" s="55">
        <v>3</v>
      </c>
      <c r="G418" s="57">
        <v>3480000</v>
      </c>
      <c r="H418" s="57">
        <v>750000</v>
      </c>
      <c r="I418" s="57">
        <v>0</v>
      </c>
      <c r="J418" s="57">
        <v>750000</v>
      </c>
    </row>
    <row r="419" spans="1:10" ht="15" x14ac:dyDescent="0.4">
      <c r="A419" s="54">
        <v>46256</v>
      </c>
      <c r="B419" s="57">
        <v>143428</v>
      </c>
      <c r="C419" s="55">
        <v>33</v>
      </c>
      <c r="D419" s="55">
        <v>9</v>
      </c>
      <c r="E419" s="55">
        <v>11</v>
      </c>
      <c r="F419" s="55">
        <v>1</v>
      </c>
      <c r="G419" s="57">
        <v>1500000</v>
      </c>
      <c r="H419" s="57">
        <v>2730000</v>
      </c>
      <c r="I419" s="57">
        <v>0</v>
      </c>
      <c r="J419" s="57">
        <v>2730000</v>
      </c>
    </row>
    <row r="420" spans="1:10" ht="15" x14ac:dyDescent="0.4">
      <c r="A420" s="54">
        <v>46257</v>
      </c>
      <c r="B420" s="57">
        <v>152844</v>
      </c>
      <c r="C420" s="55">
        <v>41</v>
      </c>
      <c r="D420" s="55">
        <v>10</v>
      </c>
      <c r="E420" s="55">
        <v>5</v>
      </c>
      <c r="F420" s="55">
        <v>2</v>
      </c>
      <c r="G420" s="57">
        <v>990000</v>
      </c>
      <c r="H420" s="57">
        <v>170000</v>
      </c>
      <c r="I420" s="57">
        <v>480000</v>
      </c>
      <c r="J420" s="57">
        <v>-310000</v>
      </c>
    </row>
    <row r="421" spans="1:10" ht="15" x14ac:dyDescent="0.4">
      <c r="A421" s="54">
        <v>46258</v>
      </c>
      <c r="B421" s="57">
        <v>148489</v>
      </c>
      <c r="C421" s="55">
        <v>60</v>
      </c>
      <c r="D421" s="55">
        <v>5</v>
      </c>
      <c r="E421" s="55">
        <v>6</v>
      </c>
      <c r="F421" s="55">
        <v>1</v>
      </c>
      <c r="G421" s="57">
        <v>510000</v>
      </c>
      <c r="H421" s="57">
        <v>2590000</v>
      </c>
      <c r="I421" s="57">
        <v>0</v>
      </c>
      <c r="J421" s="57">
        <v>2590000</v>
      </c>
    </row>
    <row r="422" spans="1:10" ht="15" x14ac:dyDescent="0.4">
      <c r="A422" s="54">
        <v>46259</v>
      </c>
      <c r="B422" s="57">
        <v>146646</v>
      </c>
      <c r="C422" s="55">
        <v>49</v>
      </c>
      <c r="D422" s="55">
        <v>14</v>
      </c>
      <c r="E422" s="55">
        <v>4</v>
      </c>
      <c r="F422" s="55">
        <v>1</v>
      </c>
      <c r="G422" s="57">
        <v>150000</v>
      </c>
      <c r="H422" s="57">
        <v>800000</v>
      </c>
      <c r="I422" s="57">
        <v>0</v>
      </c>
      <c r="J422" s="57">
        <v>800000</v>
      </c>
    </row>
    <row r="423" spans="1:10" ht="15" x14ac:dyDescent="0.4">
      <c r="A423" s="54">
        <v>46260</v>
      </c>
      <c r="B423" s="57">
        <v>153570</v>
      </c>
      <c r="C423" s="55">
        <v>64</v>
      </c>
      <c r="D423" s="55">
        <v>12</v>
      </c>
      <c r="E423" s="55">
        <v>6</v>
      </c>
      <c r="F423" s="55">
        <v>1</v>
      </c>
      <c r="G423" s="57">
        <v>1500000</v>
      </c>
      <c r="H423" s="57">
        <v>1070000</v>
      </c>
      <c r="I423" s="57">
        <v>0</v>
      </c>
      <c r="J423" s="57">
        <v>1070000</v>
      </c>
    </row>
    <row r="424" spans="1:10" ht="15" x14ac:dyDescent="0.4">
      <c r="A424" s="54">
        <v>46261</v>
      </c>
      <c r="B424" s="57">
        <v>151899</v>
      </c>
      <c r="C424" s="55">
        <v>53</v>
      </c>
      <c r="D424" s="55">
        <v>9</v>
      </c>
      <c r="E424" s="55">
        <v>3</v>
      </c>
      <c r="F424" s="55">
        <v>0</v>
      </c>
      <c r="G424" s="57">
        <v>0</v>
      </c>
      <c r="H424" s="57">
        <v>1650000</v>
      </c>
      <c r="I424" s="57">
        <v>0</v>
      </c>
      <c r="J424" s="57">
        <v>1650000</v>
      </c>
    </row>
    <row r="425" spans="1:10" ht="15" x14ac:dyDescent="0.4">
      <c r="A425" s="54">
        <v>46262</v>
      </c>
      <c r="B425" s="57">
        <v>151970</v>
      </c>
      <c r="C425" s="55">
        <v>59</v>
      </c>
      <c r="D425" s="55">
        <v>12</v>
      </c>
      <c r="E425" s="55">
        <v>11</v>
      </c>
      <c r="F425" s="55">
        <v>1</v>
      </c>
      <c r="G425" s="57">
        <v>480000</v>
      </c>
      <c r="H425" s="57">
        <v>0</v>
      </c>
      <c r="I425" s="57">
        <v>0</v>
      </c>
      <c r="J425" s="57">
        <v>0</v>
      </c>
    </row>
    <row r="426" spans="1:10" ht="15" x14ac:dyDescent="0.4">
      <c r="A426" s="54">
        <v>46263</v>
      </c>
      <c r="B426" s="57">
        <v>143777</v>
      </c>
      <c r="C426" s="55">
        <v>43</v>
      </c>
      <c r="D426" s="55">
        <v>12</v>
      </c>
      <c r="E426" s="55">
        <v>5</v>
      </c>
      <c r="F426" s="55">
        <v>3</v>
      </c>
      <c r="G426" s="57">
        <v>2130000</v>
      </c>
      <c r="H426" s="57">
        <v>800000</v>
      </c>
      <c r="I426" s="57">
        <v>0</v>
      </c>
      <c r="J426" s="57">
        <v>800000</v>
      </c>
    </row>
    <row r="427" spans="1:10" ht="15" x14ac:dyDescent="0.4">
      <c r="A427" s="54">
        <v>46264</v>
      </c>
      <c r="B427" s="57">
        <v>143557</v>
      </c>
      <c r="C427" s="55">
        <v>41</v>
      </c>
      <c r="D427" s="55">
        <v>12</v>
      </c>
      <c r="E427" s="55">
        <v>5</v>
      </c>
      <c r="F427" s="55">
        <v>2</v>
      </c>
      <c r="G427" s="57">
        <v>630000</v>
      </c>
      <c r="H427" s="57">
        <v>2470000</v>
      </c>
      <c r="I427" s="57">
        <v>0</v>
      </c>
      <c r="J427" s="57">
        <v>2470000</v>
      </c>
    </row>
    <row r="428" spans="1:10" ht="15" x14ac:dyDescent="0.4">
      <c r="A428" s="54">
        <v>46265</v>
      </c>
      <c r="B428" s="57">
        <v>145477</v>
      </c>
      <c r="C428" s="55">
        <v>59</v>
      </c>
      <c r="D428" s="55">
        <v>14</v>
      </c>
      <c r="E428" s="55">
        <v>2</v>
      </c>
      <c r="F428" s="55">
        <v>1</v>
      </c>
      <c r="G428" s="57">
        <v>510000</v>
      </c>
      <c r="H428" s="57">
        <v>750000</v>
      </c>
      <c r="I428" s="57">
        <v>0</v>
      </c>
      <c r="J428" s="57">
        <v>750000</v>
      </c>
    </row>
    <row r="429" spans="1:10" ht="15" x14ac:dyDescent="0.4">
      <c r="A429" s="54">
        <v>46266</v>
      </c>
      <c r="B429" s="57">
        <v>149910</v>
      </c>
      <c r="C429" s="55">
        <v>70</v>
      </c>
      <c r="D429" s="55">
        <v>9</v>
      </c>
      <c r="E429" s="55">
        <v>5</v>
      </c>
      <c r="F429" s="55">
        <v>0</v>
      </c>
      <c r="G429" s="57">
        <v>0</v>
      </c>
      <c r="H429" s="57">
        <v>510000</v>
      </c>
      <c r="I429" s="57">
        <v>0</v>
      </c>
      <c r="J429" s="57">
        <v>510000</v>
      </c>
    </row>
    <row r="430" spans="1:10" ht="15" x14ac:dyDescent="0.4">
      <c r="A430" s="54">
        <v>46267</v>
      </c>
      <c r="B430" s="57">
        <v>147177</v>
      </c>
      <c r="C430" s="55">
        <v>59</v>
      </c>
      <c r="D430" s="55">
        <v>10</v>
      </c>
      <c r="E430" s="55">
        <v>6</v>
      </c>
      <c r="F430" s="55">
        <v>2</v>
      </c>
      <c r="G430" s="57">
        <v>990000</v>
      </c>
      <c r="H430" s="57">
        <v>800000</v>
      </c>
      <c r="I430" s="57">
        <v>0</v>
      </c>
      <c r="J430" s="57">
        <v>800000</v>
      </c>
    </row>
    <row r="431" spans="1:10" ht="15" x14ac:dyDescent="0.4">
      <c r="A431" s="54">
        <v>46268</v>
      </c>
      <c r="B431" s="57">
        <v>155886</v>
      </c>
      <c r="C431" s="55">
        <v>45</v>
      </c>
      <c r="D431" s="55">
        <v>16</v>
      </c>
      <c r="E431" s="55">
        <v>7</v>
      </c>
      <c r="F431" s="55">
        <v>1</v>
      </c>
      <c r="G431" s="57">
        <v>480000</v>
      </c>
      <c r="H431" s="57">
        <v>170000</v>
      </c>
      <c r="I431" s="57">
        <v>0</v>
      </c>
      <c r="J431" s="57">
        <v>170000</v>
      </c>
    </row>
    <row r="432" spans="1:10" ht="15" x14ac:dyDescent="0.4">
      <c r="A432" s="54">
        <v>46269</v>
      </c>
      <c r="B432" s="57">
        <v>148064</v>
      </c>
      <c r="C432" s="55">
        <v>55</v>
      </c>
      <c r="D432" s="55">
        <v>7</v>
      </c>
      <c r="E432" s="55">
        <v>3</v>
      </c>
      <c r="F432" s="55">
        <v>1</v>
      </c>
      <c r="G432" s="57">
        <v>510000</v>
      </c>
      <c r="H432" s="57">
        <v>480000</v>
      </c>
      <c r="I432" s="57">
        <v>0</v>
      </c>
      <c r="J432" s="57">
        <v>480000</v>
      </c>
    </row>
    <row r="433" spans="1:10" ht="15" x14ac:dyDescent="0.4">
      <c r="A433" s="54">
        <v>46270</v>
      </c>
      <c r="B433" s="57">
        <v>147108</v>
      </c>
      <c r="C433" s="55">
        <v>50</v>
      </c>
      <c r="D433" s="55">
        <v>9</v>
      </c>
      <c r="E433" s="55">
        <v>8</v>
      </c>
      <c r="F433" s="55">
        <v>2</v>
      </c>
      <c r="G433" s="57">
        <v>2010000</v>
      </c>
      <c r="H433" s="57">
        <v>490000</v>
      </c>
      <c r="I433" s="57">
        <v>0</v>
      </c>
      <c r="J433" s="57">
        <v>490000</v>
      </c>
    </row>
    <row r="434" spans="1:10" ht="15" x14ac:dyDescent="0.4">
      <c r="A434" s="54">
        <v>46271</v>
      </c>
      <c r="B434" s="57">
        <v>143357</v>
      </c>
      <c r="C434" s="55">
        <v>32</v>
      </c>
      <c r="D434" s="55">
        <v>8</v>
      </c>
      <c r="E434" s="55">
        <v>2</v>
      </c>
      <c r="F434" s="55">
        <v>4</v>
      </c>
      <c r="G434" s="57">
        <v>2310000</v>
      </c>
      <c r="H434" s="57">
        <v>2310000</v>
      </c>
      <c r="I434" s="57">
        <v>0</v>
      </c>
      <c r="J434" s="57">
        <v>2310000</v>
      </c>
    </row>
    <row r="435" spans="1:10" ht="15" x14ac:dyDescent="0.4">
      <c r="A435" s="54">
        <v>46272</v>
      </c>
      <c r="B435" s="57">
        <v>146697</v>
      </c>
      <c r="C435" s="55">
        <v>48</v>
      </c>
      <c r="D435" s="55">
        <v>16</v>
      </c>
      <c r="E435" s="55">
        <v>6</v>
      </c>
      <c r="F435" s="55">
        <v>2</v>
      </c>
      <c r="G435" s="57">
        <v>630000</v>
      </c>
      <c r="H435" s="57">
        <v>2130000</v>
      </c>
      <c r="I435" s="57">
        <v>0</v>
      </c>
      <c r="J435" s="57">
        <v>2130000</v>
      </c>
    </row>
    <row r="436" spans="1:10" ht="15" x14ac:dyDescent="0.4">
      <c r="A436" s="54">
        <v>46273</v>
      </c>
      <c r="B436" s="57">
        <v>147510</v>
      </c>
      <c r="C436" s="55">
        <v>64</v>
      </c>
      <c r="D436" s="55">
        <v>11</v>
      </c>
      <c r="E436" s="55">
        <v>4</v>
      </c>
      <c r="F436" s="55">
        <v>1</v>
      </c>
      <c r="G436" s="57">
        <v>150000</v>
      </c>
      <c r="H436" s="57">
        <v>320000</v>
      </c>
      <c r="I436" s="57">
        <v>0</v>
      </c>
      <c r="J436" s="57">
        <v>320000</v>
      </c>
    </row>
    <row r="437" spans="1:10" ht="15" x14ac:dyDescent="0.4">
      <c r="A437" s="54">
        <v>46274</v>
      </c>
      <c r="B437" s="57">
        <v>140348</v>
      </c>
      <c r="C437" s="55">
        <v>46</v>
      </c>
      <c r="D437" s="55">
        <v>8</v>
      </c>
      <c r="E437" s="55">
        <v>4</v>
      </c>
      <c r="F437" s="55">
        <v>2</v>
      </c>
      <c r="G437" s="57">
        <v>960000</v>
      </c>
      <c r="H437" s="57">
        <v>650000</v>
      </c>
      <c r="I437" s="57">
        <v>0</v>
      </c>
      <c r="J437" s="57">
        <v>650000</v>
      </c>
    </row>
    <row r="438" spans="1:10" ht="15" x14ac:dyDescent="0.4">
      <c r="A438" s="54">
        <v>46275</v>
      </c>
      <c r="B438" s="57">
        <v>146240</v>
      </c>
      <c r="C438" s="55">
        <v>64</v>
      </c>
      <c r="D438" s="55">
        <v>13</v>
      </c>
      <c r="E438" s="55">
        <v>5</v>
      </c>
      <c r="F438" s="55">
        <v>0</v>
      </c>
      <c r="G438" s="57">
        <v>0</v>
      </c>
      <c r="H438" s="57">
        <v>150000</v>
      </c>
      <c r="I438" s="57">
        <v>0</v>
      </c>
      <c r="J438" s="57">
        <v>150000</v>
      </c>
    </row>
    <row r="439" spans="1:10" ht="15" x14ac:dyDescent="0.4">
      <c r="A439" s="54">
        <v>46276</v>
      </c>
      <c r="B439" s="57">
        <v>145452</v>
      </c>
      <c r="C439" s="55">
        <v>43</v>
      </c>
      <c r="D439" s="55">
        <v>10</v>
      </c>
      <c r="E439" s="55">
        <v>7</v>
      </c>
      <c r="F439" s="55">
        <v>2</v>
      </c>
      <c r="G439" s="57">
        <v>990000</v>
      </c>
      <c r="H439" s="57">
        <v>480000</v>
      </c>
      <c r="I439" s="57">
        <v>0</v>
      </c>
      <c r="J439" s="57">
        <v>480000</v>
      </c>
    </row>
    <row r="440" spans="1:10" ht="15" x14ac:dyDescent="0.4">
      <c r="A440" s="54">
        <v>46277</v>
      </c>
      <c r="B440" s="57">
        <v>147043</v>
      </c>
      <c r="C440" s="55">
        <v>28</v>
      </c>
      <c r="D440" s="55">
        <v>10</v>
      </c>
      <c r="E440" s="55">
        <v>7</v>
      </c>
      <c r="F440" s="55">
        <v>2</v>
      </c>
      <c r="G440" s="57">
        <v>660000</v>
      </c>
      <c r="H440" s="57">
        <v>1310000</v>
      </c>
      <c r="I440" s="57">
        <v>0</v>
      </c>
      <c r="J440" s="57">
        <v>1310000</v>
      </c>
    </row>
    <row r="441" spans="1:10" ht="15" x14ac:dyDescent="0.4">
      <c r="A441" s="54">
        <v>46278</v>
      </c>
      <c r="B441" s="57">
        <v>152504</v>
      </c>
      <c r="C441" s="55">
        <v>33</v>
      </c>
      <c r="D441" s="55">
        <v>8</v>
      </c>
      <c r="E441" s="55">
        <v>3</v>
      </c>
      <c r="F441" s="55">
        <v>0</v>
      </c>
      <c r="G441" s="57">
        <v>0</v>
      </c>
      <c r="H441" s="57">
        <v>490000</v>
      </c>
      <c r="I441" s="57">
        <v>0</v>
      </c>
      <c r="J441" s="57">
        <v>490000</v>
      </c>
    </row>
    <row r="442" spans="1:10" ht="15" x14ac:dyDescent="0.4">
      <c r="A442" s="54">
        <v>46279</v>
      </c>
      <c r="B442" s="57">
        <v>144902</v>
      </c>
      <c r="C442" s="55">
        <v>47</v>
      </c>
      <c r="D442" s="55">
        <v>4</v>
      </c>
      <c r="E442" s="55">
        <v>6</v>
      </c>
      <c r="F442" s="55">
        <v>1</v>
      </c>
      <c r="G442" s="57">
        <v>480000</v>
      </c>
      <c r="H442" s="57">
        <v>0</v>
      </c>
      <c r="I442" s="57">
        <v>0</v>
      </c>
      <c r="J442" s="57">
        <v>0</v>
      </c>
    </row>
    <row r="443" spans="1:10" ht="15" x14ac:dyDescent="0.4">
      <c r="A443" s="54">
        <v>46280</v>
      </c>
      <c r="B443" s="57">
        <v>151614</v>
      </c>
      <c r="C443" s="55">
        <v>64</v>
      </c>
      <c r="D443" s="55">
        <v>7</v>
      </c>
      <c r="E443" s="55">
        <v>10</v>
      </c>
      <c r="F443" s="55">
        <v>2</v>
      </c>
      <c r="G443" s="57">
        <v>630000</v>
      </c>
      <c r="H443" s="57">
        <v>1120000</v>
      </c>
      <c r="I443" s="57">
        <v>0</v>
      </c>
      <c r="J443" s="57">
        <v>1120000</v>
      </c>
    </row>
    <row r="444" spans="1:10" ht="15" x14ac:dyDescent="0.4">
      <c r="A444" s="54">
        <v>46281</v>
      </c>
      <c r="B444" s="57">
        <v>139355</v>
      </c>
      <c r="C444" s="55">
        <v>44</v>
      </c>
      <c r="D444" s="55">
        <v>6</v>
      </c>
      <c r="E444" s="55">
        <v>4</v>
      </c>
      <c r="F444" s="55">
        <v>1</v>
      </c>
      <c r="G444" s="57">
        <v>1500000</v>
      </c>
      <c r="H444" s="57">
        <v>2130000</v>
      </c>
      <c r="I444" s="57">
        <v>170000</v>
      </c>
      <c r="J444" s="57">
        <v>1960000</v>
      </c>
    </row>
    <row r="445" spans="1:10" ht="15" x14ac:dyDescent="0.4">
      <c r="A445" s="54">
        <v>46282</v>
      </c>
      <c r="B445" s="57">
        <v>145124</v>
      </c>
      <c r="C445" s="55">
        <v>47</v>
      </c>
      <c r="D445" s="55">
        <v>14</v>
      </c>
      <c r="E445" s="55">
        <v>3</v>
      </c>
      <c r="F445" s="55">
        <v>2</v>
      </c>
      <c r="G445" s="57">
        <v>630000</v>
      </c>
      <c r="H445" s="57">
        <v>150000</v>
      </c>
      <c r="I445" s="57">
        <v>0</v>
      </c>
      <c r="J445" s="57">
        <v>150000</v>
      </c>
    </row>
    <row r="446" spans="1:10" ht="15" x14ac:dyDescent="0.4">
      <c r="A446" s="54">
        <v>46283</v>
      </c>
      <c r="B446" s="57">
        <v>151272</v>
      </c>
      <c r="C446" s="55">
        <v>45</v>
      </c>
      <c r="D446" s="55">
        <v>9</v>
      </c>
      <c r="E446" s="55">
        <v>2</v>
      </c>
      <c r="F446" s="55">
        <v>20</v>
      </c>
      <c r="G446" s="57">
        <v>11790000</v>
      </c>
      <c r="H446" s="57">
        <v>10740000</v>
      </c>
      <c r="I446" s="57">
        <v>0</v>
      </c>
      <c r="J446" s="57">
        <v>10740000</v>
      </c>
    </row>
    <row r="447" spans="1:10" ht="15" x14ac:dyDescent="0.4">
      <c r="A447" s="54">
        <v>46284</v>
      </c>
      <c r="B447" s="57">
        <v>151353</v>
      </c>
      <c r="C447" s="55">
        <v>33</v>
      </c>
      <c r="D447" s="55">
        <v>13</v>
      </c>
      <c r="E447" s="55">
        <v>6</v>
      </c>
      <c r="F447" s="55">
        <v>1</v>
      </c>
      <c r="G447" s="57">
        <v>150000</v>
      </c>
      <c r="H447" s="57">
        <v>470000</v>
      </c>
      <c r="I447" s="57">
        <v>0</v>
      </c>
      <c r="J447" s="57">
        <v>470000</v>
      </c>
    </row>
    <row r="448" spans="1:10" ht="15" x14ac:dyDescent="0.4">
      <c r="A448" s="54">
        <v>46285</v>
      </c>
      <c r="B448" s="57">
        <v>148850</v>
      </c>
      <c r="C448" s="55">
        <v>36</v>
      </c>
      <c r="D448" s="55">
        <v>15</v>
      </c>
      <c r="E448" s="55">
        <v>3</v>
      </c>
      <c r="F448" s="55">
        <v>1</v>
      </c>
      <c r="G448" s="57">
        <v>510000</v>
      </c>
      <c r="H448" s="57">
        <v>750000</v>
      </c>
      <c r="I448" s="57">
        <v>0</v>
      </c>
      <c r="J448" s="57">
        <v>750000</v>
      </c>
    </row>
    <row r="449" spans="1:10" ht="15" x14ac:dyDescent="0.4">
      <c r="A449" s="54">
        <v>46286</v>
      </c>
      <c r="B449" s="57">
        <v>149294</v>
      </c>
      <c r="C449" s="55">
        <v>42</v>
      </c>
      <c r="D449" s="55">
        <v>8</v>
      </c>
      <c r="E449" s="55">
        <v>5</v>
      </c>
      <c r="F449" s="55">
        <v>0</v>
      </c>
      <c r="G449" s="57">
        <v>0</v>
      </c>
      <c r="H449" s="57">
        <v>470000</v>
      </c>
      <c r="I449" s="57">
        <v>0</v>
      </c>
      <c r="J449" s="57">
        <v>470000</v>
      </c>
    </row>
    <row r="450" spans="1:10" ht="15" x14ac:dyDescent="0.4">
      <c r="A450" s="54">
        <v>46287</v>
      </c>
      <c r="B450" s="57">
        <v>148015</v>
      </c>
      <c r="C450" s="55">
        <v>68</v>
      </c>
      <c r="D450" s="55">
        <v>9</v>
      </c>
      <c r="E450" s="55">
        <v>6</v>
      </c>
      <c r="F450" s="55">
        <v>2</v>
      </c>
      <c r="G450" s="57">
        <v>300000</v>
      </c>
      <c r="H450" s="57">
        <v>470000</v>
      </c>
      <c r="I450" s="57">
        <v>240000</v>
      </c>
      <c r="J450" s="57">
        <v>230000</v>
      </c>
    </row>
    <row r="451" spans="1:10" ht="15" x14ac:dyDescent="0.4">
      <c r="A451" s="54">
        <v>46288</v>
      </c>
      <c r="B451" s="57">
        <v>149237</v>
      </c>
      <c r="C451" s="55">
        <v>57</v>
      </c>
      <c r="D451" s="55">
        <v>15</v>
      </c>
      <c r="E451" s="55">
        <v>3</v>
      </c>
      <c r="F451" s="55">
        <v>1</v>
      </c>
      <c r="G451" s="57">
        <v>150000</v>
      </c>
      <c r="H451" s="57">
        <v>320000</v>
      </c>
      <c r="I451" s="57">
        <v>0</v>
      </c>
      <c r="J451" s="57">
        <v>320000</v>
      </c>
    </row>
    <row r="452" spans="1:10" ht="15" x14ac:dyDescent="0.4">
      <c r="A452" s="54">
        <v>46289</v>
      </c>
      <c r="B452" s="57">
        <v>143844</v>
      </c>
      <c r="C452" s="55">
        <v>58</v>
      </c>
      <c r="D452" s="55">
        <v>13</v>
      </c>
      <c r="E452" s="55">
        <v>5</v>
      </c>
      <c r="F452" s="55">
        <v>1</v>
      </c>
      <c r="G452" s="57">
        <v>510000</v>
      </c>
      <c r="H452" s="57">
        <v>300000</v>
      </c>
      <c r="I452" s="57">
        <v>0</v>
      </c>
      <c r="J452" s="57">
        <v>300000</v>
      </c>
    </row>
    <row r="453" spans="1:10" ht="15" x14ac:dyDescent="0.4">
      <c r="A453" s="54">
        <v>46290</v>
      </c>
      <c r="B453" s="57">
        <v>143399</v>
      </c>
      <c r="C453" s="55">
        <v>38</v>
      </c>
      <c r="D453" s="55">
        <v>9</v>
      </c>
      <c r="E453" s="55">
        <v>2</v>
      </c>
      <c r="F453" s="55">
        <v>0</v>
      </c>
      <c r="G453" s="57">
        <v>0</v>
      </c>
      <c r="H453" s="57">
        <v>170000</v>
      </c>
      <c r="I453" s="57">
        <v>0</v>
      </c>
      <c r="J453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A929C"/>
  </sheetPr>
  <dimension ref="A1:J247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3" width="11" customWidth="1"/>
    <col min="4" max="5" width="14" customWidth="1"/>
    <col min="6" max="8" width="11" customWidth="1"/>
    <col min="9" max="9" width="15" customWidth="1"/>
    <col min="10" max="10" width="19" customWidth="1"/>
  </cols>
  <sheetData>
    <row r="1" spans="1:10" ht="15" x14ac:dyDescent="0.4">
      <c r="A1" s="60" t="s">
        <v>354</v>
      </c>
      <c r="B1" s="60" t="s">
        <v>364</v>
      </c>
      <c r="C1" s="60" t="s">
        <v>365</v>
      </c>
      <c r="D1" s="60" t="s">
        <v>355</v>
      </c>
      <c r="E1" s="60" t="s">
        <v>366</v>
      </c>
      <c r="F1" s="60" t="s">
        <v>367</v>
      </c>
      <c r="G1" s="60" t="s">
        <v>356</v>
      </c>
      <c r="H1" s="60" t="s">
        <v>357</v>
      </c>
      <c r="I1" s="60" t="s">
        <v>358</v>
      </c>
      <c r="J1" s="60" t="s">
        <v>359</v>
      </c>
    </row>
    <row r="2" spans="1:10" ht="15" x14ac:dyDescent="0.4">
      <c r="A2" s="54">
        <v>45839</v>
      </c>
      <c r="B2" s="55" t="s">
        <v>61</v>
      </c>
      <c r="C2" s="55" t="s">
        <v>56</v>
      </c>
      <c r="D2" s="57">
        <v>17820</v>
      </c>
      <c r="E2" s="55">
        <v>12728</v>
      </c>
      <c r="F2" s="55">
        <v>144</v>
      </c>
      <c r="G2" s="55">
        <v>3</v>
      </c>
      <c r="H2" s="55">
        <v>0</v>
      </c>
      <c r="I2" s="55">
        <v>0</v>
      </c>
      <c r="J2" s="55">
        <v>0</v>
      </c>
    </row>
    <row r="3" spans="1:10" ht="15" x14ac:dyDescent="0.4">
      <c r="A3" s="54">
        <v>45839</v>
      </c>
      <c r="B3" s="55" t="s">
        <v>63</v>
      </c>
      <c r="C3" s="55" t="s">
        <v>58</v>
      </c>
      <c r="D3" s="57">
        <v>6487</v>
      </c>
      <c r="E3" s="55">
        <v>1351</v>
      </c>
      <c r="F3" s="55">
        <v>79</v>
      </c>
      <c r="G3" s="55">
        <v>3</v>
      </c>
      <c r="H3" s="55">
        <v>0</v>
      </c>
      <c r="I3" s="55">
        <v>0</v>
      </c>
      <c r="J3" s="55">
        <v>0</v>
      </c>
    </row>
    <row r="4" spans="1:10" ht="15" x14ac:dyDescent="0.4">
      <c r="A4" s="54">
        <v>45839</v>
      </c>
      <c r="B4" s="55" t="s">
        <v>57</v>
      </c>
      <c r="C4" s="55" t="s">
        <v>58</v>
      </c>
      <c r="D4" s="57">
        <v>23409</v>
      </c>
      <c r="E4" s="55">
        <v>4876</v>
      </c>
      <c r="F4" s="55">
        <v>258</v>
      </c>
      <c r="G4" s="55">
        <v>9</v>
      </c>
      <c r="H4" s="55">
        <v>0</v>
      </c>
      <c r="I4" s="55">
        <v>0</v>
      </c>
      <c r="J4" s="55">
        <v>0</v>
      </c>
    </row>
    <row r="5" spans="1:10" ht="15" x14ac:dyDescent="0.4">
      <c r="A5" s="54">
        <v>45839</v>
      </c>
      <c r="B5" s="55" t="s">
        <v>55</v>
      </c>
      <c r="C5" s="55" t="s">
        <v>56</v>
      </c>
      <c r="D5" s="57">
        <v>32339</v>
      </c>
      <c r="E5" s="55">
        <v>23099</v>
      </c>
      <c r="F5" s="55">
        <v>225</v>
      </c>
      <c r="G5" s="55">
        <v>6</v>
      </c>
      <c r="H5" s="55">
        <v>0</v>
      </c>
      <c r="I5" s="55">
        <v>0</v>
      </c>
      <c r="J5" s="55">
        <v>0</v>
      </c>
    </row>
    <row r="6" spans="1:10" ht="15" x14ac:dyDescent="0.4">
      <c r="A6" s="54">
        <v>45839</v>
      </c>
      <c r="B6" s="55" t="s">
        <v>62</v>
      </c>
      <c r="C6" s="55" t="s">
        <v>56</v>
      </c>
      <c r="D6" s="57">
        <v>9887</v>
      </c>
      <c r="E6" s="55">
        <v>7062</v>
      </c>
      <c r="F6" s="55">
        <v>70</v>
      </c>
      <c r="G6" s="55">
        <v>0</v>
      </c>
      <c r="H6" s="55">
        <v>0</v>
      </c>
      <c r="I6" s="55">
        <v>0</v>
      </c>
      <c r="J6" s="55">
        <v>0</v>
      </c>
    </row>
    <row r="7" spans="1:10" ht="15" x14ac:dyDescent="0.4">
      <c r="A7" s="54">
        <v>45840</v>
      </c>
      <c r="B7" s="55" t="s">
        <v>61</v>
      </c>
      <c r="C7" s="55" t="s">
        <v>56</v>
      </c>
      <c r="D7" s="57">
        <v>15706</v>
      </c>
      <c r="E7" s="55">
        <v>11218</v>
      </c>
      <c r="F7" s="55">
        <v>119</v>
      </c>
      <c r="G7" s="55">
        <v>4</v>
      </c>
      <c r="H7" s="55">
        <v>0</v>
      </c>
      <c r="I7" s="55">
        <v>0</v>
      </c>
      <c r="J7" s="55">
        <v>0</v>
      </c>
    </row>
    <row r="8" spans="1:10" ht="15" x14ac:dyDescent="0.4">
      <c r="A8" s="54">
        <v>45840</v>
      </c>
      <c r="B8" s="55" t="s">
        <v>63</v>
      </c>
      <c r="C8" s="55" t="s">
        <v>58</v>
      </c>
      <c r="D8" s="57">
        <v>6167</v>
      </c>
      <c r="E8" s="55">
        <v>1284</v>
      </c>
      <c r="F8" s="55">
        <v>57</v>
      </c>
      <c r="G8" s="55">
        <v>2</v>
      </c>
      <c r="H8" s="55">
        <v>1</v>
      </c>
      <c r="I8" s="55">
        <v>0</v>
      </c>
      <c r="J8" s="55">
        <v>0</v>
      </c>
    </row>
    <row r="9" spans="1:10" ht="15" x14ac:dyDescent="0.4">
      <c r="A9" s="54">
        <v>45840</v>
      </c>
      <c r="B9" s="55" t="s">
        <v>57</v>
      </c>
      <c r="C9" s="55" t="s">
        <v>58</v>
      </c>
      <c r="D9" s="57">
        <v>20772</v>
      </c>
      <c r="E9" s="55">
        <v>4327</v>
      </c>
      <c r="F9" s="55">
        <v>196</v>
      </c>
      <c r="G9" s="55">
        <v>3</v>
      </c>
      <c r="H9" s="55">
        <v>2</v>
      </c>
      <c r="I9" s="55">
        <v>0</v>
      </c>
      <c r="J9" s="55">
        <v>0</v>
      </c>
    </row>
    <row r="10" spans="1:10" ht="15" x14ac:dyDescent="0.4">
      <c r="A10" s="54">
        <v>45840</v>
      </c>
      <c r="B10" s="55" t="s">
        <v>55</v>
      </c>
      <c r="C10" s="55" t="s">
        <v>56</v>
      </c>
      <c r="D10" s="57">
        <v>31902</v>
      </c>
      <c r="E10" s="55">
        <v>22787</v>
      </c>
      <c r="F10" s="55">
        <v>242</v>
      </c>
      <c r="G10" s="55">
        <v>10</v>
      </c>
      <c r="H10" s="55">
        <v>1</v>
      </c>
      <c r="I10" s="55">
        <v>0</v>
      </c>
      <c r="J10" s="55">
        <v>0</v>
      </c>
    </row>
    <row r="11" spans="1:10" ht="15" x14ac:dyDescent="0.4">
      <c r="A11" s="54">
        <v>45840</v>
      </c>
      <c r="B11" s="55" t="s">
        <v>62</v>
      </c>
      <c r="C11" s="55" t="s">
        <v>56</v>
      </c>
      <c r="D11" s="57">
        <v>9981</v>
      </c>
      <c r="E11" s="55">
        <v>7129</v>
      </c>
      <c r="F11" s="55">
        <v>83</v>
      </c>
      <c r="G11" s="55">
        <v>2</v>
      </c>
      <c r="H11" s="55">
        <v>0</v>
      </c>
      <c r="I11" s="55">
        <v>0</v>
      </c>
      <c r="J11" s="55">
        <v>0</v>
      </c>
    </row>
    <row r="12" spans="1:10" ht="15" x14ac:dyDescent="0.4">
      <c r="A12" s="54">
        <v>45841</v>
      </c>
      <c r="B12" s="55" t="s">
        <v>61</v>
      </c>
      <c r="C12" s="55" t="s">
        <v>56</v>
      </c>
      <c r="D12" s="57">
        <v>16949</v>
      </c>
      <c r="E12" s="55">
        <v>12106</v>
      </c>
      <c r="F12" s="55">
        <v>136</v>
      </c>
      <c r="G12" s="55">
        <v>2</v>
      </c>
      <c r="H12" s="55">
        <v>0</v>
      </c>
      <c r="I12" s="55">
        <v>0</v>
      </c>
      <c r="J12" s="55">
        <v>0</v>
      </c>
    </row>
    <row r="13" spans="1:10" ht="15" x14ac:dyDescent="0.4">
      <c r="A13" s="54">
        <v>45841</v>
      </c>
      <c r="B13" s="55" t="s">
        <v>63</v>
      </c>
      <c r="C13" s="55" t="s">
        <v>58</v>
      </c>
      <c r="D13" s="57">
        <v>6692</v>
      </c>
      <c r="E13" s="55">
        <v>1394</v>
      </c>
      <c r="F13" s="55">
        <v>64</v>
      </c>
      <c r="G13" s="55">
        <v>2</v>
      </c>
      <c r="H13" s="55">
        <v>2</v>
      </c>
      <c r="I13" s="55">
        <v>0</v>
      </c>
      <c r="J13" s="55">
        <v>0</v>
      </c>
    </row>
    <row r="14" spans="1:10" ht="15" x14ac:dyDescent="0.4">
      <c r="A14" s="54">
        <v>45841</v>
      </c>
      <c r="B14" s="55" t="s">
        <v>57</v>
      </c>
      <c r="C14" s="55" t="s">
        <v>58</v>
      </c>
      <c r="D14" s="57">
        <v>22119</v>
      </c>
      <c r="E14" s="55">
        <v>4608</v>
      </c>
      <c r="F14" s="55">
        <v>257</v>
      </c>
      <c r="G14" s="55">
        <v>7</v>
      </c>
      <c r="H14" s="55">
        <v>2</v>
      </c>
      <c r="I14" s="55">
        <v>0</v>
      </c>
      <c r="J14" s="55">
        <v>0</v>
      </c>
    </row>
    <row r="15" spans="1:10" ht="15" x14ac:dyDescent="0.4">
      <c r="A15" s="54">
        <v>45841</v>
      </c>
      <c r="B15" s="55" t="s">
        <v>55</v>
      </c>
      <c r="C15" s="55" t="s">
        <v>56</v>
      </c>
      <c r="D15" s="57">
        <v>32390</v>
      </c>
      <c r="E15" s="55">
        <v>23135</v>
      </c>
      <c r="F15" s="55">
        <v>287</v>
      </c>
      <c r="G15" s="55">
        <v>11</v>
      </c>
      <c r="H15" s="55">
        <v>4</v>
      </c>
      <c r="I15" s="55">
        <v>0</v>
      </c>
      <c r="J15" s="55">
        <v>0</v>
      </c>
    </row>
    <row r="16" spans="1:10" ht="15" x14ac:dyDescent="0.4">
      <c r="A16" s="54">
        <v>45841</v>
      </c>
      <c r="B16" s="55" t="s">
        <v>62</v>
      </c>
      <c r="C16" s="55" t="s">
        <v>56</v>
      </c>
      <c r="D16" s="57">
        <v>8938</v>
      </c>
      <c r="E16" s="55">
        <v>6384</v>
      </c>
      <c r="F16" s="55">
        <v>71</v>
      </c>
      <c r="G16" s="55">
        <v>6</v>
      </c>
      <c r="H16" s="55">
        <v>0</v>
      </c>
      <c r="I16" s="55">
        <v>0</v>
      </c>
      <c r="J16" s="55">
        <v>0</v>
      </c>
    </row>
    <row r="17" spans="1:10" ht="15" x14ac:dyDescent="0.4">
      <c r="A17" s="54">
        <v>45842</v>
      </c>
      <c r="B17" s="55" t="s">
        <v>61</v>
      </c>
      <c r="C17" s="55" t="s">
        <v>56</v>
      </c>
      <c r="D17" s="57">
        <v>16863</v>
      </c>
      <c r="E17" s="55">
        <v>12045</v>
      </c>
      <c r="F17" s="55">
        <v>116</v>
      </c>
      <c r="G17" s="55">
        <v>7</v>
      </c>
      <c r="H17" s="55">
        <v>0</v>
      </c>
      <c r="I17" s="55">
        <v>0</v>
      </c>
      <c r="J17" s="55">
        <v>0</v>
      </c>
    </row>
    <row r="18" spans="1:10" ht="15" x14ac:dyDescent="0.4">
      <c r="A18" s="54">
        <v>45842</v>
      </c>
      <c r="B18" s="55" t="s">
        <v>63</v>
      </c>
      <c r="C18" s="55" t="s">
        <v>58</v>
      </c>
      <c r="D18" s="57">
        <v>7181</v>
      </c>
      <c r="E18" s="55">
        <v>1496</v>
      </c>
      <c r="F18" s="55">
        <v>83</v>
      </c>
      <c r="G18" s="55">
        <v>4</v>
      </c>
      <c r="H18" s="55">
        <v>2</v>
      </c>
      <c r="I18" s="55">
        <v>0</v>
      </c>
      <c r="J18" s="55">
        <v>0</v>
      </c>
    </row>
    <row r="19" spans="1:10" ht="15" x14ac:dyDescent="0.4">
      <c r="A19" s="54">
        <v>45842</v>
      </c>
      <c r="B19" s="55" t="s">
        <v>57</v>
      </c>
      <c r="C19" s="55" t="s">
        <v>58</v>
      </c>
      <c r="D19" s="57">
        <v>24475</v>
      </c>
      <c r="E19" s="55">
        <v>5098</v>
      </c>
      <c r="F19" s="55">
        <v>278</v>
      </c>
      <c r="G19" s="55">
        <v>3</v>
      </c>
      <c r="H19" s="55">
        <v>1</v>
      </c>
      <c r="I19" s="55">
        <v>0</v>
      </c>
      <c r="J19" s="55">
        <v>0</v>
      </c>
    </row>
    <row r="20" spans="1:10" ht="15" x14ac:dyDescent="0.4">
      <c r="A20" s="54">
        <v>45842</v>
      </c>
      <c r="B20" s="55" t="s">
        <v>55</v>
      </c>
      <c r="C20" s="55" t="s">
        <v>56</v>
      </c>
      <c r="D20" s="57">
        <v>33928</v>
      </c>
      <c r="E20" s="55">
        <v>24234</v>
      </c>
      <c r="F20" s="55">
        <v>292</v>
      </c>
      <c r="G20" s="55">
        <v>11</v>
      </c>
      <c r="H20" s="55">
        <v>1</v>
      </c>
      <c r="I20" s="55">
        <v>0</v>
      </c>
      <c r="J20" s="55">
        <v>0</v>
      </c>
    </row>
    <row r="21" spans="1:10" ht="15" x14ac:dyDescent="0.4">
      <c r="A21" s="54">
        <v>45842</v>
      </c>
      <c r="B21" s="55" t="s">
        <v>62</v>
      </c>
      <c r="C21" s="55" t="s">
        <v>56</v>
      </c>
      <c r="D21" s="57">
        <v>9804</v>
      </c>
      <c r="E21" s="55">
        <v>7002</v>
      </c>
      <c r="F21" s="55">
        <v>70</v>
      </c>
      <c r="G21" s="55">
        <v>0</v>
      </c>
      <c r="H21" s="55">
        <v>1</v>
      </c>
      <c r="I21" s="55">
        <v>0</v>
      </c>
      <c r="J21" s="55">
        <v>0</v>
      </c>
    </row>
    <row r="22" spans="1:10" ht="15" x14ac:dyDescent="0.4">
      <c r="A22" s="54">
        <v>45843</v>
      </c>
      <c r="B22" s="55" t="s">
        <v>61</v>
      </c>
      <c r="C22" s="55" t="s">
        <v>56</v>
      </c>
      <c r="D22" s="57">
        <v>17272</v>
      </c>
      <c r="E22" s="55">
        <v>12337</v>
      </c>
      <c r="F22" s="55">
        <v>155</v>
      </c>
      <c r="G22" s="55">
        <v>2</v>
      </c>
      <c r="H22" s="55">
        <v>2</v>
      </c>
      <c r="I22" s="55">
        <v>0</v>
      </c>
      <c r="J22" s="55">
        <v>0</v>
      </c>
    </row>
    <row r="23" spans="1:10" ht="15" x14ac:dyDescent="0.4">
      <c r="A23" s="54">
        <v>45843</v>
      </c>
      <c r="B23" s="55" t="s">
        <v>63</v>
      </c>
      <c r="C23" s="55" t="s">
        <v>58</v>
      </c>
      <c r="D23" s="57">
        <v>7281</v>
      </c>
      <c r="E23" s="55">
        <v>1516</v>
      </c>
      <c r="F23" s="55">
        <v>72</v>
      </c>
      <c r="G23" s="55">
        <v>3</v>
      </c>
      <c r="H23" s="55">
        <v>1</v>
      </c>
      <c r="I23" s="55">
        <v>1</v>
      </c>
      <c r="J23" s="55">
        <v>0</v>
      </c>
    </row>
    <row r="24" spans="1:10" ht="15" x14ac:dyDescent="0.4">
      <c r="A24" s="54">
        <v>45843</v>
      </c>
      <c r="B24" s="55" t="s">
        <v>57</v>
      </c>
      <c r="C24" s="55" t="s">
        <v>58</v>
      </c>
      <c r="D24" s="57">
        <v>22468</v>
      </c>
      <c r="E24" s="55">
        <v>4680</v>
      </c>
      <c r="F24" s="55">
        <v>224</v>
      </c>
      <c r="G24" s="55">
        <v>1</v>
      </c>
      <c r="H24" s="55">
        <v>2</v>
      </c>
      <c r="I24" s="55">
        <v>0</v>
      </c>
      <c r="J24" s="55">
        <v>0</v>
      </c>
    </row>
    <row r="25" spans="1:10" ht="15" x14ac:dyDescent="0.4">
      <c r="A25" s="54">
        <v>45843</v>
      </c>
      <c r="B25" s="55" t="s">
        <v>55</v>
      </c>
      <c r="C25" s="55" t="s">
        <v>56</v>
      </c>
      <c r="D25" s="57">
        <v>30879</v>
      </c>
      <c r="E25" s="55">
        <v>22056</v>
      </c>
      <c r="F25" s="55">
        <v>262</v>
      </c>
      <c r="G25" s="55">
        <v>6</v>
      </c>
      <c r="H25" s="55">
        <v>1</v>
      </c>
      <c r="I25" s="55">
        <v>0</v>
      </c>
      <c r="J25" s="55">
        <v>0</v>
      </c>
    </row>
    <row r="26" spans="1:10" ht="15" x14ac:dyDescent="0.4">
      <c r="A26" s="54">
        <v>45843</v>
      </c>
      <c r="B26" s="55" t="s">
        <v>62</v>
      </c>
      <c r="C26" s="55" t="s">
        <v>56</v>
      </c>
      <c r="D26" s="57">
        <v>9745</v>
      </c>
      <c r="E26" s="55">
        <v>6960</v>
      </c>
      <c r="F26" s="55">
        <v>70</v>
      </c>
      <c r="G26" s="55">
        <v>2</v>
      </c>
      <c r="H26" s="55">
        <v>1</v>
      </c>
      <c r="I26" s="55">
        <v>0</v>
      </c>
      <c r="J26" s="55">
        <v>0</v>
      </c>
    </row>
    <row r="27" spans="1:10" ht="15" x14ac:dyDescent="0.4">
      <c r="A27" s="54">
        <v>45844</v>
      </c>
      <c r="B27" s="55" t="s">
        <v>61</v>
      </c>
      <c r="C27" s="55" t="s">
        <v>56</v>
      </c>
      <c r="D27" s="57">
        <v>18110</v>
      </c>
      <c r="E27" s="55">
        <v>12935</v>
      </c>
      <c r="F27" s="55">
        <v>134</v>
      </c>
      <c r="G27" s="55">
        <v>5</v>
      </c>
      <c r="H27" s="55">
        <v>0</v>
      </c>
      <c r="I27" s="55">
        <v>1</v>
      </c>
      <c r="J27" s="55">
        <v>0</v>
      </c>
    </row>
    <row r="28" spans="1:10" ht="15" x14ac:dyDescent="0.4">
      <c r="A28" s="54">
        <v>45844</v>
      </c>
      <c r="B28" s="55" t="s">
        <v>63</v>
      </c>
      <c r="C28" s="55" t="s">
        <v>58</v>
      </c>
      <c r="D28" s="57">
        <v>7478</v>
      </c>
      <c r="E28" s="55">
        <v>1557</v>
      </c>
      <c r="F28" s="55">
        <v>82</v>
      </c>
      <c r="G28" s="55">
        <v>2</v>
      </c>
      <c r="H28" s="55">
        <v>0</v>
      </c>
      <c r="I28" s="55">
        <v>1</v>
      </c>
      <c r="J28" s="55">
        <v>0</v>
      </c>
    </row>
    <row r="29" spans="1:10" ht="15" x14ac:dyDescent="0.4">
      <c r="A29" s="54">
        <v>45844</v>
      </c>
      <c r="B29" s="55" t="s">
        <v>57</v>
      </c>
      <c r="C29" s="55" t="s">
        <v>58</v>
      </c>
      <c r="D29" s="57">
        <v>21117</v>
      </c>
      <c r="E29" s="55">
        <v>4399</v>
      </c>
      <c r="F29" s="55">
        <v>235</v>
      </c>
      <c r="G29" s="55">
        <v>5</v>
      </c>
      <c r="H29" s="55">
        <v>0</v>
      </c>
      <c r="I29" s="55">
        <v>0</v>
      </c>
      <c r="J29" s="55">
        <v>0</v>
      </c>
    </row>
    <row r="30" spans="1:10" ht="15" x14ac:dyDescent="0.4">
      <c r="A30" s="54">
        <v>45844</v>
      </c>
      <c r="B30" s="55" t="s">
        <v>55</v>
      </c>
      <c r="C30" s="55" t="s">
        <v>56</v>
      </c>
      <c r="D30" s="57">
        <v>32133</v>
      </c>
      <c r="E30" s="55">
        <v>22952</v>
      </c>
      <c r="F30" s="55">
        <v>279</v>
      </c>
      <c r="G30" s="55">
        <v>7</v>
      </c>
      <c r="H30" s="55">
        <v>1</v>
      </c>
      <c r="I30" s="55">
        <v>1</v>
      </c>
      <c r="J30" s="55">
        <v>0</v>
      </c>
    </row>
    <row r="31" spans="1:10" ht="15" x14ac:dyDescent="0.4">
      <c r="A31" s="54">
        <v>45844</v>
      </c>
      <c r="B31" s="55" t="s">
        <v>62</v>
      </c>
      <c r="C31" s="55" t="s">
        <v>56</v>
      </c>
      <c r="D31" s="57">
        <v>9438</v>
      </c>
      <c r="E31" s="55">
        <v>6741</v>
      </c>
      <c r="F31" s="55">
        <v>72</v>
      </c>
      <c r="G31" s="55">
        <v>4</v>
      </c>
      <c r="H31" s="55">
        <v>2</v>
      </c>
      <c r="I31" s="55">
        <v>0</v>
      </c>
      <c r="J31" s="55">
        <v>0</v>
      </c>
    </row>
    <row r="32" spans="1:10" ht="15" x14ac:dyDescent="0.4">
      <c r="A32" s="54">
        <v>45845</v>
      </c>
      <c r="B32" s="55" t="s">
        <v>61</v>
      </c>
      <c r="C32" s="55" t="s">
        <v>56</v>
      </c>
      <c r="D32" s="57">
        <v>15100</v>
      </c>
      <c r="E32" s="55">
        <v>10785</v>
      </c>
      <c r="F32" s="55">
        <v>130</v>
      </c>
      <c r="G32" s="55">
        <v>4</v>
      </c>
      <c r="H32" s="55">
        <v>1</v>
      </c>
      <c r="I32" s="55">
        <v>0</v>
      </c>
      <c r="J32" s="55">
        <v>0</v>
      </c>
    </row>
    <row r="33" spans="1:10" ht="15" x14ac:dyDescent="0.4">
      <c r="A33" s="54">
        <v>45845</v>
      </c>
      <c r="B33" s="55" t="s">
        <v>63</v>
      </c>
      <c r="C33" s="55" t="s">
        <v>58</v>
      </c>
      <c r="D33" s="57">
        <v>6883</v>
      </c>
      <c r="E33" s="55">
        <v>1433</v>
      </c>
      <c r="F33" s="55">
        <v>77</v>
      </c>
      <c r="G33" s="55">
        <v>2</v>
      </c>
      <c r="H33" s="55">
        <v>3</v>
      </c>
      <c r="I33" s="55">
        <v>0</v>
      </c>
      <c r="J33" s="55">
        <v>0</v>
      </c>
    </row>
    <row r="34" spans="1:10" ht="15" x14ac:dyDescent="0.4">
      <c r="A34" s="54">
        <v>45845</v>
      </c>
      <c r="B34" s="55" t="s">
        <v>57</v>
      </c>
      <c r="C34" s="55" t="s">
        <v>58</v>
      </c>
      <c r="D34" s="57">
        <v>21775</v>
      </c>
      <c r="E34" s="55">
        <v>4536</v>
      </c>
      <c r="F34" s="55">
        <v>247</v>
      </c>
      <c r="G34" s="55">
        <v>3</v>
      </c>
      <c r="H34" s="55">
        <v>1</v>
      </c>
      <c r="I34" s="55">
        <v>0</v>
      </c>
      <c r="J34" s="55">
        <v>0</v>
      </c>
    </row>
    <row r="35" spans="1:10" ht="15" x14ac:dyDescent="0.4">
      <c r="A35" s="54">
        <v>45845</v>
      </c>
      <c r="B35" s="55" t="s">
        <v>55</v>
      </c>
      <c r="C35" s="55" t="s">
        <v>56</v>
      </c>
      <c r="D35" s="57">
        <v>30309</v>
      </c>
      <c r="E35" s="55">
        <v>21649</v>
      </c>
      <c r="F35" s="55">
        <v>202</v>
      </c>
      <c r="G35" s="55">
        <v>5</v>
      </c>
      <c r="H35" s="55">
        <v>1</v>
      </c>
      <c r="I35" s="55">
        <v>0</v>
      </c>
      <c r="J35" s="55">
        <v>0</v>
      </c>
    </row>
    <row r="36" spans="1:10" ht="15" x14ac:dyDescent="0.4">
      <c r="A36" s="54">
        <v>45845</v>
      </c>
      <c r="B36" s="55" t="s">
        <v>62</v>
      </c>
      <c r="C36" s="55" t="s">
        <v>56</v>
      </c>
      <c r="D36" s="57">
        <v>10109</v>
      </c>
      <c r="E36" s="55">
        <v>7220</v>
      </c>
      <c r="F36" s="55">
        <v>67</v>
      </c>
      <c r="G36" s="55">
        <v>3</v>
      </c>
      <c r="H36" s="55">
        <v>1</v>
      </c>
      <c r="I36" s="55">
        <v>0</v>
      </c>
      <c r="J36" s="55">
        <v>0</v>
      </c>
    </row>
    <row r="37" spans="1:10" ht="15" x14ac:dyDescent="0.4">
      <c r="A37" s="54">
        <v>45846</v>
      </c>
      <c r="B37" s="55" t="s">
        <v>61</v>
      </c>
      <c r="C37" s="55" t="s">
        <v>56</v>
      </c>
      <c r="D37" s="57">
        <v>18070</v>
      </c>
      <c r="E37" s="55">
        <v>12907</v>
      </c>
      <c r="F37" s="55">
        <v>133</v>
      </c>
      <c r="G37" s="55">
        <v>6</v>
      </c>
      <c r="H37" s="55">
        <v>0</v>
      </c>
      <c r="I37" s="55">
        <v>0</v>
      </c>
      <c r="J37" s="55">
        <v>0</v>
      </c>
    </row>
    <row r="38" spans="1:10" ht="15" x14ac:dyDescent="0.4">
      <c r="A38" s="54">
        <v>45846</v>
      </c>
      <c r="B38" s="55" t="s">
        <v>63</v>
      </c>
      <c r="C38" s="55" t="s">
        <v>58</v>
      </c>
      <c r="D38" s="57">
        <v>6676</v>
      </c>
      <c r="E38" s="55">
        <v>1390</v>
      </c>
      <c r="F38" s="55">
        <v>74</v>
      </c>
      <c r="G38" s="55">
        <v>2</v>
      </c>
      <c r="H38" s="55">
        <v>1</v>
      </c>
      <c r="I38" s="55">
        <v>1</v>
      </c>
      <c r="J38" s="55">
        <v>0</v>
      </c>
    </row>
    <row r="39" spans="1:10" ht="15" x14ac:dyDescent="0.4">
      <c r="A39" s="54">
        <v>45846</v>
      </c>
      <c r="B39" s="55" t="s">
        <v>57</v>
      </c>
      <c r="C39" s="55" t="s">
        <v>58</v>
      </c>
      <c r="D39" s="57">
        <v>20628</v>
      </c>
      <c r="E39" s="55">
        <v>4297</v>
      </c>
      <c r="F39" s="55">
        <v>233</v>
      </c>
      <c r="G39" s="55">
        <v>5</v>
      </c>
      <c r="H39" s="55">
        <v>3</v>
      </c>
      <c r="I39" s="55">
        <v>0</v>
      </c>
      <c r="J39" s="55">
        <v>0</v>
      </c>
    </row>
    <row r="40" spans="1:10" ht="15" x14ac:dyDescent="0.4">
      <c r="A40" s="54">
        <v>45846</v>
      </c>
      <c r="B40" s="55" t="s">
        <v>55</v>
      </c>
      <c r="C40" s="55" t="s">
        <v>56</v>
      </c>
      <c r="D40" s="57">
        <v>33136</v>
      </c>
      <c r="E40" s="55">
        <v>23668</v>
      </c>
      <c r="F40" s="55">
        <v>269</v>
      </c>
      <c r="G40" s="55">
        <v>10</v>
      </c>
      <c r="H40" s="55">
        <v>1</v>
      </c>
      <c r="I40" s="55">
        <v>0</v>
      </c>
      <c r="J40" s="55">
        <v>0</v>
      </c>
    </row>
    <row r="41" spans="1:10" ht="15" x14ac:dyDescent="0.4">
      <c r="A41" s="54">
        <v>45846</v>
      </c>
      <c r="B41" s="55" t="s">
        <v>62</v>
      </c>
      <c r="C41" s="55" t="s">
        <v>56</v>
      </c>
      <c r="D41" s="57">
        <v>10180</v>
      </c>
      <c r="E41" s="55">
        <v>7271</v>
      </c>
      <c r="F41" s="55">
        <v>85</v>
      </c>
      <c r="G41" s="55">
        <v>8</v>
      </c>
      <c r="H41" s="55">
        <v>0</v>
      </c>
      <c r="I41" s="55">
        <v>2</v>
      </c>
      <c r="J41" s="55">
        <v>0</v>
      </c>
    </row>
    <row r="42" spans="1:10" ht="15" x14ac:dyDescent="0.4">
      <c r="A42" s="54">
        <v>45847</v>
      </c>
      <c r="B42" s="55" t="s">
        <v>61</v>
      </c>
      <c r="C42" s="55" t="s">
        <v>56</v>
      </c>
      <c r="D42" s="57">
        <v>18255</v>
      </c>
      <c r="E42" s="55">
        <v>13039</v>
      </c>
      <c r="F42" s="55">
        <v>128</v>
      </c>
      <c r="G42" s="55">
        <v>9</v>
      </c>
      <c r="H42" s="55">
        <v>1</v>
      </c>
      <c r="I42" s="55">
        <v>1</v>
      </c>
      <c r="J42" s="55">
        <v>0</v>
      </c>
    </row>
    <row r="43" spans="1:10" ht="15" x14ac:dyDescent="0.4">
      <c r="A43" s="54">
        <v>45847</v>
      </c>
      <c r="B43" s="55" t="s">
        <v>63</v>
      </c>
      <c r="C43" s="55" t="s">
        <v>58</v>
      </c>
      <c r="D43" s="57">
        <v>7212</v>
      </c>
      <c r="E43" s="55">
        <v>1502</v>
      </c>
      <c r="F43" s="55">
        <v>85</v>
      </c>
      <c r="G43" s="55">
        <v>3</v>
      </c>
      <c r="H43" s="55">
        <v>2</v>
      </c>
      <c r="I43" s="55">
        <v>0</v>
      </c>
      <c r="J43" s="55">
        <v>0</v>
      </c>
    </row>
    <row r="44" spans="1:10" ht="15" x14ac:dyDescent="0.4">
      <c r="A44" s="54">
        <v>45847</v>
      </c>
      <c r="B44" s="55" t="s">
        <v>57</v>
      </c>
      <c r="C44" s="55" t="s">
        <v>58</v>
      </c>
      <c r="D44" s="57">
        <v>24558</v>
      </c>
      <c r="E44" s="55">
        <v>5116</v>
      </c>
      <c r="F44" s="55">
        <v>253</v>
      </c>
      <c r="G44" s="55">
        <v>7</v>
      </c>
      <c r="H44" s="55">
        <v>0</v>
      </c>
      <c r="I44" s="55">
        <v>0</v>
      </c>
      <c r="J44" s="55">
        <v>0</v>
      </c>
    </row>
    <row r="45" spans="1:10" ht="15" x14ac:dyDescent="0.4">
      <c r="A45" s="54">
        <v>45847</v>
      </c>
      <c r="B45" s="55" t="s">
        <v>55</v>
      </c>
      <c r="C45" s="55" t="s">
        <v>56</v>
      </c>
      <c r="D45" s="57">
        <v>34532</v>
      </c>
      <c r="E45" s="55">
        <v>24665</v>
      </c>
      <c r="F45" s="55">
        <v>308</v>
      </c>
      <c r="G45" s="55">
        <v>8</v>
      </c>
      <c r="H45" s="55">
        <v>3</v>
      </c>
      <c r="I45" s="55">
        <v>0</v>
      </c>
      <c r="J45" s="55">
        <v>0</v>
      </c>
    </row>
    <row r="46" spans="1:10" ht="15" x14ac:dyDescent="0.4">
      <c r="A46" s="54">
        <v>45847</v>
      </c>
      <c r="B46" s="55" t="s">
        <v>62</v>
      </c>
      <c r="C46" s="55" t="s">
        <v>56</v>
      </c>
      <c r="D46" s="57">
        <v>9436</v>
      </c>
      <c r="E46" s="55">
        <v>6740</v>
      </c>
      <c r="F46" s="55">
        <v>69</v>
      </c>
      <c r="G46" s="55">
        <v>2</v>
      </c>
      <c r="H46" s="55">
        <v>2</v>
      </c>
      <c r="I46" s="55">
        <v>1</v>
      </c>
      <c r="J46" s="55">
        <v>0</v>
      </c>
    </row>
    <row r="47" spans="1:10" ht="15" x14ac:dyDescent="0.4">
      <c r="A47" s="54">
        <v>45848</v>
      </c>
      <c r="B47" s="55" t="s">
        <v>61</v>
      </c>
      <c r="C47" s="55" t="s">
        <v>56</v>
      </c>
      <c r="D47" s="57">
        <v>17284</v>
      </c>
      <c r="E47" s="55">
        <v>12345</v>
      </c>
      <c r="F47" s="55">
        <v>123</v>
      </c>
      <c r="G47" s="55">
        <v>5</v>
      </c>
      <c r="H47" s="55">
        <v>2</v>
      </c>
      <c r="I47" s="55">
        <v>0</v>
      </c>
      <c r="J47" s="55">
        <v>0</v>
      </c>
    </row>
    <row r="48" spans="1:10" ht="15" x14ac:dyDescent="0.4">
      <c r="A48" s="54">
        <v>45848</v>
      </c>
      <c r="B48" s="55" t="s">
        <v>63</v>
      </c>
      <c r="C48" s="55" t="s">
        <v>58</v>
      </c>
      <c r="D48" s="57">
        <v>6191</v>
      </c>
      <c r="E48" s="55">
        <v>1289</v>
      </c>
      <c r="F48" s="55">
        <v>76</v>
      </c>
      <c r="G48" s="55">
        <v>2</v>
      </c>
      <c r="H48" s="55">
        <v>1</v>
      </c>
      <c r="I48" s="55">
        <v>0</v>
      </c>
      <c r="J48" s="55">
        <v>0</v>
      </c>
    </row>
    <row r="49" spans="1:10" ht="15" x14ac:dyDescent="0.4">
      <c r="A49" s="54">
        <v>45848</v>
      </c>
      <c r="B49" s="55" t="s">
        <v>57</v>
      </c>
      <c r="C49" s="55" t="s">
        <v>58</v>
      </c>
      <c r="D49" s="57">
        <v>20874</v>
      </c>
      <c r="E49" s="55">
        <v>4348</v>
      </c>
      <c r="F49" s="55">
        <v>241</v>
      </c>
      <c r="G49" s="55">
        <v>10</v>
      </c>
      <c r="H49" s="55">
        <v>1</v>
      </c>
      <c r="I49" s="55">
        <v>1</v>
      </c>
      <c r="J49" s="55">
        <v>0</v>
      </c>
    </row>
    <row r="50" spans="1:10" ht="15" x14ac:dyDescent="0.4">
      <c r="A50" s="54">
        <v>45848</v>
      </c>
      <c r="B50" s="55" t="s">
        <v>55</v>
      </c>
      <c r="C50" s="55" t="s">
        <v>56</v>
      </c>
      <c r="D50" s="57">
        <v>30856</v>
      </c>
      <c r="E50" s="55">
        <v>22040</v>
      </c>
      <c r="F50" s="55">
        <v>241</v>
      </c>
      <c r="G50" s="55">
        <v>9</v>
      </c>
      <c r="H50" s="55">
        <v>0</v>
      </c>
      <c r="I50" s="55">
        <v>1</v>
      </c>
      <c r="J50" s="55">
        <v>0</v>
      </c>
    </row>
    <row r="51" spans="1:10" ht="15" x14ac:dyDescent="0.4">
      <c r="A51" s="54">
        <v>45848</v>
      </c>
      <c r="B51" s="55" t="s">
        <v>62</v>
      </c>
      <c r="C51" s="55" t="s">
        <v>56</v>
      </c>
      <c r="D51" s="57">
        <v>9788</v>
      </c>
      <c r="E51" s="55">
        <v>6991</v>
      </c>
      <c r="F51" s="55">
        <v>81</v>
      </c>
      <c r="G51" s="55">
        <v>2</v>
      </c>
      <c r="H51" s="55">
        <v>0</v>
      </c>
      <c r="I51" s="55">
        <v>0</v>
      </c>
      <c r="J51" s="55">
        <v>0</v>
      </c>
    </row>
    <row r="52" spans="1:10" ht="15" x14ac:dyDescent="0.4">
      <c r="A52" s="54">
        <v>45849</v>
      </c>
      <c r="B52" s="55" t="s">
        <v>61</v>
      </c>
      <c r="C52" s="55" t="s">
        <v>56</v>
      </c>
      <c r="D52" s="57">
        <v>15701</v>
      </c>
      <c r="E52" s="55">
        <v>11215</v>
      </c>
      <c r="F52" s="55">
        <v>141</v>
      </c>
      <c r="G52" s="55">
        <v>7</v>
      </c>
      <c r="H52" s="55">
        <v>0</v>
      </c>
      <c r="I52" s="55">
        <v>0</v>
      </c>
      <c r="J52" s="55">
        <v>0</v>
      </c>
    </row>
    <row r="53" spans="1:10" ht="15" x14ac:dyDescent="0.4">
      <c r="A53" s="54">
        <v>45849</v>
      </c>
      <c r="B53" s="55" t="s">
        <v>63</v>
      </c>
      <c r="C53" s="55" t="s">
        <v>58</v>
      </c>
      <c r="D53" s="57">
        <v>7435</v>
      </c>
      <c r="E53" s="55">
        <v>1548</v>
      </c>
      <c r="F53" s="55">
        <v>75</v>
      </c>
      <c r="G53" s="55">
        <v>4</v>
      </c>
      <c r="H53" s="55">
        <v>2</v>
      </c>
      <c r="I53" s="55">
        <v>1</v>
      </c>
      <c r="J53" s="55">
        <v>0</v>
      </c>
    </row>
    <row r="54" spans="1:10" ht="15" x14ac:dyDescent="0.4">
      <c r="A54" s="54">
        <v>45849</v>
      </c>
      <c r="B54" s="55" t="s">
        <v>57</v>
      </c>
      <c r="C54" s="55" t="s">
        <v>58</v>
      </c>
      <c r="D54" s="57">
        <v>21288</v>
      </c>
      <c r="E54" s="55">
        <v>4435</v>
      </c>
      <c r="F54" s="55">
        <v>246</v>
      </c>
      <c r="G54" s="55">
        <v>1</v>
      </c>
      <c r="H54" s="55">
        <v>1</v>
      </c>
      <c r="I54" s="55">
        <v>2</v>
      </c>
      <c r="J54" s="55">
        <v>0</v>
      </c>
    </row>
    <row r="55" spans="1:10" ht="15" x14ac:dyDescent="0.4">
      <c r="A55" s="54">
        <v>45849</v>
      </c>
      <c r="B55" s="55" t="s">
        <v>55</v>
      </c>
      <c r="C55" s="55" t="s">
        <v>56</v>
      </c>
      <c r="D55" s="57">
        <v>32913</v>
      </c>
      <c r="E55" s="55">
        <v>23509</v>
      </c>
      <c r="F55" s="55">
        <v>285</v>
      </c>
      <c r="G55" s="55">
        <v>9</v>
      </c>
      <c r="H55" s="55">
        <v>2</v>
      </c>
      <c r="I55" s="55">
        <v>2</v>
      </c>
      <c r="J55" s="55">
        <v>0</v>
      </c>
    </row>
    <row r="56" spans="1:10" ht="15" x14ac:dyDescent="0.4">
      <c r="A56" s="54">
        <v>45849</v>
      </c>
      <c r="B56" s="55" t="s">
        <v>62</v>
      </c>
      <c r="C56" s="55" t="s">
        <v>56</v>
      </c>
      <c r="D56" s="57">
        <v>8616</v>
      </c>
      <c r="E56" s="55">
        <v>6154</v>
      </c>
      <c r="F56" s="55">
        <v>59</v>
      </c>
      <c r="G56" s="55">
        <v>3</v>
      </c>
      <c r="H56" s="55">
        <v>1</v>
      </c>
      <c r="I56" s="55">
        <v>1</v>
      </c>
      <c r="J56" s="55">
        <v>0</v>
      </c>
    </row>
    <row r="57" spans="1:10" ht="15" x14ac:dyDescent="0.4">
      <c r="A57" s="54">
        <v>45850</v>
      </c>
      <c r="B57" s="55" t="s">
        <v>61</v>
      </c>
      <c r="C57" s="55" t="s">
        <v>56</v>
      </c>
      <c r="D57" s="57">
        <v>16789</v>
      </c>
      <c r="E57" s="55">
        <v>11992</v>
      </c>
      <c r="F57" s="55">
        <v>145</v>
      </c>
      <c r="G57" s="55">
        <v>2</v>
      </c>
      <c r="H57" s="55">
        <v>1</v>
      </c>
      <c r="I57" s="55">
        <v>0</v>
      </c>
      <c r="J57" s="55">
        <v>0</v>
      </c>
    </row>
    <row r="58" spans="1:10" ht="15" x14ac:dyDescent="0.4">
      <c r="A58" s="54">
        <v>45850</v>
      </c>
      <c r="B58" s="55" t="s">
        <v>63</v>
      </c>
      <c r="C58" s="55" t="s">
        <v>58</v>
      </c>
      <c r="D58" s="57">
        <v>7331</v>
      </c>
      <c r="E58" s="55">
        <v>1527</v>
      </c>
      <c r="F58" s="55">
        <v>84</v>
      </c>
      <c r="G58" s="55">
        <v>0</v>
      </c>
      <c r="H58" s="55">
        <v>0</v>
      </c>
      <c r="I58" s="55">
        <v>1</v>
      </c>
      <c r="J58" s="55">
        <v>0</v>
      </c>
    </row>
    <row r="59" spans="1:10" ht="15" x14ac:dyDescent="0.4">
      <c r="A59" s="54">
        <v>45850</v>
      </c>
      <c r="B59" s="55" t="s">
        <v>57</v>
      </c>
      <c r="C59" s="55" t="s">
        <v>58</v>
      </c>
      <c r="D59" s="57">
        <v>24095</v>
      </c>
      <c r="E59" s="55">
        <v>5019</v>
      </c>
      <c r="F59" s="55">
        <v>262</v>
      </c>
      <c r="G59" s="55">
        <v>2</v>
      </c>
      <c r="H59" s="55">
        <v>2</v>
      </c>
      <c r="I59" s="55">
        <v>0</v>
      </c>
      <c r="J59" s="55">
        <v>0</v>
      </c>
    </row>
    <row r="60" spans="1:10" ht="15" x14ac:dyDescent="0.4">
      <c r="A60" s="54">
        <v>45850</v>
      </c>
      <c r="B60" s="55" t="s">
        <v>55</v>
      </c>
      <c r="C60" s="55" t="s">
        <v>56</v>
      </c>
      <c r="D60" s="57">
        <v>32235</v>
      </c>
      <c r="E60" s="55">
        <v>23025</v>
      </c>
      <c r="F60" s="55">
        <v>246</v>
      </c>
      <c r="G60" s="55">
        <v>7</v>
      </c>
      <c r="H60" s="55">
        <v>4</v>
      </c>
      <c r="I60" s="55">
        <v>1</v>
      </c>
      <c r="J60" s="55">
        <v>0</v>
      </c>
    </row>
    <row r="61" spans="1:10" ht="15" x14ac:dyDescent="0.4">
      <c r="A61" s="54">
        <v>45850</v>
      </c>
      <c r="B61" s="55" t="s">
        <v>62</v>
      </c>
      <c r="C61" s="55" t="s">
        <v>56</v>
      </c>
      <c r="D61" s="57">
        <v>8965</v>
      </c>
      <c r="E61" s="55">
        <v>6403</v>
      </c>
      <c r="F61" s="55">
        <v>69</v>
      </c>
      <c r="G61" s="55">
        <v>3</v>
      </c>
      <c r="H61" s="55">
        <v>0</v>
      </c>
      <c r="I61" s="55">
        <v>0</v>
      </c>
      <c r="J61" s="55">
        <v>0</v>
      </c>
    </row>
    <row r="62" spans="1:10" ht="15" x14ac:dyDescent="0.4">
      <c r="A62" s="54">
        <v>45851</v>
      </c>
      <c r="B62" s="55" t="s">
        <v>61</v>
      </c>
      <c r="C62" s="55" t="s">
        <v>56</v>
      </c>
      <c r="D62" s="57">
        <v>18106</v>
      </c>
      <c r="E62" s="55">
        <v>12932</v>
      </c>
      <c r="F62" s="55">
        <v>143</v>
      </c>
      <c r="G62" s="55">
        <v>3</v>
      </c>
      <c r="H62" s="55">
        <v>1</v>
      </c>
      <c r="I62" s="55">
        <v>0</v>
      </c>
      <c r="J62" s="55">
        <v>0</v>
      </c>
    </row>
    <row r="63" spans="1:10" ht="15" x14ac:dyDescent="0.4">
      <c r="A63" s="54">
        <v>45851</v>
      </c>
      <c r="B63" s="55" t="s">
        <v>63</v>
      </c>
      <c r="C63" s="55" t="s">
        <v>58</v>
      </c>
      <c r="D63" s="57">
        <v>7398</v>
      </c>
      <c r="E63" s="55">
        <v>1541</v>
      </c>
      <c r="F63" s="55">
        <v>92</v>
      </c>
      <c r="G63" s="55">
        <v>3</v>
      </c>
      <c r="H63" s="55">
        <v>3</v>
      </c>
      <c r="I63" s="55">
        <v>0</v>
      </c>
      <c r="J63" s="55">
        <v>0</v>
      </c>
    </row>
    <row r="64" spans="1:10" ht="15" x14ac:dyDescent="0.4">
      <c r="A64" s="54">
        <v>45851</v>
      </c>
      <c r="B64" s="55" t="s">
        <v>57</v>
      </c>
      <c r="C64" s="55" t="s">
        <v>58</v>
      </c>
      <c r="D64" s="57">
        <v>20916</v>
      </c>
      <c r="E64" s="55">
        <v>4357</v>
      </c>
      <c r="F64" s="55">
        <v>238</v>
      </c>
      <c r="G64" s="55">
        <v>0</v>
      </c>
      <c r="H64" s="55">
        <v>2</v>
      </c>
      <c r="I64" s="55">
        <v>1</v>
      </c>
      <c r="J64" s="55">
        <v>0</v>
      </c>
    </row>
    <row r="65" spans="1:10" ht="15" x14ac:dyDescent="0.4">
      <c r="A65" s="54">
        <v>45851</v>
      </c>
      <c r="B65" s="55" t="s">
        <v>55</v>
      </c>
      <c r="C65" s="55" t="s">
        <v>56</v>
      </c>
      <c r="D65" s="57">
        <v>29657</v>
      </c>
      <c r="E65" s="55">
        <v>21183</v>
      </c>
      <c r="F65" s="55">
        <v>244</v>
      </c>
      <c r="G65" s="55">
        <v>4</v>
      </c>
      <c r="H65" s="55">
        <v>2</v>
      </c>
      <c r="I65" s="55">
        <v>0</v>
      </c>
      <c r="J65" s="55">
        <v>0</v>
      </c>
    </row>
    <row r="66" spans="1:10" ht="15" x14ac:dyDescent="0.4">
      <c r="A66" s="54">
        <v>45851</v>
      </c>
      <c r="B66" s="55" t="s">
        <v>62</v>
      </c>
      <c r="C66" s="55" t="s">
        <v>56</v>
      </c>
      <c r="D66" s="57">
        <v>10244</v>
      </c>
      <c r="E66" s="55">
        <v>7317</v>
      </c>
      <c r="F66" s="55">
        <v>89</v>
      </c>
      <c r="G66" s="55">
        <v>1</v>
      </c>
      <c r="H66" s="55">
        <v>0</v>
      </c>
      <c r="I66" s="55">
        <v>1</v>
      </c>
      <c r="J66" s="55">
        <v>0</v>
      </c>
    </row>
    <row r="67" spans="1:10" ht="15" x14ac:dyDescent="0.4">
      <c r="A67" s="54">
        <v>45852</v>
      </c>
      <c r="B67" s="55" t="s">
        <v>61</v>
      </c>
      <c r="C67" s="55" t="s">
        <v>56</v>
      </c>
      <c r="D67" s="57">
        <v>16727</v>
      </c>
      <c r="E67" s="55">
        <v>11947</v>
      </c>
      <c r="F67" s="55">
        <v>121</v>
      </c>
      <c r="G67" s="55">
        <v>7</v>
      </c>
      <c r="H67" s="55">
        <v>0</v>
      </c>
      <c r="I67" s="55">
        <v>1</v>
      </c>
      <c r="J67" s="55">
        <v>0</v>
      </c>
    </row>
    <row r="68" spans="1:10" ht="15" x14ac:dyDescent="0.4">
      <c r="A68" s="54">
        <v>45852</v>
      </c>
      <c r="B68" s="55" t="s">
        <v>63</v>
      </c>
      <c r="C68" s="55" t="s">
        <v>58</v>
      </c>
      <c r="D68" s="57">
        <v>6608</v>
      </c>
      <c r="E68" s="55">
        <v>1376</v>
      </c>
      <c r="F68" s="55">
        <v>63</v>
      </c>
      <c r="G68" s="55">
        <v>5</v>
      </c>
      <c r="H68" s="55">
        <v>0</v>
      </c>
      <c r="I68" s="55">
        <v>0</v>
      </c>
      <c r="J68" s="55">
        <v>0</v>
      </c>
    </row>
    <row r="69" spans="1:10" ht="15" x14ac:dyDescent="0.4">
      <c r="A69" s="54">
        <v>45852</v>
      </c>
      <c r="B69" s="55" t="s">
        <v>57</v>
      </c>
      <c r="C69" s="55" t="s">
        <v>58</v>
      </c>
      <c r="D69" s="57">
        <v>21342</v>
      </c>
      <c r="E69" s="55">
        <v>4446</v>
      </c>
      <c r="F69" s="55">
        <v>200</v>
      </c>
      <c r="G69" s="55">
        <v>3</v>
      </c>
      <c r="H69" s="55">
        <v>0</v>
      </c>
      <c r="I69" s="55">
        <v>1</v>
      </c>
      <c r="J69" s="55">
        <v>0</v>
      </c>
    </row>
    <row r="70" spans="1:10" ht="15" x14ac:dyDescent="0.4">
      <c r="A70" s="54">
        <v>45852</v>
      </c>
      <c r="B70" s="55" t="s">
        <v>55</v>
      </c>
      <c r="C70" s="55" t="s">
        <v>56</v>
      </c>
      <c r="D70" s="57">
        <v>31829</v>
      </c>
      <c r="E70" s="55">
        <v>22735</v>
      </c>
      <c r="F70" s="55">
        <v>270</v>
      </c>
      <c r="G70" s="55">
        <v>7</v>
      </c>
      <c r="H70" s="55">
        <v>2</v>
      </c>
      <c r="I70" s="55">
        <v>1</v>
      </c>
      <c r="J70" s="55">
        <v>0</v>
      </c>
    </row>
    <row r="71" spans="1:10" ht="15" x14ac:dyDescent="0.4">
      <c r="A71" s="54">
        <v>45852</v>
      </c>
      <c r="B71" s="55" t="s">
        <v>62</v>
      </c>
      <c r="C71" s="55" t="s">
        <v>56</v>
      </c>
      <c r="D71" s="57">
        <v>9996</v>
      </c>
      <c r="E71" s="55">
        <v>7140</v>
      </c>
      <c r="F71" s="55">
        <v>77</v>
      </c>
      <c r="G71" s="55">
        <v>5</v>
      </c>
      <c r="H71" s="55">
        <v>1</v>
      </c>
      <c r="I71" s="55">
        <v>0</v>
      </c>
      <c r="J71" s="55">
        <v>0</v>
      </c>
    </row>
    <row r="72" spans="1:10" ht="15" x14ac:dyDescent="0.4">
      <c r="A72" s="54">
        <v>45853</v>
      </c>
      <c r="B72" s="55" t="s">
        <v>61</v>
      </c>
      <c r="C72" s="55" t="s">
        <v>56</v>
      </c>
      <c r="D72" s="57">
        <v>18187</v>
      </c>
      <c r="E72" s="55">
        <v>12990</v>
      </c>
      <c r="F72" s="55">
        <v>157</v>
      </c>
      <c r="G72" s="55">
        <v>7</v>
      </c>
      <c r="H72" s="55">
        <v>1</v>
      </c>
      <c r="I72" s="55">
        <v>0</v>
      </c>
      <c r="J72" s="55">
        <v>0</v>
      </c>
    </row>
    <row r="73" spans="1:10" ht="15" x14ac:dyDescent="0.4">
      <c r="A73" s="54">
        <v>45853</v>
      </c>
      <c r="B73" s="55" t="s">
        <v>63</v>
      </c>
      <c r="C73" s="55" t="s">
        <v>58</v>
      </c>
      <c r="D73" s="57">
        <v>7103</v>
      </c>
      <c r="E73" s="55">
        <v>1479</v>
      </c>
      <c r="F73" s="55">
        <v>79</v>
      </c>
      <c r="G73" s="55">
        <v>5</v>
      </c>
      <c r="H73" s="55">
        <v>0</v>
      </c>
      <c r="I73" s="55">
        <v>0</v>
      </c>
      <c r="J73" s="55">
        <v>0</v>
      </c>
    </row>
    <row r="74" spans="1:10" ht="15" x14ac:dyDescent="0.4">
      <c r="A74" s="54">
        <v>45853</v>
      </c>
      <c r="B74" s="55" t="s">
        <v>57</v>
      </c>
      <c r="C74" s="55" t="s">
        <v>58</v>
      </c>
      <c r="D74" s="57">
        <v>22194</v>
      </c>
      <c r="E74" s="55">
        <v>4623</v>
      </c>
      <c r="F74" s="55">
        <v>227</v>
      </c>
      <c r="G74" s="55">
        <v>6</v>
      </c>
      <c r="H74" s="55">
        <v>0</v>
      </c>
      <c r="I74" s="55">
        <v>0</v>
      </c>
      <c r="J74" s="55">
        <v>0</v>
      </c>
    </row>
    <row r="75" spans="1:10" ht="15" x14ac:dyDescent="0.4">
      <c r="A75" s="54">
        <v>45853</v>
      </c>
      <c r="B75" s="55" t="s">
        <v>55</v>
      </c>
      <c r="C75" s="55" t="s">
        <v>56</v>
      </c>
      <c r="D75" s="57">
        <v>33110</v>
      </c>
      <c r="E75" s="55">
        <v>23650</v>
      </c>
      <c r="F75" s="55">
        <v>276</v>
      </c>
      <c r="G75" s="55">
        <v>8</v>
      </c>
      <c r="H75" s="55">
        <v>0</v>
      </c>
      <c r="I75" s="55">
        <v>1</v>
      </c>
      <c r="J75" s="55">
        <v>0</v>
      </c>
    </row>
    <row r="76" spans="1:10" ht="15" x14ac:dyDescent="0.4">
      <c r="A76" s="54">
        <v>45853</v>
      </c>
      <c r="B76" s="55" t="s">
        <v>62</v>
      </c>
      <c r="C76" s="55" t="s">
        <v>56</v>
      </c>
      <c r="D76" s="57">
        <v>9761</v>
      </c>
      <c r="E76" s="55">
        <v>6972</v>
      </c>
      <c r="F76" s="55">
        <v>81</v>
      </c>
      <c r="G76" s="55">
        <v>8</v>
      </c>
      <c r="H76" s="55">
        <v>3</v>
      </c>
      <c r="I76" s="55">
        <v>1</v>
      </c>
      <c r="J76" s="55">
        <v>0</v>
      </c>
    </row>
    <row r="77" spans="1:10" ht="15" x14ac:dyDescent="0.4">
      <c r="A77" s="54">
        <v>45854</v>
      </c>
      <c r="B77" s="55" t="s">
        <v>61</v>
      </c>
      <c r="C77" s="55" t="s">
        <v>56</v>
      </c>
      <c r="D77" s="57">
        <v>15183</v>
      </c>
      <c r="E77" s="55">
        <v>10845</v>
      </c>
      <c r="F77" s="55">
        <v>112</v>
      </c>
      <c r="G77" s="55">
        <v>4</v>
      </c>
      <c r="H77" s="55">
        <v>1</v>
      </c>
      <c r="I77" s="55">
        <v>1</v>
      </c>
      <c r="J77" s="55">
        <v>0</v>
      </c>
    </row>
    <row r="78" spans="1:10" ht="15" x14ac:dyDescent="0.4">
      <c r="A78" s="54">
        <v>45854</v>
      </c>
      <c r="B78" s="55" t="s">
        <v>63</v>
      </c>
      <c r="C78" s="55" t="s">
        <v>58</v>
      </c>
      <c r="D78" s="57">
        <v>6537</v>
      </c>
      <c r="E78" s="55">
        <v>1361</v>
      </c>
      <c r="F78" s="55">
        <v>78</v>
      </c>
      <c r="G78" s="55">
        <v>6</v>
      </c>
      <c r="H78" s="55">
        <v>0</v>
      </c>
      <c r="I78" s="55">
        <v>1</v>
      </c>
      <c r="J78" s="55">
        <v>1</v>
      </c>
    </row>
    <row r="79" spans="1:10" ht="15" x14ac:dyDescent="0.4">
      <c r="A79" s="54">
        <v>45854</v>
      </c>
      <c r="B79" s="55" t="s">
        <v>57</v>
      </c>
      <c r="C79" s="55" t="s">
        <v>58</v>
      </c>
      <c r="D79" s="57">
        <v>24390</v>
      </c>
      <c r="E79" s="55">
        <v>5081</v>
      </c>
      <c r="F79" s="55">
        <v>249</v>
      </c>
      <c r="G79" s="55">
        <v>4</v>
      </c>
      <c r="H79" s="55">
        <v>0</v>
      </c>
      <c r="I79" s="55">
        <v>0</v>
      </c>
      <c r="J79" s="55">
        <v>0</v>
      </c>
    </row>
    <row r="80" spans="1:10" ht="15" x14ac:dyDescent="0.4">
      <c r="A80" s="54">
        <v>45854</v>
      </c>
      <c r="B80" s="55" t="s">
        <v>55</v>
      </c>
      <c r="C80" s="55" t="s">
        <v>56</v>
      </c>
      <c r="D80" s="57">
        <v>34805</v>
      </c>
      <c r="E80" s="55">
        <v>24860</v>
      </c>
      <c r="F80" s="55">
        <v>277</v>
      </c>
      <c r="G80" s="55">
        <v>12</v>
      </c>
      <c r="H80" s="55">
        <v>3</v>
      </c>
      <c r="I80" s="55">
        <v>0</v>
      </c>
      <c r="J80" s="55">
        <v>0</v>
      </c>
    </row>
    <row r="81" spans="1:10" ht="15" x14ac:dyDescent="0.4">
      <c r="A81" s="54">
        <v>45854</v>
      </c>
      <c r="B81" s="55" t="s">
        <v>62</v>
      </c>
      <c r="C81" s="55" t="s">
        <v>56</v>
      </c>
      <c r="D81" s="57">
        <v>8955</v>
      </c>
      <c r="E81" s="55">
        <v>6396</v>
      </c>
      <c r="F81" s="55">
        <v>61</v>
      </c>
      <c r="G81" s="55">
        <v>3</v>
      </c>
      <c r="H81" s="55">
        <v>2</v>
      </c>
      <c r="I81" s="55">
        <v>1</v>
      </c>
      <c r="J81" s="55">
        <v>0</v>
      </c>
    </row>
    <row r="82" spans="1:10" ht="15" x14ac:dyDescent="0.4">
      <c r="A82" s="54">
        <v>45855</v>
      </c>
      <c r="B82" s="55" t="s">
        <v>61</v>
      </c>
      <c r="C82" s="55" t="s">
        <v>56</v>
      </c>
      <c r="D82" s="57">
        <v>15221</v>
      </c>
      <c r="E82" s="55">
        <v>10872</v>
      </c>
      <c r="F82" s="55">
        <v>107</v>
      </c>
      <c r="G82" s="55">
        <v>7</v>
      </c>
      <c r="H82" s="55">
        <v>1</v>
      </c>
      <c r="I82" s="55">
        <v>1</v>
      </c>
      <c r="J82" s="55">
        <v>0</v>
      </c>
    </row>
    <row r="83" spans="1:10" ht="15" x14ac:dyDescent="0.4">
      <c r="A83" s="54">
        <v>45855</v>
      </c>
      <c r="B83" s="55" t="s">
        <v>63</v>
      </c>
      <c r="C83" s="55" t="s">
        <v>58</v>
      </c>
      <c r="D83" s="57">
        <v>7287</v>
      </c>
      <c r="E83" s="55">
        <v>1518</v>
      </c>
      <c r="F83" s="55">
        <v>78</v>
      </c>
      <c r="G83" s="55">
        <v>3</v>
      </c>
      <c r="H83" s="55">
        <v>4</v>
      </c>
      <c r="I83" s="55">
        <v>1</v>
      </c>
      <c r="J83" s="55">
        <v>0</v>
      </c>
    </row>
    <row r="84" spans="1:10" ht="15" x14ac:dyDescent="0.4">
      <c r="A84" s="54">
        <v>45855</v>
      </c>
      <c r="B84" s="55" t="s">
        <v>57</v>
      </c>
      <c r="C84" s="55" t="s">
        <v>58</v>
      </c>
      <c r="D84" s="57">
        <v>22429</v>
      </c>
      <c r="E84" s="55">
        <v>4672</v>
      </c>
      <c r="F84" s="55">
        <v>211</v>
      </c>
      <c r="G84" s="55">
        <v>5</v>
      </c>
      <c r="H84" s="55">
        <v>1</v>
      </c>
      <c r="I84" s="55">
        <v>0</v>
      </c>
      <c r="J84" s="55">
        <v>0</v>
      </c>
    </row>
    <row r="85" spans="1:10" ht="15" x14ac:dyDescent="0.4">
      <c r="A85" s="54">
        <v>45855</v>
      </c>
      <c r="B85" s="55" t="s">
        <v>55</v>
      </c>
      <c r="C85" s="55" t="s">
        <v>56</v>
      </c>
      <c r="D85" s="57">
        <v>31592</v>
      </c>
      <c r="E85" s="55">
        <v>22565</v>
      </c>
      <c r="F85" s="55">
        <v>280</v>
      </c>
      <c r="G85" s="55">
        <v>10</v>
      </c>
      <c r="H85" s="55">
        <v>1</v>
      </c>
      <c r="I85" s="55">
        <v>0</v>
      </c>
      <c r="J85" s="55">
        <v>1</v>
      </c>
    </row>
    <row r="86" spans="1:10" ht="15" x14ac:dyDescent="0.4">
      <c r="A86" s="54">
        <v>45855</v>
      </c>
      <c r="B86" s="55" t="s">
        <v>62</v>
      </c>
      <c r="C86" s="55" t="s">
        <v>56</v>
      </c>
      <c r="D86" s="57">
        <v>9454</v>
      </c>
      <c r="E86" s="55">
        <v>6752</v>
      </c>
      <c r="F86" s="55">
        <v>79</v>
      </c>
      <c r="G86" s="55">
        <v>4</v>
      </c>
      <c r="H86" s="55">
        <v>1</v>
      </c>
      <c r="I86" s="55">
        <v>0</v>
      </c>
      <c r="J86" s="55">
        <v>1</v>
      </c>
    </row>
    <row r="87" spans="1:10" ht="15" x14ac:dyDescent="0.4">
      <c r="A87" s="54">
        <v>45856</v>
      </c>
      <c r="B87" s="55" t="s">
        <v>61</v>
      </c>
      <c r="C87" s="55" t="s">
        <v>56</v>
      </c>
      <c r="D87" s="57">
        <v>17947</v>
      </c>
      <c r="E87" s="55">
        <v>12819</v>
      </c>
      <c r="F87" s="55">
        <v>132</v>
      </c>
      <c r="G87" s="55">
        <v>4</v>
      </c>
      <c r="H87" s="55">
        <v>0</v>
      </c>
      <c r="I87" s="55">
        <v>0</v>
      </c>
      <c r="J87" s="55">
        <v>0</v>
      </c>
    </row>
    <row r="88" spans="1:10" ht="15" x14ac:dyDescent="0.4">
      <c r="A88" s="54">
        <v>45856</v>
      </c>
      <c r="B88" s="55" t="s">
        <v>63</v>
      </c>
      <c r="C88" s="55" t="s">
        <v>58</v>
      </c>
      <c r="D88" s="57">
        <v>6447</v>
      </c>
      <c r="E88" s="55">
        <v>1343</v>
      </c>
      <c r="F88" s="55">
        <v>67</v>
      </c>
      <c r="G88" s="55">
        <v>4</v>
      </c>
      <c r="H88" s="55">
        <v>3</v>
      </c>
      <c r="I88" s="55">
        <v>1</v>
      </c>
      <c r="J88" s="55">
        <v>0</v>
      </c>
    </row>
    <row r="89" spans="1:10" ht="15" x14ac:dyDescent="0.4">
      <c r="A89" s="54">
        <v>45856</v>
      </c>
      <c r="B89" s="55" t="s">
        <v>57</v>
      </c>
      <c r="C89" s="55" t="s">
        <v>58</v>
      </c>
      <c r="D89" s="57">
        <v>23247</v>
      </c>
      <c r="E89" s="55">
        <v>4843</v>
      </c>
      <c r="F89" s="55">
        <v>273</v>
      </c>
      <c r="G89" s="55">
        <v>2</v>
      </c>
      <c r="H89" s="55">
        <v>2</v>
      </c>
      <c r="I89" s="55">
        <v>0</v>
      </c>
      <c r="J89" s="55">
        <v>0</v>
      </c>
    </row>
    <row r="90" spans="1:10" ht="15" x14ac:dyDescent="0.4">
      <c r="A90" s="54">
        <v>45856</v>
      </c>
      <c r="B90" s="55" t="s">
        <v>55</v>
      </c>
      <c r="C90" s="55" t="s">
        <v>56</v>
      </c>
      <c r="D90" s="57">
        <v>31449</v>
      </c>
      <c r="E90" s="55">
        <v>22463</v>
      </c>
      <c r="F90" s="55">
        <v>274</v>
      </c>
      <c r="G90" s="55">
        <v>8</v>
      </c>
      <c r="H90" s="55">
        <v>1</v>
      </c>
      <c r="I90" s="55">
        <v>0</v>
      </c>
      <c r="J90" s="55">
        <v>0</v>
      </c>
    </row>
    <row r="91" spans="1:10" ht="15" x14ac:dyDescent="0.4">
      <c r="A91" s="54">
        <v>45856</v>
      </c>
      <c r="B91" s="55" t="s">
        <v>62</v>
      </c>
      <c r="C91" s="55" t="s">
        <v>56</v>
      </c>
      <c r="D91" s="57">
        <v>9515</v>
      </c>
      <c r="E91" s="55">
        <v>6796</v>
      </c>
      <c r="F91" s="55">
        <v>84</v>
      </c>
      <c r="G91" s="55">
        <v>5</v>
      </c>
      <c r="H91" s="55">
        <v>0</v>
      </c>
      <c r="I91" s="55">
        <v>2</v>
      </c>
      <c r="J91" s="55">
        <v>0</v>
      </c>
    </row>
    <row r="92" spans="1:10" ht="15" x14ac:dyDescent="0.4">
      <c r="A92" s="54">
        <v>45857</v>
      </c>
      <c r="B92" s="55" t="s">
        <v>61</v>
      </c>
      <c r="C92" s="55" t="s">
        <v>56</v>
      </c>
      <c r="D92" s="57">
        <v>17168</v>
      </c>
      <c r="E92" s="55">
        <v>12262</v>
      </c>
      <c r="F92" s="55">
        <v>124</v>
      </c>
      <c r="G92" s="55">
        <v>2</v>
      </c>
      <c r="H92" s="55">
        <v>0</v>
      </c>
      <c r="I92" s="55">
        <v>0</v>
      </c>
      <c r="J92" s="55">
        <v>0</v>
      </c>
    </row>
    <row r="93" spans="1:10" ht="15" x14ac:dyDescent="0.4">
      <c r="A93" s="54">
        <v>45857</v>
      </c>
      <c r="B93" s="55" t="s">
        <v>63</v>
      </c>
      <c r="C93" s="55" t="s">
        <v>58</v>
      </c>
      <c r="D93" s="57">
        <v>6420</v>
      </c>
      <c r="E93" s="55">
        <v>1337</v>
      </c>
      <c r="F93" s="55">
        <v>75</v>
      </c>
      <c r="G93" s="55">
        <v>0</v>
      </c>
      <c r="H93" s="55">
        <v>1</v>
      </c>
      <c r="I93" s="55">
        <v>0</v>
      </c>
      <c r="J93" s="55">
        <v>0</v>
      </c>
    </row>
    <row r="94" spans="1:10" ht="15" x14ac:dyDescent="0.4">
      <c r="A94" s="54">
        <v>45857</v>
      </c>
      <c r="B94" s="55" t="s">
        <v>57</v>
      </c>
      <c r="C94" s="55" t="s">
        <v>58</v>
      </c>
      <c r="D94" s="57">
        <v>22272</v>
      </c>
      <c r="E94" s="55">
        <v>4640</v>
      </c>
      <c r="F94" s="55">
        <v>224</v>
      </c>
      <c r="G94" s="55">
        <v>1</v>
      </c>
      <c r="H94" s="55">
        <v>0</v>
      </c>
      <c r="I94" s="55">
        <v>0</v>
      </c>
      <c r="J94" s="55">
        <v>0</v>
      </c>
    </row>
    <row r="95" spans="1:10" ht="15" x14ac:dyDescent="0.4">
      <c r="A95" s="54">
        <v>45857</v>
      </c>
      <c r="B95" s="55" t="s">
        <v>55</v>
      </c>
      <c r="C95" s="55" t="s">
        <v>56</v>
      </c>
      <c r="D95" s="57">
        <v>30598</v>
      </c>
      <c r="E95" s="55">
        <v>21855</v>
      </c>
      <c r="F95" s="55">
        <v>232</v>
      </c>
      <c r="G95" s="55">
        <v>4</v>
      </c>
      <c r="H95" s="55">
        <v>5</v>
      </c>
      <c r="I95" s="55">
        <v>1</v>
      </c>
      <c r="J95" s="55">
        <v>0</v>
      </c>
    </row>
    <row r="96" spans="1:10" ht="15" x14ac:dyDescent="0.4">
      <c r="A96" s="54">
        <v>45857</v>
      </c>
      <c r="B96" s="55" t="s">
        <v>62</v>
      </c>
      <c r="C96" s="55" t="s">
        <v>56</v>
      </c>
      <c r="D96" s="57">
        <v>8489</v>
      </c>
      <c r="E96" s="55">
        <v>6063</v>
      </c>
      <c r="F96" s="55">
        <v>67</v>
      </c>
      <c r="G96" s="55">
        <v>2</v>
      </c>
      <c r="H96" s="55">
        <v>2</v>
      </c>
      <c r="I96" s="55">
        <v>0</v>
      </c>
      <c r="J96" s="55">
        <v>0</v>
      </c>
    </row>
    <row r="97" spans="1:10" ht="15" x14ac:dyDescent="0.4">
      <c r="A97" s="54">
        <v>45858</v>
      </c>
      <c r="B97" s="55" t="s">
        <v>61</v>
      </c>
      <c r="C97" s="55" t="s">
        <v>56</v>
      </c>
      <c r="D97" s="57">
        <v>16593</v>
      </c>
      <c r="E97" s="55">
        <v>11852</v>
      </c>
      <c r="F97" s="55">
        <v>114</v>
      </c>
      <c r="G97" s="55">
        <v>7</v>
      </c>
      <c r="H97" s="55">
        <v>0</v>
      </c>
      <c r="I97" s="55">
        <v>0</v>
      </c>
      <c r="J97" s="55">
        <v>0</v>
      </c>
    </row>
    <row r="98" spans="1:10" ht="15" x14ac:dyDescent="0.4">
      <c r="A98" s="54">
        <v>45858</v>
      </c>
      <c r="B98" s="55" t="s">
        <v>63</v>
      </c>
      <c r="C98" s="55" t="s">
        <v>58</v>
      </c>
      <c r="D98" s="57">
        <v>7304</v>
      </c>
      <c r="E98" s="55">
        <v>1521</v>
      </c>
      <c r="F98" s="55">
        <v>68</v>
      </c>
      <c r="G98" s="55">
        <v>1</v>
      </c>
      <c r="H98" s="55">
        <v>0</v>
      </c>
      <c r="I98" s="55">
        <v>0</v>
      </c>
      <c r="J98" s="55">
        <v>0</v>
      </c>
    </row>
    <row r="99" spans="1:10" ht="15" x14ac:dyDescent="0.4">
      <c r="A99" s="54">
        <v>45858</v>
      </c>
      <c r="B99" s="55" t="s">
        <v>57</v>
      </c>
      <c r="C99" s="55" t="s">
        <v>58</v>
      </c>
      <c r="D99" s="57">
        <v>22963</v>
      </c>
      <c r="E99" s="55">
        <v>4783</v>
      </c>
      <c r="F99" s="55">
        <v>222</v>
      </c>
      <c r="G99" s="55">
        <v>7</v>
      </c>
      <c r="H99" s="55">
        <v>1</v>
      </c>
      <c r="I99" s="55">
        <v>2</v>
      </c>
      <c r="J99" s="55">
        <v>0</v>
      </c>
    </row>
    <row r="100" spans="1:10" ht="15" x14ac:dyDescent="0.4">
      <c r="A100" s="54">
        <v>45858</v>
      </c>
      <c r="B100" s="55" t="s">
        <v>55</v>
      </c>
      <c r="C100" s="55" t="s">
        <v>56</v>
      </c>
      <c r="D100" s="57">
        <v>32727</v>
      </c>
      <c r="E100" s="55">
        <v>23376</v>
      </c>
      <c r="F100" s="55">
        <v>249</v>
      </c>
      <c r="G100" s="55">
        <v>4</v>
      </c>
      <c r="H100" s="55">
        <v>2</v>
      </c>
      <c r="I100" s="55">
        <v>0</v>
      </c>
      <c r="J100" s="55">
        <v>0</v>
      </c>
    </row>
    <row r="101" spans="1:10" ht="15" x14ac:dyDescent="0.4">
      <c r="A101" s="54">
        <v>45858</v>
      </c>
      <c r="B101" s="55" t="s">
        <v>62</v>
      </c>
      <c r="C101" s="55" t="s">
        <v>56</v>
      </c>
      <c r="D101" s="57">
        <v>8823</v>
      </c>
      <c r="E101" s="55">
        <v>6302</v>
      </c>
      <c r="F101" s="55">
        <v>78</v>
      </c>
      <c r="G101" s="55">
        <v>1</v>
      </c>
      <c r="H101" s="55">
        <v>2</v>
      </c>
      <c r="I101" s="55">
        <v>0</v>
      </c>
      <c r="J101" s="55">
        <v>0</v>
      </c>
    </row>
    <row r="102" spans="1:10" ht="15" x14ac:dyDescent="0.4">
      <c r="A102" s="54">
        <v>45859</v>
      </c>
      <c r="B102" s="55" t="s">
        <v>61</v>
      </c>
      <c r="C102" s="55" t="s">
        <v>56</v>
      </c>
      <c r="D102" s="57">
        <v>17751</v>
      </c>
      <c r="E102" s="55">
        <v>12679</v>
      </c>
      <c r="F102" s="55">
        <v>130</v>
      </c>
      <c r="G102" s="55">
        <v>3</v>
      </c>
      <c r="H102" s="55">
        <v>1</v>
      </c>
      <c r="I102" s="55">
        <v>0</v>
      </c>
      <c r="J102" s="55">
        <v>0</v>
      </c>
    </row>
    <row r="103" spans="1:10" ht="15" x14ac:dyDescent="0.4">
      <c r="A103" s="54">
        <v>45859</v>
      </c>
      <c r="B103" s="55" t="s">
        <v>63</v>
      </c>
      <c r="C103" s="55" t="s">
        <v>58</v>
      </c>
      <c r="D103" s="57">
        <v>6448</v>
      </c>
      <c r="E103" s="55">
        <v>1343</v>
      </c>
      <c r="F103" s="55">
        <v>76</v>
      </c>
      <c r="G103" s="55">
        <v>5</v>
      </c>
      <c r="H103" s="55">
        <v>1</v>
      </c>
      <c r="I103" s="55">
        <v>1</v>
      </c>
      <c r="J103" s="55">
        <v>0</v>
      </c>
    </row>
    <row r="104" spans="1:10" ht="15" x14ac:dyDescent="0.4">
      <c r="A104" s="54">
        <v>45859</v>
      </c>
      <c r="B104" s="55" t="s">
        <v>57</v>
      </c>
      <c r="C104" s="55" t="s">
        <v>58</v>
      </c>
      <c r="D104" s="57">
        <v>22293</v>
      </c>
      <c r="E104" s="55">
        <v>4644</v>
      </c>
      <c r="F104" s="55">
        <v>245</v>
      </c>
      <c r="G104" s="55">
        <v>4</v>
      </c>
      <c r="H104" s="55">
        <v>1</v>
      </c>
      <c r="I104" s="55">
        <v>0</v>
      </c>
      <c r="J104" s="55">
        <v>0</v>
      </c>
    </row>
    <row r="105" spans="1:10" ht="15" x14ac:dyDescent="0.4">
      <c r="A105" s="54">
        <v>45859</v>
      </c>
      <c r="B105" s="55" t="s">
        <v>55</v>
      </c>
      <c r="C105" s="55" t="s">
        <v>56</v>
      </c>
      <c r="D105" s="57">
        <v>29731</v>
      </c>
      <c r="E105" s="55">
        <v>21236</v>
      </c>
      <c r="F105" s="55">
        <v>261</v>
      </c>
      <c r="G105" s="55">
        <v>9</v>
      </c>
      <c r="H105" s="55">
        <v>2</v>
      </c>
      <c r="I105" s="55">
        <v>1</v>
      </c>
      <c r="J105" s="55">
        <v>0</v>
      </c>
    </row>
    <row r="106" spans="1:10" ht="15" x14ac:dyDescent="0.4">
      <c r="A106" s="54">
        <v>45859</v>
      </c>
      <c r="B106" s="55" t="s">
        <v>62</v>
      </c>
      <c r="C106" s="55" t="s">
        <v>56</v>
      </c>
      <c r="D106" s="57">
        <v>8685</v>
      </c>
      <c r="E106" s="55">
        <v>6203</v>
      </c>
      <c r="F106" s="55">
        <v>60</v>
      </c>
      <c r="G106" s="55">
        <v>3</v>
      </c>
      <c r="H106" s="55">
        <v>2</v>
      </c>
      <c r="I106" s="55">
        <v>0</v>
      </c>
      <c r="J106" s="55">
        <v>0</v>
      </c>
    </row>
    <row r="107" spans="1:10" ht="15" x14ac:dyDescent="0.4">
      <c r="A107" s="54">
        <v>45860</v>
      </c>
      <c r="B107" s="55" t="s">
        <v>61</v>
      </c>
      <c r="C107" s="55" t="s">
        <v>56</v>
      </c>
      <c r="D107" s="57">
        <v>18006</v>
      </c>
      <c r="E107" s="55">
        <v>12861</v>
      </c>
      <c r="F107" s="55">
        <v>135</v>
      </c>
      <c r="G107" s="55">
        <v>5</v>
      </c>
      <c r="H107" s="55">
        <v>2</v>
      </c>
      <c r="I107" s="55">
        <v>1</v>
      </c>
      <c r="J107" s="55">
        <v>0</v>
      </c>
    </row>
    <row r="108" spans="1:10" ht="15" x14ac:dyDescent="0.4">
      <c r="A108" s="54">
        <v>45860</v>
      </c>
      <c r="B108" s="55" t="s">
        <v>63</v>
      </c>
      <c r="C108" s="55" t="s">
        <v>58</v>
      </c>
      <c r="D108" s="57">
        <v>7063</v>
      </c>
      <c r="E108" s="55">
        <v>1471</v>
      </c>
      <c r="F108" s="55">
        <v>69</v>
      </c>
      <c r="G108" s="55">
        <v>1</v>
      </c>
      <c r="H108" s="55">
        <v>1</v>
      </c>
      <c r="I108" s="55">
        <v>0</v>
      </c>
      <c r="J108" s="55">
        <v>0</v>
      </c>
    </row>
    <row r="109" spans="1:10" ht="15" x14ac:dyDescent="0.4">
      <c r="A109" s="54">
        <v>45860</v>
      </c>
      <c r="B109" s="55" t="s">
        <v>57</v>
      </c>
      <c r="C109" s="55" t="s">
        <v>58</v>
      </c>
      <c r="D109" s="57">
        <v>21524</v>
      </c>
      <c r="E109" s="55">
        <v>4484</v>
      </c>
      <c r="F109" s="55">
        <v>223</v>
      </c>
      <c r="G109" s="55">
        <v>4</v>
      </c>
      <c r="H109" s="55">
        <v>1</v>
      </c>
      <c r="I109" s="55">
        <v>0</v>
      </c>
      <c r="J109" s="55">
        <v>0</v>
      </c>
    </row>
    <row r="110" spans="1:10" ht="15" x14ac:dyDescent="0.4">
      <c r="A110" s="54">
        <v>45860</v>
      </c>
      <c r="B110" s="55" t="s">
        <v>55</v>
      </c>
      <c r="C110" s="55" t="s">
        <v>56</v>
      </c>
      <c r="D110" s="57">
        <v>33159</v>
      </c>
      <c r="E110" s="55">
        <v>23685</v>
      </c>
      <c r="F110" s="55">
        <v>295</v>
      </c>
      <c r="G110" s="55">
        <v>8</v>
      </c>
      <c r="H110" s="55">
        <v>0</v>
      </c>
      <c r="I110" s="55">
        <v>2</v>
      </c>
      <c r="J110" s="55">
        <v>0</v>
      </c>
    </row>
    <row r="111" spans="1:10" ht="15" x14ac:dyDescent="0.4">
      <c r="A111" s="54">
        <v>45860</v>
      </c>
      <c r="B111" s="55" t="s">
        <v>62</v>
      </c>
      <c r="C111" s="55" t="s">
        <v>56</v>
      </c>
      <c r="D111" s="57">
        <v>8711</v>
      </c>
      <c r="E111" s="55">
        <v>6222</v>
      </c>
      <c r="F111" s="55">
        <v>61</v>
      </c>
      <c r="G111" s="55">
        <v>5</v>
      </c>
      <c r="H111" s="55">
        <v>2</v>
      </c>
      <c r="I111" s="55">
        <v>0</v>
      </c>
      <c r="J111" s="55">
        <v>0</v>
      </c>
    </row>
    <row r="112" spans="1:10" ht="15" x14ac:dyDescent="0.4">
      <c r="A112" s="54">
        <v>45861</v>
      </c>
      <c r="B112" s="55" t="s">
        <v>61</v>
      </c>
      <c r="C112" s="55" t="s">
        <v>56</v>
      </c>
      <c r="D112" s="57">
        <v>17570</v>
      </c>
      <c r="E112" s="55">
        <v>12549</v>
      </c>
      <c r="F112" s="55">
        <v>139</v>
      </c>
      <c r="G112" s="55">
        <v>6</v>
      </c>
      <c r="H112" s="55">
        <v>0</v>
      </c>
      <c r="I112" s="55">
        <v>0</v>
      </c>
      <c r="J112" s="55">
        <v>0</v>
      </c>
    </row>
    <row r="113" spans="1:10" ht="15" x14ac:dyDescent="0.4">
      <c r="A113" s="54">
        <v>45861</v>
      </c>
      <c r="B113" s="55" t="s">
        <v>63</v>
      </c>
      <c r="C113" s="55" t="s">
        <v>58</v>
      </c>
      <c r="D113" s="57">
        <v>6861</v>
      </c>
      <c r="E113" s="55">
        <v>1429</v>
      </c>
      <c r="F113" s="55">
        <v>74</v>
      </c>
      <c r="G113" s="55">
        <v>2</v>
      </c>
      <c r="H113" s="55">
        <v>1</v>
      </c>
      <c r="I113" s="55">
        <v>1</v>
      </c>
      <c r="J113" s="55">
        <v>1</v>
      </c>
    </row>
    <row r="114" spans="1:10" ht="15" x14ac:dyDescent="0.4">
      <c r="A114" s="54">
        <v>45861</v>
      </c>
      <c r="B114" s="55" t="s">
        <v>57</v>
      </c>
      <c r="C114" s="55" t="s">
        <v>58</v>
      </c>
      <c r="D114" s="57">
        <v>21993</v>
      </c>
      <c r="E114" s="55">
        <v>4581</v>
      </c>
      <c r="F114" s="55">
        <v>249</v>
      </c>
      <c r="G114" s="55">
        <v>5</v>
      </c>
      <c r="H114" s="55">
        <v>1</v>
      </c>
      <c r="I114" s="55">
        <v>0</v>
      </c>
      <c r="J114" s="55">
        <v>0</v>
      </c>
    </row>
    <row r="115" spans="1:10" ht="15" x14ac:dyDescent="0.4">
      <c r="A115" s="54">
        <v>45861</v>
      </c>
      <c r="B115" s="55" t="s">
        <v>55</v>
      </c>
      <c r="C115" s="55" t="s">
        <v>56</v>
      </c>
      <c r="D115" s="57">
        <v>34260</v>
      </c>
      <c r="E115" s="55">
        <v>24471</v>
      </c>
      <c r="F115" s="55">
        <v>304</v>
      </c>
      <c r="G115" s="55">
        <v>9</v>
      </c>
      <c r="H115" s="55">
        <v>2</v>
      </c>
      <c r="I115" s="55">
        <v>2</v>
      </c>
      <c r="J115" s="55">
        <v>0</v>
      </c>
    </row>
    <row r="116" spans="1:10" ht="15" x14ac:dyDescent="0.4">
      <c r="A116" s="54">
        <v>45861</v>
      </c>
      <c r="B116" s="55" t="s">
        <v>62</v>
      </c>
      <c r="C116" s="55" t="s">
        <v>56</v>
      </c>
      <c r="D116" s="57">
        <v>8806</v>
      </c>
      <c r="E116" s="55">
        <v>6290</v>
      </c>
      <c r="F116" s="55">
        <v>79</v>
      </c>
      <c r="G116" s="55">
        <v>2</v>
      </c>
      <c r="H116" s="55">
        <v>0</v>
      </c>
      <c r="I116" s="55">
        <v>1</v>
      </c>
      <c r="J116" s="55">
        <v>0</v>
      </c>
    </row>
    <row r="117" spans="1:10" ht="15" x14ac:dyDescent="0.4">
      <c r="A117" s="54">
        <v>45862</v>
      </c>
      <c r="B117" s="55" t="s">
        <v>61</v>
      </c>
      <c r="C117" s="55" t="s">
        <v>56</v>
      </c>
      <c r="D117" s="57">
        <v>15581</v>
      </c>
      <c r="E117" s="55">
        <v>11129</v>
      </c>
      <c r="F117" s="55">
        <v>128</v>
      </c>
      <c r="G117" s="55">
        <v>3</v>
      </c>
      <c r="H117" s="55">
        <v>2</v>
      </c>
      <c r="I117" s="55">
        <v>1</v>
      </c>
      <c r="J117" s="55">
        <v>0</v>
      </c>
    </row>
    <row r="118" spans="1:10" ht="15" x14ac:dyDescent="0.4">
      <c r="A118" s="54">
        <v>45862</v>
      </c>
      <c r="B118" s="55" t="s">
        <v>63</v>
      </c>
      <c r="C118" s="55" t="s">
        <v>58</v>
      </c>
      <c r="D118" s="57">
        <v>6177</v>
      </c>
      <c r="E118" s="55">
        <v>1286</v>
      </c>
      <c r="F118" s="55">
        <v>67</v>
      </c>
      <c r="G118" s="55">
        <v>2</v>
      </c>
      <c r="H118" s="55">
        <v>3</v>
      </c>
      <c r="I118" s="55">
        <v>1</v>
      </c>
      <c r="J118" s="55">
        <v>0</v>
      </c>
    </row>
    <row r="119" spans="1:10" ht="15" x14ac:dyDescent="0.4">
      <c r="A119" s="54">
        <v>45862</v>
      </c>
      <c r="B119" s="55" t="s">
        <v>57</v>
      </c>
      <c r="C119" s="55" t="s">
        <v>58</v>
      </c>
      <c r="D119" s="57">
        <v>24783</v>
      </c>
      <c r="E119" s="55">
        <v>5163</v>
      </c>
      <c r="F119" s="55">
        <v>273</v>
      </c>
      <c r="G119" s="55">
        <v>7</v>
      </c>
      <c r="H119" s="55">
        <v>1</v>
      </c>
      <c r="I119" s="55">
        <v>0</v>
      </c>
      <c r="J119" s="55">
        <v>0</v>
      </c>
    </row>
    <row r="120" spans="1:10" ht="15" x14ac:dyDescent="0.4">
      <c r="A120" s="54">
        <v>45862</v>
      </c>
      <c r="B120" s="55" t="s">
        <v>55</v>
      </c>
      <c r="C120" s="55" t="s">
        <v>56</v>
      </c>
      <c r="D120" s="57">
        <v>33736</v>
      </c>
      <c r="E120" s="55">
        <v>24097</v>
      </c>
      <c r="F120" s="55">
        <v>279</v>
      </c>
      <c r="G120" s="55">
        <v>16</v>
      </c>
      <c r="H120" s="55">
        <v>0</v>
      </c>
      <c r="I120" s="55">
        <v>1</v>
      </c>
      <c r="J120" s="55">
        <v>0</v>
      </c>
    </row>
    <row r="121" spans="1:10" ht="15" x14ac:dyDescent="0.4">
      <c r="A121" s="54">
        <v>45862</v>
      </c>
      <c r="B121" s="55" t="s">
        <v>62</v>
      </c>
      <c r="C121" s="55" t="s">
        <v>56</v>
      </c>
      <c r="D121" s="57">
        <v>8638</v>
      </c>
      <c r="E121" s="55">
        <v>6170</v>
      </c>
      <c r="F121" s="55">
        <v>58</v>
      </c>
      <c r="G121" s="55">
        <v>4</v>
      </c>
      <c r="H121" s="55">
        <v>1</v>
      </c>
      <c r="I121" s="55">
        <v>0</v>
      </c>
      <c r="J121" s="55">
        <v>0</v>
      </c>
    </row>
    <row r="122" spans="1:10" ht="15" x14ac:dyDescent="0.4">
      <c r="A122" s="54">
        <v>45863</v>
      </c>
      <c r="B122" s="55" t="s">
        <v>61</v>
      </c>
      <c r="C122" s="55" t="s">
        <v>56</v>
      </c>
      <c r="D122" s="57">
        <v>16548</v>
      </c>
      <c r="E122" s="55">
        <v>11819</v>
      </c>
      <c r="F122" s="55">
        <v>111</v>
      </c>
      <c r="G122" s="55">
        <v>6</v>
      </c>
      <c r="H122" s="55">
        <v>2</v>
      </c>
      <c r="I122" s="55">
        <v>0</v>
      </c>
      <c r="J122" s="55">
        <v>0</v>
      </c>
    </row>
    <row r="123" spans="1:10" ht="15" x14ac:dyDescent="0.4">
      <c r="A123" s="54">
        <v>45863</v>
      </c>
      <c r="B123" s="55" t="s">
        <v>63</v>
      </c>
      <c r="C123" s="55" t="s">
        <v>58</v>
      </c>
      <c r="D123" s="57">
        <v>6166</v>
      </c>
      <c r="E123" s="55">
        <v>1284</v>
      </c>
      <c r="F123" s="55">
        <v>61</v>
      </c>
      <c r="G123" s="55">
        <v>0</v>
      </c>
      <c r="H123" s="55">
        <v>1</v>
      </c>
      <c r="I123" s="55">
        <v>0</v>
      </c>
      <c r="J123" s="55">
        <v>0</v>
      </c>
    </row>
    <row r="124" spans="1:10" ht="15" x14ac:dyDescent="0.4">
      <c r="A124" s="54">
        <v>45863</v>
      </c>
      <c r="B124" s="55" t="s">
        <v>57</v>
      </c>
      <c r="C124" s="55" t="s">
        <v>58</v>
      </c>
      <c r="D124" s="57">
        <v>23403</v>
      </c>
      <c r="E124" s="55">
        <v>4875</v>
      </c>
      <c r="F124" s="55">
        <v>234</v>
      </c>
      <c r="G124" s="55">
        <v>3</v>
      </c>
      <c r="H124" s="55">
        <v>0</v>
      </c>
      <c r="I124" s="55">
        <v>0</v>
      </c>
      <c r="J124" s="55">
        <v>0</v>
      </c>
    </row>
    <row r="125" spans="1:10" ht="15" x14ac:dyDescent="0.4">
      <c r="A125" s="54">
        <v>45863</v>
      </c>
      <c r="B125" s="55" t="s">
        <v>55</v>
      </c>
      <c r="C125" s="55" t="s">
        <v>56</v>
      </c>
      <c r="D125" s="57">
        <v>29420</v>
      </c>
      <c r="E125" s="55">
        <v>21014</v>
      </c>
      <c r="F125" s="55">
        <v>197</v>
      </c>
      <c r="G125" s="55">
        <v>4</v>
      </c>
      <c r="H125" s="55">
        <v>1</v>
      </c>
      <c r="I125" s="55">
        <v>0</v>
      </c>
      <c r="J125" s="55">
        <v>0</v>
      </c>
    </row>
    <row r="126" spans="1:10" ht="15" x14ac:dyDescent="0.4">
      <c r="A126" s="54">
        <v>45863</v>
      </c>
      <c r="B126" s="55" t="s">
        <v>62</v>
      </c>
      <c r="C126" s="55" t="s">
        <v>56</v>
      </c>
      <c r="D126" s="57">
        <v>8585</v>
      </c>
      <c r="E126" s="55">
        <v>6132</v>
      </c>
      <c r="F126" s="55">
        <v>60</v>
      </c>
      <c r="G126" s="55">
        <v>2</v>
      </c>
      <c r="H126" s="55">
        <v>0</v>
      </c>
      <c r="I126" s="55">
        <v>0</v>
      </c>
      <c r="J126" s="55">
        <v>0</v>
      </c>
    </row>
    <row r="127" spans="1:10" ht="15" x14ac:dyDescent="0.4">
      <c r="A127" s="54">
        <v>45864</v>
      </c>
      <c r="B127" s="55" t="s">
        <v>61</v>
      </c>
      <c r="C127" s="55" t="s">
        <v>56</v>
      </c>
      <c r="D127" s="57">
        <v>17813</v>
      </c>
      <c r="E127" s="55">
        <v>12723</v>
      </c>
      <c r="F127" s="55">
        <v>134</v>
      </c>
      <c r="G127" s="55">
        <v>4</v>
      </c>
      <c r="H127" s="55">
        <v>1</v>
      </c>
      <c r="I127" s="55">
        <v>0</v>
      </c>
      <c r="J127" s="55">
        <v>0</v>
      </c>
    </row>
    <row r="128" spans="1:10" ht="15" x14ac:dyDescent="0.4">
      <c r="A128" s="54">
        <v>45864</v>
      </c>
      <c r="B128" s="55" t="s">
        <v>63</v>
      </c>
      <c r="C128" s="55" t="s">
        <v>58</v>
      </c>
      <c r="D128" s="57">
        <v>6221</v>
      </c>
      <c r="E128" s="55">
        <v>1296</v>
      </c>
      <c r="F128" s="55">
        <v>70</v>
      </c>
      <c r="G128" s="55">
        <v>1</v>
      </c>
      <c r="H128" s="55">
        <v>1</v>
      </c>
      <c r="I128" s="55">
        <v>0</v>
      </c>
      <c r="J128" s="55">
        <v>0</v>
      </c>
    </row>
    <row r="129" spans="1:10" ht="15" x14ac:dyDescent="0.4">
      <c r="A129" s="54">
        <v>45864</v>
      </c>
      <c r="B129" s="55" t="s">
        <v>57</v>
      </c>
      <c r="C129" s="55" t="s">
        <v>58</v>
      </c>
      <c r="D129" s="57">
        <v>23693</v>
      </c>
      <c r="E129" s="55">
        <v>4936</v>
      </c>
      <c r="F129" s="55">
        <v>294</v>
      </c>
      <c r="G129" s="55">
        <v>3</v>
      </c>
      <c r="H129" s="55">
        <v>2</v>
      </c>
      <c r="I129" s="55">
        <v>2</v>
      </c>
      <c r="J129" s="55">
        <v>0</v>
      </c>
    </row>
    <row r="130" spans="1:10" ht="15" x14ac:dyDescent="0.4">
      <c r="A130" s="54">
        <v>45864</v>
      </c>
      <c r="B130" s="55" t="s">
        <v>55</v>
      </c>
      <c r="C130" s="55" t="s">
        <v>56</v>
      </c>
      <c r="D130" s="57">
        <v>30330</v>
      </c>
      <c r="E130" s="55">
        <v>21664</v>
      </c>
      <c r="F130" s="55">
        <v>203</v>
      </c>
      <c r="G130" s="55">
        <v>9</v>
      </c>
      <c r="H130" s="55">
        <v>4</v>
      </c>
      <c r="I130" s="55">
        <v>0</v>
      </c>
      <c r="J130" s="55">
        <v>0</v>
      </c>
    </row>
    <row r="131" spans="1:10" ht="15" x14ac:dyDescent="0.4">
      <c r="A131" s="54">
        <v>45864</v>
      </c>
      <c r="B131" s="55" t="s">
        <v>62</v>
      </c>
      <c r="C131" s="55" t="s">
        <v>56</v>
      </c>
      <c r="D131" s="57">
        <v>9275</v>
      </c>
      <c r="E131" s="55">
        <v>6625</v>
      </c>
      <c r="F131" s="55">
        <v>63</v>
      </c>
      <c r="G131" s="55">
        <v>2</v>
      </c>
      <c r="H131" s="55">
        <v>2</v>
      </c>
      <c r="I131" s="55">
        <v>0</v>
      </c>
      <c r="J131" s="55">
        <v>0</v>
      </c>
    </row>
    <row r="132" spans="1:10" ht="15" x14ac:dyDescent="0.4">
      <c r="A132" s="54">
        <v>45865</v>
      </c>
      <c r="B132" s="55" t="s">
        <v>61</v>
      </c>
      <c r="C132" s="55" t="s">
        <v>56</v>
      </c>
      <c r="D132" s="57">
        <v>16496</v>
      </c>
      <c r="E132" s="55">
        <v>11782</v>
      </c>
      <c r="F132" s="55">
        <v>110</v>
      </c>
      <c r="G132" s="55">
        <v>2</v>
      </c>
      <c r="H132" s="55">
        <v>0</v>
      </c>
      <c r="I132" s="55">
        <v>1</v>
      </c>
      <c r="J132" s="55">
        <v>0</v>
      </c>
    </row>
    <row r="133" spans="1:10" ht="15" x14ac:dyDescent="0.4">
      <c r="A133" s="54">
        <v>45865</v>
      </c>
      <c r="B133" s="55" t="s">
        <v>63</v>
      </c>
      <c r="C133" s="55" t="s">
        <v>58</v>
      </c>
      <c r="D133" s="57">
        <v>6721</v>
      </c>
      <c r="E133" s="55">
        <v>1400</v>
      </c>
      <c r="F133" s="55">
        <v>63</v>
      </c>
      <c r="G133" s="55">
        <v>2</v>
      </c>
      <c r="H133" s="55">
        <v>0</v>
      </c>
      <c r="I133" s="55">
        <v>0</v>
      </c>
      <c r="J133" s="55">
        <v>0</v>
      </c>
    </row>
    <row r="134" spans="1:10" ht="15" x14ac:dyDescent="0.4">
      <c r="A134" s="54">
        <v>45865</v>
      </c>
      <c r="B134" s="55" t="s">
        <v>57</v>
      </c>
      <c r="C134" s="55" t="s">
        <v>58</v>
      </c>
      <c r="D134" s="57">
        <v>23880</v>
      </c>
      <c r="E134" s="55">
        <v>4975</v>
      </c>
      <c r="F134" s="55">
        <v>258</v>
      </c>
      <c r="G134" s="55">
        <v>2</v>
      </c>
      <c r="H134" s="55">
        <v>2</v>
      </c>
      <c r="I134" s="55">
        <v>2</v>
      </c>
      <c r="J134" s="55">
        <v>0</v>
      </c>
    </row>
    <row r="135" spans="1:10" ht="15" x14ac:dyDescent="0.4">
      <c r="A135" s="54">
        <v>45865</v>
      </c>
      <c r="B135" s="55" t="s">
        <v>55</v>
      </c>
      <c r="C135" s="55" t="s">
        <v>56</v>
      </c>
      <c r="D135" s="57">
        <v>35424</v>
      </c>
      <c r="E135" s="55">
        <v>25302</v>
      </c>
      <c r="F135" s="55">
        <v>246</v>
      </c>
      <c r="G135" s="55">
        <v>10</v>
      </c>
      <c r="H135" s="55">
        <v>1</v>
      </c>
      <c r="I135" s="55">
        <v>0</v>
      </c>
      <c r="J135" s="55">
        <v>0</v>
      </c>
    </row>
    <row r="136" spans="1:10" ht="15" x14ac:dyDescent="0.4">
      <c r="A136" s="54">
        <v>45865</v>
      </c>
      <c r="B136" s="55" t="s">
        <v>62</v>
      </c>
      <c r="C136" s="55" t="s">
        <v>56</v>
      </c>
      <c r="D136" s="57">
        <v>8867</v>
      </c>
      <c r="E136" s="55">
        <v>6333</v>
      </c>
      <c r="F136" s="55">
        <v>73</v>
      </c>
      <c r="G136" s="55">
        <v>4</v>
      </c>
      <c r="H136" s="55">
        <v>1</v>
      </c>
      <c r="I136" s="55">
        <v>0</v>
      </c>
      <c r="J136" s="55">
        <v>0</v>
      </c>
    </row>
    <row r="137" spans="1:10" ht="15" x14ac:dyDescent="0.4">
      <c r="A137" s="54">
        <v>45866</v>
      </c>
      <c r="B137" s="55" t="s">
        <v>61</v>
      </c>
      <c r="C137" s="55" t="s">
        <v>56</v>
      </c>
      <c r="D137" s="57">
        <v>18097</v>
      </c>
      <c r="E137" s="55">
        <v>12926</v>
      </c>
      <c r="F137" s="55">
        <v>144</v>
      </c>
      <c r="G137" s="55">
        <v>3</v>
      </c>
      <c r="H137" s="55">
        <v>2</v>
      </c>
      <c r="I137" s="55">
        <v>1</v>
      </c>
      <c r="J137" s="55">
        <v>0</v>
      </c>
    </row>
    <row r="138" spans="1:10" ht="15" x14ac:dyDescent="0.4">
      <c r="A138" s="54">
        <v>45866</v>
      </c>
      <c r="B138" s="55" t="s">
        <v>63</v>
      </c>
      <c r="C138" s="55" t="s">
        <v>58</v>
      </c>
      <c r="D138" s="57">
        <v>7484</v>
      </c>
      <c r="E138" s="55">
        <v>1559</v>
      </c>
      <c r="F138" s="55">
        <v>79</v>
      </c>
      <c r="G138" s="55">
        <v>4</v>
      </c>
      <c r="H138" s="55">
        <v>2</v>
      </c>
      <c r="I138" s="55">
        <v>0</v>
      </c>
      <c r="J138" s="55">
        <v>1</v>
      </c>
    </row>
    <row r="139" spans="1:10" ht="15" x14ac:dyDescent="0.4">
      <c r="A139" s="54">
        <v>45866</v>
      </c>
      <c r="B139" s="55" t="s">
        <v>57</v>
      </c>
      <c r="C139" s="55" t="s">
        <v>58</v>
      </c>
      <c r="D139" s="57">
        <v>20969</v>
      </c>
      <c r="E139" s="55">
        <v>4368</v>
      </c>
      <c r="F139" s="55">
        <v>220</v>
      </c>
      <c r="G139" s="55">
        <v>2</v>
      </c>
      <c r="H139" s="55">
        <v>1</v>
      </c>
      <c r="I139" s="55">
        <v>0</v>
      </c>
      <c r="J139" s="55">
        <v>0</v>
      </c>
    </row>
    <row r="140" spans="1:10" ht="15" x14ac:dyDescent="0.4">
      <c r="A140" s="54">
        <v>45866</v>
      </c>
      <c r="B140" s="55" t="s">
        <v>55</v>
      </c>
      <c r="C140" s="55" t="s">
        <v>56</v>
      </c>
      <c r="D140" s="57">
        <v>34399</v>
      </c>
      <c r="E140" s="55">
        <v>24570</v>
      </c>
      <c r="F140" s="55">
        <v>279</v>
      </c>
      <c r="G140" s="55">
        <v>8</v>
      </c>
      <c r="H140" s="55">
        <v>1</v>
      </c>
      <c r="I140" s="55">
        <v>3</v>
      </c>
      <c r="J140" s="55">
        <v>0</v>
      </c>
    </row>
    <row r="141" spans="1:10" ht="15" x14ac:dyDescent="0.4">
      <c r="A141" s="54">
        <v>45866</v>
      </c>
      <c r="B141" s="55" t="s">
        <v>62</v>
      </c>
      <c r="C141" s="55" t="s">
        <v>56</v>
      </c>
      <c r="D141" s="57">
        <v>8562</v>
      </c>
      <c r="E141" s="55">
        <v>6115</v>
      </c>
      <c r="F141" s="55">
        <v>60</v>
      </c>
      <c r="G141" s="55">
        <v>5</v>
      </c>
      <c r="H141" s="55">
        <v>1</v>
      </c>
      <c r="I141" s="55">
        <v>0</v>
      </c>
      <c r="J141" s="55">
        <v>0</v>
      </c>
    </row>
    <row r="142" spans="1:10" ht="15" x14ac:dyDescent="0.4">
      <c r="A142" s="54">
        <v>45867</v>
      </c>
      <c r="B142" s="55" t="s">
        <v>61</v>
      </c>
      <c r="C142" s="55" t="s">
        <v>56</v>
      </c>
      <c r="D142" s="57">
        <v>16800</v>
      </c>
      <c r="E142" s="55">
        <v>12000</v>
      </c>
      <c r="F142" s="55">
        <v>142</v>
      </c>
      <c r="G142" s="55">
        <v>5</v>
      </c>
      <c r="H142" s="55">
        <v>1</v>
      </c>
      <c r="I142" s="55">
        <v>0</v>
      </c>
      <c r="J142" s="55">
        <v>0</v>
      </c>
    </row>
    <row r="143" spans="1:10" ht="15" x14ac:dyDescent="0.4">
      <c r="A143" s="54">
        <v>45867</v>
      </c>
      <c r="B143" s="55" t="s">
        <v>63</v>
      </c>
      <c r="C143" s="55" t="s">
        <v>58</v>
      </c>
      <c r="D143" s="57">
        <v>6477</v>
      </c>
      <c r="E143" s="55">
        <v>1349</v>
      </c>
      <c r="F143" s="55">
        <v>73</v>
      </c>
      <c r="G143" s="55">
        <v>2</v>
      </c>
      <c r="H143" s="55">
        <v>1</v>
      </c>
      <c r="I143" s="55">
        <v>2</v>
      </c>
      <c r="J143" s="55">
        <v>0</v>
      </c>
    </row>
    <row r="144" spans="1:10" ht="15" x14ac:dyDescent="0.4">
      <c r="A144" s="54">
        <v>45867</v>
      </c>
      <c r="B144" s="55" t="s">
        <v>57</v>
      </c>
      <c r="C144" s="55" t="s">
        <v>58</v>
      </c>
      <c r="D144" s="57">
        <v>20818</v>
      </c>
      <c r="E144" s="55">
        <v>4337</v>
      </c>
      <c r="F144" s="55">
        <v>193</v>
      </c>
      <c r="G144" s="55">
        <v>3</v>
      </c>
      <c r="H144" s="55">
        <v>0</v>
      </c>
      <c r="I144" s="55">
        <v>0</v>
      </c>
      <c r="J144" s="55">
        <v>0</v>
      </c>
    </row>
    <row r="145" spans="1:10" ht="15" x14ac:dyDescent="0.4">
      <c r="A145" s="54">
        <v>45867</v>
      </c>
      <c r="B145" s="55" t="s">
        <v>55</v>
      </c>
      <c r="C145" s="55" t="s">
        <v>56</v>
      </c>
      <c r="D145" s="57">
        <v>32550</v>
      </c>
      <c r="E145" s="55">
        <v>23250</v>
      </c>
      <c r="F145" s="55">
        <v>221</v>
      </c>
      <c r="G145" s="55">
        <v>8</v>
      </c>
      <c r="H145" s="55">
        <v>4</v>
      </c>
      <c r="I145" s="55">
        <v>1</v>
      </c>
      <c r="J145" s="55">
        <v>0</v>
      </c>
    </row>
    <row r="146" spans="1:10" ht="15" x14ac:dyDescent="0.4">
      <c r="A146" s="54">
        <v>45867</v>
      </c>
      <c r="B146" s="55" t="s">
        <v>62</v>
      </c>
      <c r="C146" s="55" t="s">
        <v>56</v>
      </c>
      <c r="D146" s="57">
        <v>8437</v>
      </c>
      <c r="E146" s="55">
        <v>6026</v>
      </c>
      <c r="F146" s="55">
        <v>65</v>
      </c>
      <c r="G146" s="55">
        <v>4</v>
      </c>
      <c r="H146" s="55">
        <v>2</v>
      </c>
      <c r="I146" s="55">
        <v>1</v>
      </c>
      <c r="J146" s="55">
        <v>0</v>
      </c>
    </row>
    <row r="147" spans="1:10" ht="15" x14ac:dyDescent="0.4">
      <c r="A147" s="54">
        <v>45868</v>
      </c>
      <c r="B147" s="55" t="s">
        <v>61</v>
      </c>
      <c r="C147" s="55" t="s">
        <v>56</v>
      </c>
      <c r="D147" s="57">
        <v>15520</v>
      </c>
      <c r="E147" s="55">
        <v>11085</v>
      </c>
      <c r="F147" s="55">
        <v>135</v>
      </c>
      <c r="G147" s="55">
        <v>4</v>
      </c>
      <c r="H147" s="55">
        <v>0</v>
      </c>
      <c r="I147" s="55">
        <v>0</v>
      </c>
      <c r="J147" s="55">
        <v>0</v>
      </c>
    </row>
    <row r="148" spans="1:10" ht="15" x14ac:dyDescent="0.4">
      <c r="A148" s="54">
        <v>45868</v>
      </c>
      <c r="B148" s="55" t="s">
        <v>63</v>
      </c>
      <c r="C148" s="55" t="s">
        <v>58</v>
      </c>
      <c r="D148" s="57">
        <v>7388</v>
      </c>
      <c r="E148" s="55">
        <v>1539</v>
      </c>
      <c r="F148" s="55">
        <v>71</v>
      </c>
      <c r="G148" s="55">
        <v>2</v>
      </c>
      <c r="H148" s="55">
        <v>2</v>
      </c>
      <c r="I148" s="55">
        <v>0</v>
      </c>
      <c r="J148" s="55">
        <v>0</v>
      </c>
    </row>
    <row r="149" spans="1:10" ht="15" x14ac:dyDescent="0.4">
      <c r="A149" s="54">
        <v>45868</v>
      </c>
      <c r="B149" s="55" t="s">
        <v>57</v>
      </c>
      <c r="C149" s="55" t="s">
        <v>58</v>
      </c>
      <c r="D149" s="57">
        <v>22910</v>
      </c>
      <c r="E149" s="55">
        <v>4772</v>
      </c>
      <c r="F149" s="55">
        <v>245</v>
      </c>
      <c r="G149" s="55">
        <v>2</v>
      </c>
      <c r="H149" s="55">
        <v>1</v>
      </c>
      <c r="I149" s="55">
        <v>1</v>
      </c>
      <c r="J149" s="55">
        <v>0</v>
      </c>
    </row>
    <row r="150" spans="1:10" ht="15" x14ac:dyDescent="0.4">
      <c r="A150" s="54">
        <v>45868</v>
      </c>
      <c r="B150" s="55" t="s">
        <v>55</v>
      </c>
      <c r="C150" s="55" t="s">
        <v>56</v>
      </c>
      <c r="D150" s="57">
        <v>32611</v>
      </c>
      <c r="E150" s="55">
        <v>23293</v>
      </c>
      <c r="F150" s="55">
        <v>273</v>
      </c>
      <c r="G150" s="55">
        <v>9</v>
      </c>
      <c r="H150" s="55">
        <v>2</v>
      </c>
      <c r="I150" s="55">
        <v>0</v>
      </c>
      <c r="J150" s="55">
        <v>0</v>
      </c>
    </row>
    <row r="151" spans="1:10" ht="15" x14ac:dyDescent="0.4">
      <c r="A151" s="54">
        <v>45868</v>
      </c>
      <c r="B151" s="55" t="s">
        <v>62</v>
      </c>
      <c r="C151" s="55" t="s">
        <v>56</v>
      </c>
      <c r="D151" s="57">
        <v>9214</v>
      </c>
      <c r="E151" s="55">
        <v>6581</v>
      </c>
      <c r="F151" s="55">
        <v>72</v>
      </c>
      <c r="G151" s="55">
        <v>2</v>
      </c>
      <c r="H151" s="55">
        <v>1</v>
      </c>
      <c r="I151" s="55">
        <v>0</v>
      </c>
      <c r="J151" s="55">
        <v>0</v>
      </c>
    </row>
    <row r="152" spans="1:10" ht="15" x14ac:dyDescent="0.4">
      <c r="A152" s="54">
        <v>45869</v>
      </c>
      <c r="B152" s="55" t="s">
        <v>61</v>
      </c>
      <c r="C152" s="55" t="s">
        <v>56</v>
      </c>
      <c r="D152" s="57">
        <v>16122</v>
      </c>
      <c r="E152" s="55">
        <v>11515</v>
      </c>
      <c r="F152" s="55">
        <v>145</v>
      </c>
      <c r="G152" s="55">
        <v>1</v>
      </c>
      <c r="H152" s="55">
        <v>1</v>
      </c>
      <c r="I152" s="55">
        <v>0</v>
      </c>
      <c r="J152" s="55">
        <v>0</v>
      </c>
    </row>
    <row r="153" spans="1:10" ht="15" x14ac:dyDescent="0.4">
      <c r="A153" s="54">
        <v>45869</v>
      </c>
      <c r="B153" s="55" t="s">
        <v>63</v>
      </c>
      <c r="C153" s="55" t="s">
        <v>58</v>
      </c>
      <c r="D153" s="57">
        <v>6567</v>
      </c>
      <c r="E153" s="55">
        <v>1368</v>
      </c>
      <c r="F153" s="55">
        <v>68</v>
      </c>
      <c r="G153" s="55">
        <v>1</v>
      </c>
      <c r="H153" s="55">
        <v>0</v>
      </c>
      <c r="I153" s="55">
        <v>1</v>
      </c>
      <c r="J153" s="55">
        <v>0</v>
      </c>
    </row>
    <row r="154" spans="1:10" ht="15" x14ac:dyDescent="0.4">
      <c r="A154" s="54">
        <v>45869</v>
      </c>
      <c r="B154" s="55" t="s">
        <v>57</v>
      </c>
      <c r="C154" s="55" t="s">
        <v>58</v>
      </c>
      <c r="D154" s="57">
        <v>23040</v>
      </c>
      <c r="E154" s="55">
        <v>4800</v>
      </c>
      <c r="F154" s="55">
        <v>272</v>
      </c>
      <c r="G154" s="55">
        <v>2</v>
      </c>
      <c r="H154" s="55">
        <v>1</v>
      </c>
      <c r="I154" s="55">
        <v>0</v>
      </c>
      <c r="J154" s="55">
        <v>0</v>
      </c>
    </row>
    <row r="155" spans="1:10" ht="15" x14ac:dyDescent="0.4">
      <c r="A155" s="54">
        <v>45869</v>
      </c>
      <c r="B155" s="55" t="s">
        <v>55</v>
      </c>
      <c r="C155" s="55" t="s">
        <v>56</v>
      </c>
      <c r="D155" s="57">
        <v>32848</v>
      </c>
      <c r="E155" s="55">
        <v>23462</v>
      </c>
      <c r="F155" s="55">
        <v>223</v>
      </c>
      <c r="G155" s="55">
        <v>5</v>
      </c>
      <c r="H155" s="55">
        <v>5</v>
      </c>
      <c r="I155" s="55">
        <v>1</v>
      </c>
      <c r="J155" s="55">
        <v>0</v>
      </c>
    </row>
    <row r="156" spans="1:10" ht="15" x14ac:dyDescent="0.4">
      <c r="A156" s="54">
        <v>45869</v>
      </c>
      <c r="B156" s="55" t="s">
        <v>62</v>
      </c>
      <c r="C156" s="55" t="s">
        <v>56</v>
      </c>
      <c r="D156" s="57">
        <v>8931</v>
      </c>
      <c r="E156" s="55">
        <v>6379</v>
      </c>
      <c r="F156" s="55">
        <v>68</v>
      </c>
      <c r="G156" s="55">
        <v>3</v>
      </c>
      <c r="H156" s="55">
        <v>0</v>
      </c>
      <c r="I156" s="55">
        <v>0</v>
      </c>
      <c r="J156" s="55">
        <v>0</v>
      </c>
    </row>
    <row r="157" spans="1:10" ht="15" x14ac:dyDescent="0.4">
      <c r="A157" s="54">
        <v>45870</v>
      </c>
      <c r="B157" s="55" t="s">
        <v>61</v>
      </c>
      <c r="C157" s="55" t="s">
        <v>56</v>
      </c>
      <c r="D157" s="57">
        <v>16818</v>
      </c>
      <c r="E157" s="55">
        <v>12012</v>
      </c>
      <c r="F157" s="55">
        <v>147</v>
      </c>
      <c r="G157" s="55">
        <v>1</v>
      </c>
      <c r="H157" s="55">
        <v>0</v>
      </c>
      <c r="I157" s="55">
        <v>0</v>
      </c>
      <c r="J157" s="55">
        <v>0</v>
      </c>
    </row>
    <row r="158" spans="1:10" ht="15" x14ac:dyDescent="0.4">
      <c r="A158" s="54">
        <v>45870</v>
      </c>
      <c r="B158" s="55" t="s">
        <v>63</v>
      </c>
      <c r="C158" s="55" t="s">
        <v>58</v>
      </c>
      <c r="D158" s="57">
        <v>7085</v>
      </c>
      <c r="E158" s="55">
        <v>1476</v>
      </c>
      <c r="F158" s="55">
        <v>81</v>
      </c>
      <c r="G158" s="55">
        <v>2</v>
      </c>
      <c r="H158" s="55">
        <v>2</v>
      </c>
      <c r="I158" s="55">
        <v>0</v>
      </c>
      <c r="J158" s="55">
        <v>0</v>
      </c>
    </row>
    <row r="159" spans="1:10" ht="15" x14ac:dyDescent="0.4">
      <c r="A159" s="54">
        <v>45870</v>
      </c>
      <c r="B159" s="55" t="s">
        <v>57</v>
      </c>
      <c r="C159" s="55" t="s">
        <v>58</v>
      </c>
      <c r="D159" s="57">
        <v>24024</v>
      </c>
      <c r="E159" s="55">
        <v>5005</v>
      </c>
      <c r="F159" s="55">
        <v>278</v>
      </c>
      <c r="G159" s="55">
        <v>0</v>
      </c>
      <c r="H159" s="55">
        <v>3</v>
      </c>
      <c r="I159" s="55">
        <v>0</v>
      </c>
      <c r="J159" s="55">
        <v>0</v>
      </c>
    </row>
    <row r="160" spans="1:10" ht="15" x14ac:dyDescent="0.4">
      <c r="A160" s="54">
        <v>45870</v>
      </c>
      <c r="B160" s="55" t="s">
        <v>55</v>
      </c>
      <c r="C160" s="55" t="s">
        <v>56</v>
      </c>
      <c r="D160" s="57">
        <v>29168</v>
      </c>
      <c r="E160" s="55">
        <v>20834</v>
      </c>
      <c r="F160" s="55">
        <v>218</v>
      </c>
      <c r="G160" s="55">
        <v>11</v>
      </c>
      <c r="H160" s="55">
        <v>1</v>
      </c>
      <c r="I160" s="55">
        <v>0</v>
      </c>
      <c r="J160" s="55">
        <v>0</v>
      </c>
    </row>
    <row r="161" spans="1:10" ht="15" x14ac:dyDescent="0.4">
      <c r="A161" s="54">
        <v>45870</v>
      </c>
      <c r="B161" s="55" t="s">
        <v>62</v>
      </c>
      <c r="C161" s="55" t="s">
        <v>56</v>
      </c>
      <c r="D161" s="57">
        <v>8794</v>
      </c>
      <c r="E161" s="55">
        <v>6281</v>
      </c>
      <c r="F161" s="55">
        <v>61</v>
      </c>
      <c r="G161" s="55">
        <v>4</v>
      </c>
      <c r="H161" s="55">
        <v>1</v>
      </c>
      <c r="I161" s="55">
        <v>1</v>
      </c>
      <c r="J161" s="55">
        <v>0</v>
      </c>
    </row>
    <row r="162" spans="1:10" ht="15" x14ac:dyDescent="0.4">
      <c r="A162" s="54">
        <v>45871</v>
      </c>
      <c r="B162" s="55" t="s">
        <v>61</v>
      </c>
      <c r="C162" s="55" t="s">
        <v>56</v>
      </c>
      <c r="D162" s="57">
        <v>17232</v>
      </c>
      <c r="E162" s="55">
        <v>12308</v>
      </c>
      <c r="F162" s="55">
        <v>133</v>
      </c>
      <c r="G162" s="55">
        <v>0</v>
      </c>
      <c r="H162" s="55">
        <v>0</v>
      </c>
      <c r="I162" s="55">
        <v>0</v>
      </c>
      <c r="J162" s="55">
        <v>0</v>
      </c>
    </row>
    <row r="163" spans="1:10" ht="15" x14ac:dyDescent="0.4">
      <c r="A163" s="54">
        <v>45871</v>
      </c>
      <c r="B163" s="55" t="s">
        <v>63</v>
      </c>
      <c r="C163" s="55" t="s">
        <v>58</v>
      </c>
      <c r="D163" s="57">
        <v>6497</v>
      </c>
      <c r="E163" s="55">
        <v>1353</v>
      </c>
      <c r="F163" s="55">
        <v>71</v>
      </c>
      <c r="G163" s="55">
        <v>3</v>
      </c>
      <c r="H163" s="55">
        <v>0</v>
      </c>
      <c r="I163" s="55">
        <v>1</v>
      </c>
      <c r="J163" s="55">
        <v>2</v>
      </c>
    </row>
    <row r="164" spans="1:10" ht="15" x14ac:dyDescent="0.4">
      <c r="A164" s="54">
        <v>45871</v>
      </c>
      <c r="B164" s="55" t="s">
        <v>57</v>
      </c>
      <c r="C164" s="55" t="s">
        <v>58</v>
      </c>
      <c r="D164" s="57">
        <v>22034</v>
      </c>
      <c r="E164" s="55">
        <v>4590</v>
      </c>
      <c r="F164" s="55">
        <v>248</v>
      </c>
      <c r="G164" s="55">
        <v>3</v>
      </c>
      <c r="H164" s="55">
        <v>0</v>
      </c>
      <c r="I164" s="55">
        <v>0</v>
      </c>
      <c r="J164" s="55">
        <v>0</v>
      </c>
    </row>
    <row r="165" spans="1:10" ht="15" x14ac:dyDescent="0.4">
      <c r="A165" s="54">
        <v>45871</v>
      </c>
      <c r="B165" s="55" t="s">
        <v>55</v>
      </c>
      <c r="C165" s="55" t="s">
        <v>56</v>
      </c>
      <c r="D165" s="57">
        <v>32913</v>
      </c>
      <c r="E165" s="55">
        <v>23509</v>
      </c>
      <c r="F165" s="55">
        <v>262</v>
      </c>
      <c r="G165" s="55">
        <v>9</v>
      </c>
      <c r="H165" s="55">
        <v>3</v>
      </c>
      <c r="I165" s="55">
        <v>1</v>
      </c>
      <c r="J165" s="55">
        <v>0</v>
      </c>
    </row>
    <row r="166" spans="1:10" ht="15" x14ac:dyDescent="0.4">
      <c r="A166" s="54">
        <v>45871</v>
      </c>
      <c r="B166" s="55" t="s">
        <v>62</v>
      </c>
      <c r="C166" s="55" t="s">
        <v>56</v>
      </c>
      <c r="D166" s="57">
        <v>9068</v>
      </c>
      <c r="E166" s="55">
        <v>6477</v>
      </c>
      <c r="F166" s="55">
        <v>63</v>
      </c>
      <c r="G166" s="55">
        <v>3</v>
      </c>
      <c r="H166" s="55">
        <v>1</v>
      </c>
      <c r="I166" s="55">
        <v>0</v>
      </c>
      <c r="J166" s="55">
        <v>0</v>
      </c>
    </row>
    <row r="167" spans="1:10" ht="15" x14ac:dyDescent="0.4">
      <c r="A167" s="54">
        <v>45872</v>
      </c>
      <c r="B167" s="55" t="s">
        <v>61</v>
      </c>
      <c r="C167" s="55" t="s">
        <v>56</v>
      </c>
      <c r="D167" s="57">
        <v>17317</v>
      </c>
      <c r="E167" s="55">
        <v>12369</v>
      </c>
      <c r="F167" s="55">
        <v>139</v>
      </c>
      <c r="G167" s="55">
        <v>3</v>
      </c>
      <c r="H167" s="55">
        <v>0</v>
      </c>
      <c r="I167" s="55">
        <v>0</v>
      </c>
      <c r="J167" s="55">
        <v>0</v>
      </c>
    </row>
    <row r="168" spans="1:10" ht="15" x14ac:dyDescent="0.4">
      <c r="A168" s="54">
        <v>45872</v>
      </c>
      <c r="B168" s="55" t="s">
        <v>63</v>
      </c>
      <c r="C168" s="55" t="s">
        <v>58</v>
      </c>
      <c r="D168" s="57">
        <v>6951</v>
      </c>
      <c r="E168" s="55">
        <v>1448</v>
      </c>
      <c r="F168" s="55">
        <v>77</v>
      </c>
      <c r="G168" s="55">
        <v>1</v>
      </c>
      <c r="H168" s="55">
        <v>0</v>
      </c>
      <c r="I168" s="55">
        <v>1</v>
      </c>
      <c r="J168" s="55">
        <v>0</v>
      </c>
    </row>
    <row r="169" spans="1:10" ht="15" x14ac:dyDescent="0.4">
      <c r="A169" s="54">
        <v>45872</v>
      </c>
      <c r="B169" s="55" t="s">
        <v>57</v>
      </c>
      <c r="C169" s="55" t="s">
        <v>58</v>
      </c>
      <c r="D169" s="57">
        <v>22024</v>
      </c>
      <c r="E169" s="55">
        <v>4588</v>
      </c>
      <c r="F169" s="55">
        <v>238</v>
      </c>
      <c r="G169" s="55">
        <v>3</v>
      </c>
      <c r="H169" s="55">
        <v>2</v>
      </c>
      <c r="I169" s="55">
        <v>1</v>
      </c>
      <c r="J169" s="55">
        <v>0</v>
      </c>
    </row>
    <row r="170" spans="1:10" ht="15" x14ac:dyDescent="0.4">
      <c r="A170" s="54">
        <v>45872</v>
      </c>
      <c r="B170" s="55" t="s">
        <v>55</v>
      </c>
      <c r="C170" s="55" t="s">
        <v>56</v>
      </c>
      <c r="D170" s="57">
        <v>32319</v>
      </c>
      <c r="E170" s="55">
        <v>23085</v>
      </c>
      <c r="F170" s="55">
        <v>291</v>
      </c>
      <c r="G170" s="55">
        <v>5</v>
      </c>
      <c r="H170" s="55">
        <v>1</v>
      </c>
      <c r="I170" s="55">
        <v>0</v>
      </c>
      <c r="J170" s="55">
        <v>0</v>
      </c>
    </row>
    <row r="171" spans="1:10" ht="15" x14ac:dyDescent="0.4">
      <c r="A171" s="54">
        <v>45872</v>
      </c>
      <c r="B171" s="55" t="s">
        <v>62</v>
      </c>
      <c r="C171" s="55" t="s">
        <v>56</v>
      </c>
      <c r="D171" s="57">
        <v>9406</v>
      </c>
      <c r="E171" s="55">
        <v>6718</v>
      </c>
      <c r="F171" s="55">
        <v>69</v>
      </c>
      <c r="G171" s="55">
        <v>2</v>
      </c>
      <c r="H171" s="55">
        <v>1</v>
      </c>
      <c r="I171" s="55">
        <v>0</v>
      </c>
      <c r="J171" s="55">
        <v>0</v>
      </c>
    </row>
    <row r="172" spans="1:10" ht="15" x14ac:dyDescent="0.4">
      <c r="A172" s="54">
        <v>45873</v>
      </c>
      <c r="B172" s="55" t="s">
        <v>61</v>
      </c>
      <c r="C172" s="55" t="s">
        <v>56</v>
      </c>
      <c r="D172" s="57">
        <v>16507</v>
      </c>
      <c r="E172" s="55">
        <v>11790</v>
      </c>
      <c r="F172" s="55">
        <v>124</v>
      </c>
      <c r="G172" s="55">
        <v>5</v>
      </c>
      <c r="H172" s="55">
        <v>2</v>
      </c>
      <c r="I172" s="55">
        <v>0</v>
      </c>
      <c r="J172" s="55">
        <v>0</v>
      </c>
    </row>
    <row r="173" spans="1:10" ht="15" x14ac:dyDescent="0.4">
      <c r="A173" s="54">
        <v>45873</v>
      </c>
      <c r="B173" s="55" t="s">
        <v>63</v>
      </c>
      <c r="C173" s="55" t="s">
        <v>58</v>
      </c>
      <c r="D173" s="57">
        <v>7140</v>
      </c>
      <c r="E173" s="55">
        <v>1487</v>
      </c>
      <c r="F173" s="55">
        <v>77</v>
      </c>
      <c r="G173" s="55">
        <v>5</v>
      </c>
      <c r="H173" s="55">
        <v>0</v>
      </c>
      <c r="I173" s="55">
        <v>1</v>
      </c>
      <c r="J173" s="55">
        <v>0</v>
      </c>
    </row>
    <row r="174" spans="1:10" ht="15" x14ac:dyDescent="0.4">
      <c r="A174" s="54">
        <v>45873</v>
      </c>
      <c r="B174" s="55" t="s">
        <v>57</v>
      </c>
      <c r="C174" s="55" t="s">
        <v>58</v>
      </c>
      <c r="D174" s="57">
        <v>24525</v>
      </c>
      <c r="E174" s="55">
        <v>5109</v>
      </c>
      <c r="F174" s="55">
        <v>228</v>
      </c>
      <c r="G174" s="55">
        <v>8</v>
      </c>
      <c r="H174" s="55">
        <v>1</v>
      </c>
      <c r="I174" s="55">
        <v>1</v>
      </c>
      <c r="J174" s="55">
        <v>0</v>
      </c>
    </row>
    <row r="175" spans="1:10" ht="15" x14ac:dyDescent="0.4">
      <c r="A175" s="54">
        <v>45873</v>
      </c>
      <c r="B175" s="55" t="s">
        <v>55</v>
      </c>
      <c r="C175" s="55" t="s">
        <v>56</v>
      </c>
      <c r="D175" s="57">
        <v>35371</v>
      </c>
      <c r="E175" s="55">
        <v>25264</v>
      </c>
      <c r="F175" s="55">
        <v>285</v>
      </c>
      <c r="G175" s="55">
        <v>6</v>
      </c>
      <c r="H175" s="55">
        <v>5</v>
      </c>
      <c r="I175" s="55">
        <v>1</v>
      </c>
      <c r="J175" s="55">
        <v>0</v>
      </c>
    </row>
    <row r="176" spans="1:10" ht="15" x14ac:dyDescent="0.4">
      <c r="A176" s="54">
        <v>45873</v>
      </c>
      <c r="B176" s="55" t="s">
        <v>62</v>
      </c>
      <c r="C176" s="55" t="s">
        <v>56</v>
      </c>
      <c r="D176" s="57">
        <v>8808</v>
      </c>
      <c r="E176" s="55">
        <v>6291</v>
      </c>
      <c r="F176" s="55">
        <v>64</v>
      </c>
      <c r="G176" s="55">
        <v>1</v>
      </c>
      <c r="H176" s="55">
        <v>2</v>
      </c>
      <c r="I176" s="55">
        <v>1</v>
      </c>
      <c r="J176" s="55">
        <v>1</v>
      </c>
    </row>
    <row r="177" spans="1:10" ht="15" x14ac:dyDescent="0.4">
      <c r="A177" s="54">
        <v>45874</v>
      </c>
      <c r="B177" s="55" t="s">
        <v>61</v>
      </c>
      <c r="C177" s="55" t="s">
        <v>56</v>
      </c>
      <c r="D177" s="57">
        <v>15173</v>
      </c>
      <c r="E177" s="55">
        <v>10837</v>
      </c>
      <c r="F177" s="55">
        <v>118</v>
      </c>
      <c r="G177" s="55">
        <v>4</v>
      </c>
      <c r="H177" s="55">
        <v>1</v>
      </c>
      <c r="I177" s="55">
        <v>0</v>
      </c>
      <c r="J177" s="55">
        <v>0</v>
      </c>
    </row>
    <row r="178" spans="1:10" ht="15" x14ac:dyDescent="0.4">
      <c r="A178" s="54">
        <v>45874</v>
      </c>
      <c r="B178" s="55" t="s">
        <v>63</v>
      </c>
      <c r="C178" s="55" t="s">
        <v>58</v>
      </c>
      <c r="D178" s="57">
        <v>6833</v>
      </c>
      <c r="E178" s="55">
        <v>1423</v>
      </c>
      <c r="F178" s="55">
        <v>83</v>
      </c>
      <c r="G178" s="55">
        <v>3</v>
      </c>
      <c r="H178" s="55">
        <v>3</v>
      </c>
      <c r="I178" s="55">
        <v>0</v>
      </c>
      <c r="J178" s="55">
        <v>0</v>
      </c>
    </row>
    <row r="179" spans="1:10" ht="15" x14ac:dyDescent="0.4">
      <c r="A179" s="54">
        <v>45874</v>
      </c>
      <c r="B179" s="55" t="s">
        <v>57</v>
      </c>
      <c r="C179" s="55" t="s">
        <v>58</v>
      </c>
      <c r="D179" s="57">
        <v>22685</v>
      </c>
      <c r="E179" s="55">
        <v>4726</v>
      </c>
      <c r="F179" s="55">
        <v>210</v>
      </c>
      <c r="G179" s="55">
        <v>5</v>
      </c>
      <c r="H179" s="55">
        <v>1</v>
      </c>
      <c r="I179" s="55">
        <v>1</v>
      </c>
      <c r="J179" s="55">
        <v>2</v>
      </c>
    </row>
    <row r="180" spans="1:10" ht="15" x14ac:dyDescent="0.4">
      <c r="A180" s="54">
        <v>45874</v>
      </c>
      <c r="B180" s="55" t="s">
        <v>55</v>
      </c>
      <c r="C180" s="55" t="s">
        <v>56</v>
      </c>
      <c r="D180" s="57">
        <v>31818</v>
      </c>
      <c r="E180" s="55">
        <v>22727</v>
      </c>
      <c r="F180" s="55">
        <v>238</v>
      </c>
      <c r="G180" s="55">
        <v>8</v>
      </c>
      <c r="H180" s="55">
        <v>0</v>
      </c>
      <c r="I180" s="55">
        <v>3</v>
      </c>
      <c r="J180" s="55">
        <v>0</v>
      </c>
    </row>
    <row r="181" spans="1:10" ht="15" x14ac:dyDescent="0.4">
      <c r="A181" s="54">
        <v>45874</v>
      </c>
      <c r="B181" s="55" t="s">
        <v>62</v>
      </c>
      <c r="C181" s="55" t="s">
        <v>56</v>
      </c>
      <c r="D181" s="57">
        <v>9635</v>
      </c>
      <c r="E181" s="55">
        <v>6882</v>
      </c>
      <c r="F181" s="55">
        <v>84</v>
      </c>
      <c r="G181" s="55">
        <v>6</v>
      </c>
      <c r="H181" s="55">
        <v>4</v>
      </c>
      <c r="I181" s="55">
        <v>0</v>
      </c>
      <c r="J181" s="55">
        <v>0</v>
      </c>
    </row>
    <row r="182" spans="1:10" ht="15" x14ac:dyDescent="0.4">
      <c r="A182" s="54">
        <v>45875</v>
      </c>
      <c r="B182" s="55" t="s">
        <v>61</v>
      </c>
      <c r="C182" s="55" t="s">
        <v>56</v>
      </c>
      <c r="D182" s="57">
        <v>16097</v>
      </c>
      <c r="E182" s="55">
        <v>11497</v>
      </c>
      <c r="F182" s="55">
        <v>112</v>
      </c>
      <c r="G182" s="55">
        <v>3</v>
      </c>
      <c r="H182" s="55">
        <v>2</v>
      </c>
      <c r="I182" s="55">
        <v>0</v>
      </c>
      <c r="J182" s="55">
        <v>0</v>
      </c>
    </row>
    <row r="183" spans="1:10" ht="15" x14ac:dyDescent="0.4">
      <c r="A183" s="54">
        <v>45875</v>
      </c>
      <c r="B183" s="55" t="s">
        <v>63</v>
      </c>
      <c r="C183" s="55" t="s">
        <v>58</v>
      </c>
      <c r="D183" s="57">
        <v>6635</v>
      </c>
      <c r="E183" s="55">
        <v>1382</v>
      </c>
      <c r="F183" s="55">
        <v>71</v>
      </c>
      <c r="G183" s="55">
        <v>6</v>
      </c>
      <c r="H183" s="55">
        <v>0</v>
      </c>
      <c r="I183" s="55">
        <v>0</v>
      </c>
      <c r="J183" s="55">
        <v>0</v>
      </c>
    </row>
    <row r="184" spans="1:10" ht="15" x14ac:dyDescent="0.4">
      <c r="A184" s="54">
        <v>45875</v>
      </c>
      <c r="B184" s="55" t="s">
        <v>57</v>
      </c>
      <c r="C184" s="55" t="s">
        <v>58</v>
      </c>
      <c r="D184" s="57">
        <v>21423</v>
      </c>
      <c r="E184" s="55">
        <v>4463</v>
      </c>
      <c r="F184" s="55">
        <v>252</v>
      </c>
      <c r="G184" s="55">
        <v>2</v>
      </c>
      <c r="H184" s="55">
        <v>2</v>
      </c>
      <c r="I184" s="55">
        <v>0</v>
      </c>
      <c r="J184" s="55">
        <v>0</v>
      </c>
    </row>
    <row r="185" spans="1:10" ht="15" x14ac:dyDescent="0.4">
      <c r="A185" s="54">
        <v>45875</v>
      </c>
      <c r="B185" s="55" t="s">
        <v>55</v>
      </c>
      <c r="C185" s="55" t="s">
        <v>56</v>
      </c>
      <c r="D185" s="57">
        <v>29810</v>
      </c>
      <c r="E185" s="55">
        <v>21292</v>
      </c>
      <c r="F185" s="55">
        <v>239</v>
      </c>
      <c r="G185" s="55">
        <v>15</v>
      </c>
      <c r="H185" s="55">
        <v>6</v>
      </c>
      <c r="I185" s="55">
        <v>3</v>
      </c>
      <c r="J185" s="55">
        <v>1</v>
      </c>
    </row>
    <row r="186" spans="1:10" ht="15" x14ac:dyDescent="0.4">
      <c r="A186" s="54">
        <v>45875</v>
      </c>
      <c r="B186" s="55" t="s">
        <v>62</v>
      </c>
      <c r="C186" s="55" t="s">
        <v>56</v>
      </c>
      <c r="D186" s="57">
        <v>9769</v>
      </c>
      <c r="E186" s="55">
        <v>6977</v>
      </c>
      <c r="F186" s="55">
        <v>84</v>
      </c>
      <c r="G186" s="55">
        <v>3</v>
      </c>
      <c r="H186" s="55">
        <v>2</v>
      </c>
      <c r="I186" s="55">
        <v>2</v>
      </c>
      <c r="J186" s="55">
        <v>0</v>
      </c>
    </row>
    <row r="187" spans="1:10" ht="15" x14ac:dyDescent="0.4">
      <c r="A187" s="54">
        <v>45876</v>
      </c>
      <c r="B187" s="55" t="s">
        <v>61</v>
      </c>
      <c r="C187" s="55" t="s">
        <v>56</v>
      </c>
      <c r="D187" s="57">
        <v>17667</v>
      </c>
      <c r="E187" s="55">
        <v>12619</v>
      </c>
      <c r="F187" s="55">
        <v>158</v>
      </c>
      <c r="G187" s="55">
        <v>7</v>
      </c>
      <c r="H187" s="55">
        <v>2</v>
      </c>
      <c r="I187" s="55">
        <v>1</v>
      </c>
      <c r="J187" s="55">
        <v>0</v>
      </c>
    </row>
    <row r="188" spans="1:10" ht="15" x14ac:dyDescent="0.4">
      <c r="A188" s="54">
        <v>45876</v>
      </c>
      <c r="B188" s="55" t="s">
        <v>63</v>
      </c>
      <c r="C188" s="55" t="s">
        <v>58</v>
      </c>
      <c r="D188" s="57">
        <v>7413</v>
      </c>
      <c r="E188" s="55">
        <v>1544</v>
      </c>
      <c r="F188" s="55">
        <v>77</v>
      </c>
      <c r="G188" s="55">
        <v>8</v>
      </c>
      <c r="H188" s="55">
        <v>2</v>
      </c>
      <c r="I188" s="55">
        <v>0</v>
      </c>
      <c r="J188" s="55">
        <v>0</v>
      </c>
    </row>
    <row r="189" spans="1:10" ht="15" x14ac:dyDescent="0.4">
      <c r="A189" s="54">
        <v>45876</v>
      </c>
      <c r="B189" s="55" t="s">
        <v>57</v>
      </c>
      <c r="C189" s="55" t="s">
        <v>58</v>
      </c>
      <c r="D189" s="57">
        <v>22525</v>
      </c>
      <c r="E189" s="55">
        <v>4692</v>
      </c>
      <c r="F189" s="55">
        <v>217</v>
      </c>
      <c r="G189" s="55">
        <v>3</v>
      </c>
      <c r="H189" s="55">
        <v>2</v>
      </c>
      <c r="I189" s="55">
        <v>0</v>
      </c>
      <c r="J189" s="55">
        <v>0</v>
      </c>
    </row>
    <row r="190" spans="1:10" ht="15" x14ac:dyDescent="0.4">
      <c r="A190" s="54">
        <v>45876</v>
      </c>
      <c r="B190" s="55" t="s">
        <v>55</v>
      </c>
      <c r="C190" s="55" t="s">
        <v>56</v>
      </c>
      <c r="D190" s="57">
        <v>32864</v>
      </c>
      <c r="E190" s="55">
        <v>23474</v>
      </c>
      <c r="F190" s="55">
        <v>220</v>
      </c>
      <c r="G190" s="55">
        <v>9</v>
      </c>
      <c r="H190" s="55">
        <v>4</v>
      </c>
      <c r="I190" s="55">
        <v>0</v>
      </c>
      <c r="J190" s="55">
        <v>0</v>
      </c>
    </row>
    <row r="191" spans="1:10" ht="15" x14ac:dyDescent="0.4">
      <c r="A191" s="54">
        <v>45876</v>
      </c>
      <c r="B191" s="55" t="s">
        <v>62</v>
      </c>
      <c r="C191" s="55" t="s">
        <v>56</v>
      </c>
      <c r="D191" s="57">
        <v>10239</v>
      </c>
      <c r="E191" s="55">
        <v>7313</v>
      </c>
      <c r="F191" s="55">
        <v>79</v>
      </c>
      <c r="G191" s="55">
        <v>3</v>
      </c>
      <c r="H191" s="55">
        <v>2</v>
      </c>
      <c r="I191" s="55">
        <v>0</v>
      </c>
      <c r="J191" s="55">
        <v>0</v>
      </c>
    </row>
    <row r="192" spans="1:10" ht="15" x14ac:dyDescent="0.4">
      <c r="A192" s="54">
        <v>45877</v>
      </c>
      <c r="B192" s="55" t="s">
        <v>61</v>
      </c>
      <c r="C192" s="55" t="s">
        <v>56</v>
      </c>
      <c r="D192" s="57">
        <v>18104</v>
      </c>
      <c r="E192" s="55">
        <v>12931</v>
      </c>
      <c r="F192" s="55">
        <v>132</v>
      </c>
      <c r="G192" s="55">
        <v>4</v>
      </c>
      <c r="H192" s="55">
        <v>1</v>
      </c>
      <c r="I192" s="55">
        <v>1</v>
      </c>
      <c r="J192" s="55">
        <v>0</v>
      </c>
    </row>
    <row r="193" spans="1:10" ht="15" x14ac:dyDescent="0.4">
      <c r="A193" s="54">
        <v>45877</v>
      </c>
      <c r="B193" s="55" t="s">
        <v>63</v>
      </c>
      <c r="C193" s="55" t="s">
        <v>58</v>
      </c>
      <c r="D193" s="57">
        <v>6525</v>
      </c>
      <c r="E193" s="55">
        <v>1359</v>
      </c>
      <c r="F193" s="55">
        <v>79</v>
      </c>
      <c r="G193" s="55">
        <v>3</v>
      </c>
      <c r="H193" s="55">
        <v>4</v>
      </c>
      <c r="I193" s="55">
        <v>1</v>
      </c>
      <c r="J193" s="55">
        <v>0</v>
      </c>
    </row>
    <row r="194" spans="1:10" ht="15" x14ac:dyDescent="0.4">
      <c r="A194" s="54">
        <v>45877</v>
      </c>
      <c r="B194" s="55" t="s">
        <v>57</v>
      </c>
      <c r="C194" s="55" t="s">
        <v>58</v>
      </c>
      <c r="D194" s="57">
        <v>21899</v>
      </c>
      <c r="E194" s="55">
        <v>4562</v>
      </c>
      <c r="F194" s="55">
        <v>264</v>
      </c>
      <c r="G194" s="55">
        <v>2</v>
      </c>
      <c r="H194" s="55">
        <v>1</v>
      </c>
      <c r="I194" s="55">
        <v>0</v>
      </c>
      <c r="J194" s="55">
        <v>0</v>
      </c>
    </row>
    <row r="195" spans="1:10" ht="15" x14ac:dyDescent="0.4">
      <c r="A195" s="54">
        <v>45877</v>
      </c>
      <c r="B195" s="55" t="s">
        <v>55</v>
      </c>
      <c r="C195" s="55" t="s">
        <v>56</v>
      </c>
      <c r="D195" s="57">
        <v>33966</v>
      </c>
      <c r="E195" s="55">
        <v>24261</v>
      </c>
      <c r="F195" s="55">
        <v>240</v>
      </c>
      <c r="G195" s="55">
        <v>7</v>
      </c>
      <c r="H195" s="55">
        <v>2</v>
      </c>
      <c r="I195" s="55">
        <v>0</v>
      </c>
      <c r="J195" s="55">
        <v>0</v>
      </c>
    </row>
    <row r="196" spans="1:10" ht="15" x14ac:dyDescent="0.4">
      <c r="A196" s="54">
        <v>45877</v>
      </c>
      <c r="B196" s="55" t="s">
        <v>62</v>
      </c>
      <c r="C196" s="55" t="s">
        <v>56</v>
      </c>
      <c r="D196" s="57">
        <v>8492</v>
      </c>
      <c r="E196" s="55">
        <v>6065</v>
      </c>
      <c r="F196" s="55">
        <v>61</v>
      </c>
      <c r="G196" s="55">
        <v>4</v>
      </c>
      <c r="H196" s="55">
        <v>1</v>
      </c>
      <c r="I196" s="55">
        <v>3</v>
      </c>
      <c r="J196" s="55">
        <v>0</v>
      </c>
    </row>
    <row r="197" spans="1:10" ht="15" x14ac:dyDescent="0.4">
      <c r="A197" s="54">
        <v>45878</v>
      </c>
      <c r="B197" s="55" t="s">
        <v>61</v>
      </c>
      <c r="C197" s="55" t="s">
        <v>56</v>
      </c>
      <c r="D197" s="57">
        <v>16789</v>
      </c>
      <c r="E197" s="55">
        <v>11992</v>
      </c>
      <c r="F197" s="55">
        <v>118</v>
      </c>
      <c r="G197" s="55">
        <v>2</v>
      </c>
      <c r="H197" s="55">
        <v>1</v>
      </c>
      <c r="I197" s="55">
        <v>1</v>
      </c>
      <c r="J197" s="55">
        <v>0</v>
      </c>
    </row>
    <row r="198" spans="1:10" ht="15" x14ac:dyDescent="0.4">
      <c r="A198" s="54">
        <v>45878</v>
      </c>
      <c r="B198" s="55" t="s">
        <v>63</v>
      </c>
      <c r="C198" s="55" t="s">
        <v>58</v>
      </c>
      <c r="D198" s="57">
        <v>7370</v>
      </c>
      <c r="E198" s="55">
        <v>1535</v>
      </c>
      <c r="F198" s="55">
        <v>69</v>
      </c>
      <c r="G198" s="55">
        <v>3</v>
      </c>
      <c r="H198" s="55">
        <v>1</v>
      </c>
      <c r="I198" s="55">
        <v>2</v>
      </c>
      <c r="J198" s="55">
        <v>0</v>
      </c>
    </row>
    <row r="199" spans="1:10" ht="15" x14ac:dyDescent="0.4">
      <c r="A199" s="54">
        <v>45878</v>
      </c>
      <c r="B199" s="55" t="s">
        <v>57</v>
      </c>
      <c r="C199" s="55" t="s">
        <v>58</v>
      </c>
      <c r="D199" s="57">
        <v>22029</v>
      </c>
      <c r="E199" s="55">
        <v>4589</v>
      </c>
      <c r="F199" s="55">
        <v>205</v>
      </c>
      <c r="G199" s="55">
        <v>2</v>
      </c>
      <c r="H199" s="55">
        <v>0</v>
      </c>
      <c r="I199" s="55">
        <v>2</v>
      </c>
      <c r="J199" s="55">
        <v>0</v>
      </c>
    </row>
    <row r="200" spans="1:10" ht="15" x14ac:dyDescent="0.4">
      <c r="A200" s="54">
        <v>45878</v>
      </c>
      <c r="B200" s="55" t="s">
        <v>55</v>
      </c>
      <c r="C200" s="55" t="s">
        <v>56</v>
      </c>
      <c r="D200" s="57">
        <v>29248</v>
      </c>
      <c r="E200" s="55">
        <v>20891</v>
      </c>
      <c r="F200" s="55">
        <v>240</v>
      </c>
      <c r="G200" s="55">
        <v>7</v>
      </c>
      <c r="H200" s="55">
        <v>1</v>
      </c>
      <c r="I200" s="55">
        <v>3</v>
      </c>
      <c r="J200" s="55">
        <v>0</v>
      </c>
    </row>
    <row r="201" spans="1:10" ht="15" x14ac:dyDescent="0.4">
      <c r="A201" s="54">
        <v>45878</v>
      </c>
      <c r="B201" s="55" t="s">
        <v>62</v>
      </c>
      <c r="C201" s="55" t="s">
        <v>56</v>
      </c>
      <c r="D201" s="57">
        <v>9213</v>
      </c>
      <c r="E201" s="55">
        <v>6580</v>
      </c>
      <c r="F201" s="55">
        <v>76</v>
      </c>
      <c r="G201" s="55">
        <v>1</v>
      </c>
      <c r="H201" s="55">
        <v>1</v>
      </c>
      <c r="I201" s="55">
        <v>0</v>
      </c>
      <c r="J201" s="55">
        <v>0</v>
      </c>
    </row>
    <row r="202" spans="1:10" ht="15" x14ac:dyDescent="0.4">
      <c r="A202" s="54">
        <v>45879</v>
      </c>
      <c r="B202" s="55" t="s">
        <v>61</v>
      </c>
      <c r="C202" s="55" t="s">
        <v>56</v>
      </c>
      <c r="D202" s="57">
        <v>16258</v>
      </c>
      <c r="E202" s="55">
        <v>11612</v>
      </c>
      <c r="F202" s="55">
        <v>122</v>
      </c>
      <c r="G202" s="55">
        <v>2</v>
      </c>
      <c r="H202" s="55">
        <v>2</v>
      </c>
      <c r="I202" s="55">
        <v>1</v>
      </c>
      <c r="J202" s="55">
        <v>0</v>
      </c>
    </row>
    <row r="203" spans="1:10" ht="15" x14ac:dyDescent="0.4">
      <c r="A203" s="54">
        <v>45879</v>
      </c>
      <c r="B203" s="55" t="s">
        <v>63</v>
      </c>
      <c r="C203" s="55" t="s">
        <v>58</v>
      </c>
      <c r="D203" s="57">
        <v>6807</v>
      </c>
      <c r="E203" s="55">
        <v>1418</v>
      </c>
      <c r="F203" s="55">
        <v>68</v>
      </c>
      <c r="G203" s="55">
        <v>2</v>
      </c>
      <c r="H203" s="55">
        <v>1</v>
      </c>
      <c r="I203" s="55">
        <v>0</v>
      </c>
      <c r="J203" s="55">
        <v>0</v>
      </c>
    </row>
    <row r="204" spans="1:10" ht="15" x14ac:dyDescent="0.4">
      <c r="A204" s="54">
        <v>45879</v>
      </c>
      <c r="B204" s="55" t="s">
        <v>57</v>
      </c>
      <c r="C204" s="55" t="s">
        <v>58</v>
      </c>
      <c r="D204" s="57">
        <v>20296</v>
      </c>
      <c r="E204" s="55">
        <v>4228</v>
      </c>
      <c r="F204" s="55">
        <v>220</v>
      </c>
      <c r="G204" s="55">
        <v>3</v>
      </c>
      <c r="H204" s="55">
        <v>1</v>
      </c>
      <c r="I204" s="55">
        <v>1</v>
      </c>
      <c r="J204" s="55">
        <v>0</v>
      </c>
    </row>
    <row r="205" spans="1:10" ht="15" x14ac:dyDescent="0.4">
      <c r="A205" s="54">
        <v>45879</v>
      </c>
      <c r="B205" s="55" t="s">
        <v>55</v>
      </c>
      <c r="C205" s="55" t="s">
        <v>56</v>
      </c>
      <c r="D205" s="57">
        <v>31187</v>
      </c>
      <c r="E205" s="55">
        <v>22276</v>
      </c>
      <c r="F205" s="55">
        <v>248</v>
      </c>
      <c r="G205" s="55">
        <v>8</v>
      </c>
      <c r="H205" s="55">
        <v>0</v>
      </c>
      <c r="I205" s="55">
        <v>0</v>
      </c>
      <c r="J205" s="55">
        <v>0</v>
      </c>
    </row>
    <row r="206" spans="1:10" ht="15" x14ac:dyDescent="0.4">
      <c r="A206" s="54">
        <v>45879</v>
      </c>
      <c r="B206" s="55" t="s">
        <v>62</v>
      </c>
      <c r="C206" s="55" t="s">
        <v>56</v>
      </c>
      <c r="D206" s="57">
        <v>8543</v>
      </c>
      <c r="E206" s="55">
        <v>6102</v>
      </c>
      <c r="F206" s="55">
        <v>75</v>
      </c>
      <c r="G206" s="55">
        <v>5</v>
      </c>
      <c r="H206" s="55">
        <v>0</v>
      </c>
      <c r="I206" s="55">
        <v>1</v>
      </c>
      <c r="J206" s="55">
        <v>0</v>
      </c>
    </row>
    <row r="207" spans="1:10" ht="15" x14ac:dyDescent="0.4">
      <c r="A207" s="54">
        <v>45880</v>
      </c>
      <c r="B207" s="55" t="s">
        <v>61</v>
      </c>
      <c r="C207" s="55" t="s">
        <v>56</v>
      </c>
      <c r="D207" s="57">
        <v>17184</v>
      </c>
      <c r="E207" s="55">
        <v>12274</v>
      </c>
      <c r="F207" s="55">
        <v>144</v>
      </c>
      <c r="G207" s="55">
        <v>6</v>
      </c>
      <c r="H207" s="55">
        <v>1</v>
      </c>
      <c r="I207" s="55">
        <v>1</v>
      </c>
      <c r="J207" s="55">
        <v>0</v>
      </c>
    </row>
    <row r="208" spans="1:10" ht="15" x14ac:dyDescent="0.4">
      <c r="A208" s="54">
        <v>45880</v>
      </c>
      <c r="B208" s="55" t="s">
        <v>63</v>
      </c>
      <c r="C208" s="55" t="s">
        <v>58</v>
      </c>
      <c r="D208" s="57">
        <v>6624</v>
      </c>
      <c r="E208" s="55">
        <v>1380</v>
      </c>
      <c r="F208" s="55">
        <v>62</v>
      </c>
      <c r="G208" s="55">
        <v>8</v>
      </c>
      <c r="H208" s="55">
        <v>1</v>
      </c>
      <c r="I208" s="55">
        <v>0</v>
      </c>
      <c r="J208" s="55">
        <v>0</v>
      </c>
    </row>
    <row r="209" spans="1:10" ht="15" x14ac:dyDescent="0.4">
      <c r="A209" s="54">
        <v>45880</v>
      </c>
      <c r="B209" s="55" t="s">
        <v>57</v>
      </c>
      <c r="C209" s="55" t="s">
        <v>58</v>
      </c>
      <c r="D209" s="57">
        <v>20500</v>
      </c>
      <c r="E209" s="55">
        <v>4270</v>
      </c>
      <c r="F209" s="55">
        <v>252</v>
      </c>
      <c r="G209" s="55">
        <v>3</v>
      </c>
      <c r="H209" s="55">
        <v>0</v>
      </c>
      <c r="I209" s="55">
        <v>0</v>
      </c>
      <c r="J209" s="55">
        <v>0</v>
      </c>
    </row>
    <row r="210" spans="1:10" ht="15" x14ac:dyDescent="0.4">
      <c r="A210" s="54">
        <v>45880</v>
      </c>
      <c r="B210" s="55" t="s">
        <v>55</v>
      </c>
      <c r="C210" s="55" t="s">
        <v>56</v>
      </c>
      <c r="D210" s="57">
        <v>33115</v>
      </c>
      <c r="E210" s="55">
        <v>23653</v>
      </c>
      <c r="F210" s="55">
        <v>226</v>
      </c>
      <c r="G210" s="55">
        <v>10</v>
      </c>
      <c r="H210" s="55">
        <v>0</v>
      </c>
      <c r="I210" s="55">
        <v>1</v>
      </c>
      <c r="J210" s="55">
        <v>0</v>
      </c>
    </row>
    <row r="211" spans="1:10" ht="15" x14ac:dyDescent="0.4">
      <c r="A211" s="54">
        <v>45880</v>
      </c>
      <c r="B211" s="55" t="s">
        <v>62</v>
      </c>
      <c r="C211" s="55" t="s">
        <v>56</v>
      </c>
      <c r="D211" s="57">
        <v>9430</v>
      </c>
      <c r="E211" s="55">
        <v>6735</v>
      </c>
      <c r="F211" s="55">
        <v>82</v>
      </c>
      <c r="G211" s="55">
        <v>4</v>
      </c>
      <c r="H211" s="55">
        <v>1</v>
      </c>
      <c r="I211" s="55">
        <v>1</v>
      </c>
      <c r="J211" s="55">
        <v>0</v>
      </c>
    </row>
    <row r="212" spans="1:10" ht="15" x14ac:dyDescent="0.4">
      <c r="A212" s="54">
        <v>45881</v>
      </c>
      <c r="B212" s="55" t="s">
        <v>61</v>
      </c>
      <c r="C212" s="55" t="s">
        <v>56</v>
      </c>
      <c r="D212" s="57">
        <v>17605</v>
      </c>
      <c r="E212" s="55">
        <v>12575</v>
      </c>
      <c r="F212" s="55">
        <v>124</v>
      </c>
      <c r="G212" s="55">
        <v>9</v>
      </c>
      <c r="H212" s="55">
        <v>0</v>
      </c>
      <c r="I212" s="55">
        <v>1</v>
      </c>
      <c r="J212" s="55">
        <v>0</v>
      </c>
    </row>
    <row r="213" spans="1:10" ht="15" x14ac:dyDescent="0.4">
      <c r="A213" s="54">
        <v>45881</v>
      </c>
      <c r="B213" s="55" t="s">
        <v>63</v>
      </c>
      <c r="C213" s="55" t="s">
        <v>58</v>
      </c>
      <c r="D213" s="57">
        <v>6203</v>
      </c>
      <c r="E213" s="55">
        <v>1292</v>
      </c>
      <c r="F213" s="55">
        <v>66</v>
      </c>
      <c r="G213" s="55">
        <v>1</v>
      </c>
      <c r="H213" s="55">
        <v>2</v>
      </c>
      <c r="I213" s="55">
        <v>1</v>
      </c>
      <c r="J213" s="55">
        <v>0</v>
      </c>
    </row>
    <row r="214" spans="1:10" ht="15" x14ac:dyDescent="0.4">
      <c r="A214" s="54">
        <v>45881</v>
      </c>
      <c r="B214" s="55" t="s">
        <v>57</v>
      </c>
      <c r="C214" s="55" t="s">
        <v>58</v>
      </c>
      <c r="D214" s="57">
        <v>23879</v>
      </c>
      <c r="E214" s="55">
        <v>4974</v>
      </c>
      <c r="F214" s="55">
        <v>243</v>
      </c>
      <c r="G214" s="55">
        <v>1</v>
      </c>
      <c r="H214" s="55">
        <v>0</v>
      </c>
      <c r="I214" s="55">
        <v>0</v>
      </c>
      <c r="J214" s="55">
        <v>0</v>
      </c>
    </row>
    <row r="215" spans="1:10" ht="15" x14ac:dyDescent="0.4">
      <c r="A215" s="54">
        <v>45881</v>
      </c>
      <c r="B215" s="55" t="s">
        <v>55</v>
      </c>
      <c r="C215" s="55" t="s">
        <v>56</v>
      </c>
      <c r="D215" s="57">
        <v>35616</v>
      </c>
      <c r="E215" s="55">
        <v>25440</v>
      </c>
      <c r="F215" s="55">
        <v>279</v>
      </c>
      <c r="G215" s="55">
        <v>7</v>
      </c>
      <c r="H215" s="55">
        <v>3</v>
      </c>
      <c r="I215" s="55">
        <v>0</v>
      </c>
      <c r="J215" s="55">
        <v>0</v>
      </c>
    </row>
    <row r="216" spans="1:10" ht="15" x14ac:dyDescent="0.4">
      <c r="A216" s="54">
        <v>45881</v>
      </c>
      <c r="B216" s="55" t="s">
        <v>62</v>
      </c>
      <c r="C216" s="55" t="s">
        <v>56</v>
      </c>
      <c r="D216" s="57">
        <v>9622</v>
      </c>
      <c r="E216" s="55">
        <v>6872</v>
      </c>
      <c r="F216" s="55">
        <v>80</v>
      </c>
      <c r="G216" s="55">
        <v>1</v>
      </c>
      <c r="H216" s="55">
        <v>2</v>
      </c>
      <c r="I216" s="55">
        <v>0</v>
      </c>
      <c r="J216" s="55">
        <v>0</v>
      </c>
    </row>
    <row r="217" spans="1:10" ht="15" x14ac:dyDescent="0.4">
      <c r="A217" s="54">
        <v>45882</v>
      </c>
      <c r="B217" s="55" t="s">
        <v>61</v>
      </c>
      <c r="C217" s="55" t="s">
        <v>56</v>
      </c>
      <c r="D217" s="57">
        <v>16243</v>
      </c>
      <c r="E217" s="55">
        <v>11602</v>
      </c>
      <c r="F217" s="55">
        <v>113</v>
      </c>
      <c r="G217" s="55">
        <v>6</v>
      </c>
      <c r="H217" s="55">
        <v>2</v>
      </c>
      <c r="I217" s="55">
        <v>2</v>
      </c>
      <c r="J217" s="55">
        <v>0</v>
      </c>
    </row>
    <row r="218" spans="1:10" ht="15" x14ac:dyDescent="0.4">
      <c r="A218" s="54">
        <v>45882</v>
      </c>
      <c r="B218" s="55" t="s">
        <v>63</v>
      </c>
      <c r="C218" s="55" t="s">
        <v>58</v>
      </c>
      <c r="D218" s="57">
        <v>7224</v>
      </c>
      <c r="E218" s="55">
        <v>1505</v>
      </c>
      <c r="F218" s="55">
        <v>78</v>
      </c>
      <c r="G218" s="55">
        <v>2</v>
      </c>
      <c r="H218" s="55">
        <v>1</v>
      </c>
      <c r="I218" s="55">
        <v>0</v>
      </c>
      <c r="J218" s="55">
        <v>0</v>
      </c>
    </row>
    <row r="219" spans="1:10" ht="15" x14ac:dyDescent="0.4">
      <c r="A219" s="54">
        <v>45882</v>
      </c>
      <c r="B219" s="55" t="s">
        <v>57</v>
      </c>
      <c r="C219" s="55" t="s">
        <v>58</v>
      </c>
      <c r="D219" s="57">
        <v>21128</v>
      </c>
      <c r="E219" s="55">
        <v>4401</v>
      </c>
      <c r="F219" s="55">
        <v>229</v>
      </c>
      <c r="G219" s="55">
        <v>4</v>
      </c>
      <c r="H219" s="55">
        <v>0</v>
      </c>
      <c r="I219" s="55">
        <v>0</v>
      </c>
      <c r="J219" s="55">
        <v>0</v>
      </c>
    </row>
    <row r="220" spans="1:10" ht="15" x14ac:dyDescent="0.4">
      <c r="A220" s="54">
        <v>45882</v>
      </c>
      <c r="B220" s="55" t="s">
        <v>55</v>
      </c>
      <c r="C220" s="55" t="s">
        <v>56</v>
      </c>
      <c r="D220" s="57">
        <v>34842</v>
      </c>
      <c r="E220" s="55">
        <v>24887</v>
      </c>
      <c r="F220" s="55">
        <v>269</v>
      </c>
      <c r="G220" s="55">
        <v>8</v>
      </c>
      <c r="H220" s="55">
        <v>4</v>
      </c>
      <c r="I220" s="55">
        <v>1</v>
      </c>
      <c r="J220" s="55">
        <v>0</v>
      </c>
    </row>
    <row r="221" spans="1:10" ht="15" x14ac:dyDescent="0.4">
      <c r="A221" s="54">
        <v>45882</v>
      </c>
      <c r="B221" s="55" t="s">
        <v>62</v>
      </c>
      <c r="C221" s="55" t="s">
        <v>56</v>
      </c>
      <c r="D221" s="57">
        <v>9433</v>
      </c>
      <c r="E221" s="55">
        <v>6737</v>
      </c>
      <c r="F221" s="55">
        <v>84</v>
      </c>
      <c r="G221" s="55">
        <v>4</v>
      </c>
      <c r="H221" s="55">
        <v>0</v>
      </c>
      <c r="I221" s="55">
        <v>1</v>
      </c>
      <c r="J221" s="55">
        <v>0</v>
      </c>
    </row>
    <row r="222" spans="1:10" ht="15" x14ac:dyDescent="0.4">
      <c r="A222" s="54">
        <v>45883</v>
      </c>
      <c r="B222" s="55" t="s">
        <v>61</v>
      </c>
      <c r="C222" s="55" t="s">
        <v>56</v>
      </c>
      <c r="D222" s="57">
        <v>17326</v>
      </c>
      <c r="E222" s="55">
        <v>12375</v>
      </c>
      <c r="F222" s="55">
        <v>141</v>
      </c>
      <c r="G222" s="55">
        <v>3</v>
      </c>
      <c r="H222" s="55">
        <v>1</v>
      </c>
      <c r="I222" s="55">
        <v>1</v>
      </c>
      <c r="J222" s="55">
        <v>0</v>
      </c>
    </row>
    <row r="223" spans="1:10" ht="15" x14ac:dyDescent="0.4">
      <c r="A223" s="54">
        <v>45883</v>
      </c>
      <c r="B223" s="55" t="s">
        <v>63</v>
      </c>
      <c r="C223" s="55" t="s">
        <v>58</v>
      </c>
      <c r="D223" s="57">
        <v>6233</v>
      </c>
      <c r="E223" s="55">
        <v>1298</v>
      </c>
      <c r="F223" s="55">
        <v>73</v>
      </c>
      <c r="G223" s="55">
        <v>1</v>
      </c>
      <c r="H223" s="55">
        <v>2</v>
      </c>
      <c r="I223" s="55">
        <v>1</v>
      </c>
      <c r="J223" s="55">
        <v>0</v>
      </c>
    </row>
    <row r="224" spans="1:10" ht="15" x14ac:dyDescent="0.4">
      <c r="A224" s="54">
        <v>45883</v>
      </c>
      <c r="B224" s="55" t="s">
        <v>57</v>
      </c>
      <c r="C224" s="55" t="s">
        <v>58</v>
      </c>
      <c r="D224" s="57">
        <v>21968</v>
      </c>
      <c r="E224" s="55">
        <v>4576</v>
      </c>
      <c r="F224" s="55">
        <v>206</v>
      </c>
      <c r="G224" s="55">
        <v>0</v>
      </c>
      <c r="H224" s="55">
        <v>3</v>
      </c>
      <c r="I224" s="55">
        <v>0</v>
      </c>
      <c r="J224" s="55">
        <v>0</v>
      </c>
    </row>
    <row r="225" spans="1:10" ht="15" x14ac:dyDescent="0.4">
      <c r="A225" s="54">
        <v>45883</v>
      </c>
      <c r="B225" s="55" t="s">
        <v>55</v>
      </c>
      <c r="C225" s="55" t="s">
        <v>56</v>
      </c>
      <c r="D225" s="57">
        <v>30691</v>
      </c>
      <c r="E225" s="55">
        <v>21922</v>
      </c>
      <c r="F225" s="55">
        <v>221</v>
      </c>
      <c r="G225" s="55">
        <v>5</v>
      </c>
      <c r="H225" s="55">
        <v>2</v>
      </c>
      <c r="I225" s="55">
        <v>1</v>
      </c>
      <c r="J225" s="55">
        <v>0</v>
      </c>
    </row>
    <row r="226" spans="1:10" ht="15" x14ac:dyDescent="0.4">
      <c r="A226" s="54">
        <v>45883</v>
      </c>
      <c r="B226" s="55" t="s">
        <v>62</v>
      </c>
      <c r="C226" s="55" t="s">
        <v>56</v>
      </c>
      <c r="D226" s="57">
        <v>9874</v>
      </c>
      <c r="E226" s="55">
        <v>7052</v>
      </c>
      <c r="F226" s="55">
        <v>72</v>
      </c>
      <c r="G226" s="55">
        <v>0</v>
      </c>
      <c r="H226" s="55">
        <v>2</v>
      </c>
      <c r="I226" s="55">
        <v>0</v>
      </c>
      <c r="J226" s="55">
        <v>1</v>
      </c>
    </row>
    <row r="227" spans="1:10" ht="15" x14ac:dyDescent="0.4">
      <c r="A227" s="54">
        <v>45884</v>
      </c>
      <c r="B227" s="55" t="s">
        <v>61</v>
      </c>
      <c r="C227" s="55" t="s">
        <v>56</v>
      </c>
      <c r="D227" s="57">
        <v>17801</v>
      </c>
      <c r="E227" s="55">
        <v>12715</v>
      </c>
      <c r="F227" s="55">
        <v>157</v>
      </c>
      <c r="G227" s="55">
        <v>5</v>
      </c>
      <c r="H227" s="55">
        <v>2</v>
      </c>
      <c r="I227" s="55">
        <v>0</v>
      </c>
      <c r="J227" s="55">
        <v>0</v>
      </c>
    </row>
    <row r="228" spans="1:10" ht="15" x14ac:dyDescent="0.4">
      <c r="A228" s="54">
        <v>45884</v>
      </c>
      <c r="B228" s="55" t="s">
        <v>63</v>
      </c>
      <c r="C228" s="55" t="s">
        <v>58</v>
      </c>
      <c r="D228" s="57">
        <v>6867</v>
      </c>
      <c r="E228" s="55">
        <v>1430</v>
      </c>
      <c r="F228" s="55">
        <v>79</v>
      </c>
      <c r="G228" s="55">
        <v>3</v>
      </c>
      <c r="H228" s="55">
        <v>4</v>
      </c>
      <c r="I228" s="55">
        <v>1</v>
      </c>
      <c r="J228" s="55">
        <v>0</v>
      </c>
    </row>
    <row r="229" spans="1:10" ht="15" x14ac:dyDescent="0.4">
      <c r="A229" s="54">
        <v>45884</v>
      </c>
      <c r="B229" s="55" t="s">
        <v>57</v>
      </c>
      <c r="C229" s="55" t="s">
        <v>58</v>
      </c>
      <c r="D229" s="57">
        <v>24513</v>
      </c>
      <c r="E229" s="55">
        <v>5106</v>
      </c>
      <c r="F229" s="55">
        <v>293</v>
      </c>
      <c r="G229" s="55">
        <v>3</v>
      </c>
      <c r="H229" s="55">
        <v>2</v>
      </c>
      <c r="I229" s="55">
        <v>1</v>
      </c>
      <c r="J229" s="55">
        <v>0</v>
      </c>
    </row>
    <row r="230" spans="1:10" ht="15" x14ac:dyDescent="0.4">
      <c r="A230" s="54">
        <v>45884</v>
      </c>
      <c r="B230" s="55" t="s">
        <v>55</v>
      </c>
      <c r="C230" s="55" t="s">
        <v>56</v>
      </c>
      <c r="D230" s="57">
        <v>35281</v>
      </c>
      <c r="E230" s="55">
        <v>25200</v>
      </c>
      <c r="F230" s="55">
        <v>289</v>
      </c>
      <c r="G230" s="55">
        <v>4</v>
      </c>
      <c r="H230" s="55">
        <v>2</v>
      </c>
      <c r="I230" s="55">
        <v>1</v>
      </c>
      <c r="J230" s="55">
        <v>0</v>
      </c>
    </row>
    <row r="231" spans="1:10" ht="15" x14ac:dyDescent="0.4">
      <c r="A231" s="54">
        <v>45884</v>
      </c>
      <c r="B231" s="55" t="s">
        <v>62</v>
      </c>
      <c r="C231" s="55" t="s">
        <v>56</v>
      </c>
      <c r="D231" s="57">
        <v>9419</v>
      </c>
      <c r="E231" s="55">
        <v>6727</v>
      </c>
      <c r="F231" s="55">
        <v>76</v>
      </c>
      <c r="G231" s="55">
        <v>0</v>
      </c>
      <c r="H231" s="55">
        <v>1</v>
      </c>
      <c r="I231" s="55">
        <v>0</v>
      </c>
      <c r="J231" s="55">
        <v>0</v>
      </c>
    </row>
    <row r="232" spans="1:10" ht="15" x14ac:dyDescent="0.4">
      <c r="A232" s="54">
        <v>45885</v>
      </c>
      <c r="B232" s="55" t="s">
        <v>61</v>
      </c>
      <c r="C232" s="55" t="s">
        <v>56</v>
      </c>
      <c r="D232" s="57">
        <v>15173</v>
      </c>
      <c r="E232" s="55">
        <v>10837</v>
      </c>
      <c r="F232" s="55">
        <v>105</v>
      </c>
      <c r="G232" s="55">
        <v>1</v>
      </c>
      <c r="H232" s="55">
        <v>0</v>
      </c>
      <c r="I232" s="55">
        <v>0</v>
      </c>
      <c r="J232" s="55">
        <v>0</v>
      </c>
    </row>
    <row r="233" spans="1:10" ht="15" x14ac:dyDescent="0.4">
      <c r="A233" s="54">
        <v>45885</v>
      </c>
      <c r="B233" s="55" t="s">
        <v>63</v>
      </c>
      <c r="C233" s="55" t="s">
        <v>58</v>
      </c>
      <c r="D233" s="57">
        <v>7061</v>
      </c>
      <c r="E233" s="55">
        <v>1471</v>
      </c>
      <c r="F233" s="55">
        <v>87</v>
      </c>
      <c r="G233" s="55">
        <v>1</v>
      </c>
      <c r="H233" s="55">
        <v>0</v>
      </c>
      <c r="I233" s="55">
        <v>2</v>
      </c>
      <c r="J233" s="55">
        <v>0</v>
      </c>
    </row>
    <row r="234" spans="1:10" ht="15" x14ac:dyDescent="0.4">
      <c r="A234" s="54">
        <v>45885</v>
      </c>
      <c r="B234" s="55" t="s">
        <v>57</v>
      </c>
      <c r="C234" s="55" t="s">
        <v>58</v>
      </c>
      <c r="D234" s="57">
        <v>23385</v>
      </c>
      <c r="E234" s="55">
        <v>4871</v>
      </c>
      <c r="F234" s="55">
        <v>228</v>
      </c>
      <c r="G234" s="55">
        <v>0</v>
      </c>
      <c r="H234" s="55">
        <v>0</v>
      </c>
      <c r="I234" s="55">
        <v>2</v>
      </c>
      <c r="J234" s="55">
        <v>0</v>
      </c>
    </row>
    <row r="235" spans="1:10" ht="15" x14ac:dyDescent="0.4">
      <c r="A235" s="54">
        <v>45885</v>
      </c>
      <c r="B235" s="55" t="s">
        <v>55</v>
      </c>
      <c r="C235" s="55" t="s">
        <v>56</v>
      </c>
      <c r="D235" s="57">
        <v>34257</v>
      </c>
      <c r="E235" s="55">
        <v>24469</v>
      </c>
      <c r="F235" s="55">
        <v>304</v>
      </c>
      <c r="G235" s="55">
        <v>6</v>
      </c>
      <c r="H235" s="55">
        <v>2</v>
      </c>
      <c r="I235" s="55">
        <v>0</v>
      </c>
      <c r="J235" s="55">
        <v>0</v>
      </c>
    </row>
    <row r="236" spans="1:10" ht="15" x14ac:dyDescent="0.4">
      <c r="A236" s="54">
        <v>45885</v>
      </c>
      <c r="B236" s="55" t="s">
        <v>62</v>
      </c>
      <c r="C236" s="55" t="s">
        <v>56</v>
      </c>
      <c r="D236" s="57">
        <v>10259</v>
      </c>
      <c r="E236" s="55">
        <v>7327</v>
      </c>
      <c r="F236" s="55">
        <v>84</v>
      </c>
      <c r="G236" s="55">
        <v>4</v>
      </c>
      <c r="H236" s="55">
        <v>0</v>
      </c>
      <c r="I236" s="55">
        <v>1</v>
      </c>
      <c r="J236" s="55">
        <v>0</v>
      </c>
    </row>
    <row r="237" spans="1:10" ht="15" x14ac:dyDescent="0.4">
      <c r="A237" s="54">
        <v>45886</v>
      </c>
      <c r="B237" s="55" t="s">
        <v>61</v>
      </c>
      <c r="C237" s="55" t="s">
        <v>56</v>
      </c>
      <c r="D237" s="57">
        <v>17339</v>
      </c>
      <c r="E237" s="55">
        <v>12385</v>
      </c>
      <c r="F237" s="55">
        <v>119</v>
      </c>
      <c r="G237" s="55">
        <v>1</v>
      </c>
      <c r="H237" s="55">
        <v>1</v>
      </c>
      <c r="I237" s="55">
        <v>1</v>
      </c>
      <c r="J237" s="55">
        <v>0</v>
      </c>
    </row>
    <row r="238" spans="1:10" ht="15" x14ac:dyDescent="0.4">
      <c r="A238" s="54">
        <v>45886</v>
      </c>
      <c r="B238" s="55" t="s">
        <v>63</v>
      </c>
      <c r="C238" s="55" t="s">
        <v>58</v>
      </c>
      <c r="D238" s="57">
        <v>7047</v>
      </c>
      <c r="E238" s="55">
        <v>1468</v>
      </c>
      <c r="F238" s="55">
        <v>74</v>
      </c>
      <c r="G238" s="55">
        <v>1</v>
      </c>
      <c r="H238" s="55">
        <v>2</v>
      </c>
      <c r="I238" s="55">
        <v>1</v>
      </c>
      <c r="J238" s="55">
        <v>1</v>
      </c>
    </row>
    <row r="239" spans="1:10" ht="15" x14ac:dyDescent="0.4">
      <c r="A239" s="54">
        <v>45886</v>
      </c>
      <c r="B239" s="55" t="s">
        <v>57</v>
      </c>
      <c r="C239" s="55" t="s">
        <v>58</v>
      </c>
      <c r="D239" s="57">
        <v>23785</v>
      </c>
      <c r="E239" s="55">
        <v>4955</v>
      </c>
      <c r="F239" s="55">
        <v>289</v>
      </c>
      <c r="G239" s="55">
        <v>3</v>
      </c>
      <c r="H239" s="55">
        <v>1</v>
      </c>
      <c r="I239" s="55">
        <v>0</v>
      </c>
      <c r="J239" s="55">
        <v>2</v>
      </c>
    </row>
    <row r="240" spans="1:10" ht="15" x14ac:dyDescent="0.4">
      <c r="A240" s="54">
        <v>45886</v>
      </c>
      <c r="B240" s="55" t="s">
        <v>55</v>
      </c>
      <c r="C240" s="55" t="s">
        <v>56</v>
      </c>
      <c r="D240" s="57">
        <v>30965</v>
      </c>
      <c r="E240" s="55">
        <v>22117</v>
      </c>
      <c r="F240" s="55">
        <v>277</v>
      </c>
      <c r="G240" s="55">
        <v>5</v>
      </c>
      <c r="H240" s="55">
        <v>1</v>
      </c>
      <c r="I240" s="55">
        <v>4</v>
      </c>
      <c r="J240" s="55">
        <v>0</v>
      </c>
    </row>
    <row r="241" spans="1:10" ht="15" x14ac:dyDescent="0.4">
      <c r="A241" s="54">
        <v>45886</v>
      </c>
      <c r="B241" s="55" t="s">
        <v>62</v>
      </c>
      <c r="C241" s="55" t="s">
        <v>56</v>
      </c>
      <c r="D241" s="57">
        <v>8796</v>
      </c>
      <c r="E241" s="55">
        <v>6282</v>
      </c>
      <c r="F241" s="55">
        <v>66</v>
      </c>
      <c r="G241" s="55">
        <v>1</v>
      </c>
      <c r="H241" s="55">
        <v>1</v>
      </c>
      <c r="I241" s="55">
        <v>0</v>
      </c>
      <c r="J241" s="55">
        <v>0</v>
      </c>
    </row>
    <row r="242" spans="1:10" ht="15" x14ac:dyDescent="0.4">
      <c r="A242" s="54">
        <v>45887</v>
      </c>
      <c r="B242" s="55" t="s">
        <v>61</v>
      </c>
      <c r="C242" s="55" t="s">
        <v>56</v>
      </c>
      <c r="D242" s="57">
        <v>15409</v>
      </c>
      <c r="E242" s="55">
        <v>11006</v>
      </c>
      <c r="F242" s="55">
        <v>138</v>
      </c>
      <c r="G242" s="55">
        <v>3</v>
      </c>
      <c r="H242" s="55">
        <v>1</v>
      </c>
      <c r="I242" s="55">
        <v>0</v>
      </c>
      <c r="J242" s="55">
        <v>0</v>
      </c>
    </row>
    <row r="243" spans="1:10" ht="15" x14ac:dyDescent="0.4">
      <c r="A243" s="54">
        <v>45887</v>
      </c>
      <c r="B243" s="55" t="s">
        <v>63</v>
      </c>
      <c r="C243" s="55" t="s">
        <v>58</v>
      </c>
      <c r="D243" s="57">
        <v>6721</v>
      </c>
      <c r="E243" s="55">
        <v>1400</v>
      </c>
      <c r="F243" s="55">
        <v>75</v>
      </c>
      <c r="G243" s="55">
        <v>1</v>
      </c>
      <c r="H243" s="55">
        <v>0</v>
      </c>
      <c r="I243" s="55">
        <v>0</v>
      </c>
      <c r="J243" s="55">
        <v>0</v>
      </c>
    </row>
    <row r="244" spans="1:10" ht="15" x14ac:dyDescent="0.4">
      <c r="A244" s="54">
        <v>45887</v>
      </c>
      <c r="B244" s="55" t="s">
        <v>57</v>
      </c>
      <c r="C244" s="55" t="s">
        <v>58</v>
      </c>
      <c r="D244" s="57">
        <v>21534</v>
      </c>
      <c r="E244" s="55">
        <v>4486</v>
      </c>
      <c r="F244" s="55">
        <v>241</v>
      </c>
      <c r="G244" s="55">
        <v>7</v>
      </c>
      <c r="H244" s="55">
        <v>0</v>
      </c>
      <c r="I244" s="55">
        <v>0</v>
      </c>
      <c r="J244" s="55">
        <v>0</v>
      </c>
    </row>
    <row r="245" spans="1:10" ht="15" x14ac:dyDescent="0.4">
      <c r="A245" s="54">
        <v>45887</v>
      </c>
      <c r="B245" s="55" t="s">
        <v>55</v>
      </c>
      <c r="C245" s="55" t="s">
        <v>56</v>
      </c>
      <c r="D245" s="57">
        <v>33438</v>
      </c>
      <c r="E245" s="55">
        <v>23884</v>
      </c>
      <c r="F245" s="55">
        <v>293</v>
      </c>
      <c r="G245" s="55">
        <v>11</v>
      </c>
      <c r="H245" s="55">
        <v>2</v>
      </c>
      <c r="I245" s="55">
        <v>2</v>
      </c>
      <c r="J245" s="55">
        <v>0</v>
      </c>
    </row>
    <row r="246" spans="1:10" ht="15" x14ac:dyDescent="0.4">
      <c r="A246" s="54">
        <v>45887</v>
      </c>
      <c r="B246" s="55" t="s">
        <v>62</v>
      </c>
      <c r="C246" s="55" t="s">
        <v>56</v>
      </c>
      <c r="D246" s="57">
        <v>8377</v>
      </c>
      <c r="E246" s="55">
        <v>5983</v>
      </c>
      <c r="F246" s="55">
        <v>62</v>
      </c>
      <c r="G246" s="55">
        <v>3</v>
      </c>
      <c r="H246" s="55">
        <v>0</v>
      </c>
      <c r="I246" s="55">
        <v>1</v>
      </c>
      <c r="J246" s="55">
        <v>0</v>
      </c>
    </row>
    <row r="247" spans="1:10" ht="15" x14ac:dyDescent="0.4">
      <c r="A247" s="54">
        <v>45888</v>
      </c>
      <c r="B247" s="55" t="s">
        <v>61</v>
      </c>
      <c r="C247" s="55" t="s">
        <v>56</v>
      </c>
      <c r="D247" s="57">
        <v>16705</v>
      </c>
      <c r="E247" s="55">
        <v>11932</v>
      </c>
      <c r="F247" s="55">
        <v>120</v>
      </c>
      <c r="G247" s="55">
        <v>5</v>
      </c>
      <c r="H247" s="55">
        <v>0</v>
      </c>
      <c r="I247" s="55">
        <v>0</v>
      </c>
      <c r="J247" s="55">
        <v>0</v>
      </c>
    </row>
    <row r="248" spans="1:10" ht="15" x14ac:dyDescent="0.4">
      <c r="A248" s="54">
        <v>45888</v>
      </c>
      <c r="B248" s="55" t="s">
        <v>63</v>
      </c>
      <c r="C248" s="55" t="s">
        <v>58</v>
      </c>
      <c r="D248" s="57">
        <v>7017</v>
      </c>
      <c r="E248" s="55">
        <v>1461</v>
      </c>
      <c r="F248" s="55">
        <v>68</v>
      </c>
      <c r="G248" s="55">
        <v>2</v>
      </c>
      <c r="H248" s="55">
        <v>1</v>
      </c>
      <c r="I248" s="55">
        <v>1</v>
      </c>
      <c r="J248" s="55">
        <v>1</v>
      </c>
    </row>
    <row r="249" spans="1:10" ht="15" x14ac:dyDescent="0.4">
      <c r="A249" s="54">
        <v>45888</v>
      </c>
      <c r="B249" s="55" t="s">
        <v>57</v>
      </c>
      <c r="C249" s="55" t="s">
        <v>58</v>
      </c>
      <c r="D249" s="57">
        <v>20994</v>
      </c>
      <c r="E249" s="55">
        <v>4373</v>
      </c>
      <c r="F249" s="55">
        <v>205</v>
      </c>
      <c r="G249" s="55">
        <v>1</v>
      </c>
      <c r="H249" s="55">
        <v>2</v>
      </c>
      <c r="I249" s="55">
        <v>0</v>
      </c>
      <c r="J249" s="55">
        <v>0</v>
      </c>
    </row>
    <row r="250" spans="1:10" ht="15" x14ac:dyDescent="0.4">
      <c r="A250" s="54">
        <v>45888</v>
      </c>
      <c r="B250" s="55" t="s">
        <v>55</v>
      </c>
      <c r="C250" s="55" t="s">
        <v>56</v>
      </c>
      <c r="D250" s="57">
        <v>32345</v>
      </c>
      <c r="E250" s="55">
        <v>23103</v>
      </c>
      <c r="F250" s="55">
        <v>242</v>
      </c>
      <c r="G250" s="55">
        <v>6</v>
      </c>
      <c r="H250" s="55">
        <v>1</v>
      </c>
      <c r="I250" s="55">
        <v>1</v>
      </c>
      <c r="J250" s="55">
        <v>0</v>
      </c>
    </row>
    <row r="251" spans="1:10" ht="15" x14ac:dyDescent="0.4">
      <c r="A251" s="54">
        <v>45888</v>
      </c>
      <c r="B251" s="55" t="s">
        <v>62</v>
      </c>
      <c r="C251" s="55" t="s">
        <v>56</v>
      </c>
      <c r="D251" s="57">
        <v>8428</v>
      </c>
      <c r="E251" s="55">
        <v>6020</v>
      </c>
      <c r="F251" s="55">
        <v>70</v>
      </c>
      <c r="G251" s="55">
        <v>4</v>
      </c>
      <c r="H251" s="55">
        <v>3</v>
      </c>
      <c r="I251" s="55">
        <v>0</v>
      </c>
      <c r="J251" s="55">
        <v>0</v>
      </c>
    </row>
    <row r="252" spans="1:10" ht="15" x14ac:dyDescent="0.4">
      <c r="A252" s="54">
        <v>45889</v>
      </c>
      <c r="B252" s="55" t="s">
        <v>61</v>
      </c>
      <c r="C252" s="55" t="s">
        <v>56</v>
      </c>
      <c r="D252" s="57">
        <v>15794</v>
      </c>
      <c r="E252" s="55">
        <v>11281</v>
      </c>
      <c r="F252" s="55">
        <v>130</v>
      </c>
      <c r="G252" s="55">
        <v>2</v>
      </c>
      <c r="H252" s="55">
        <v>0</v>
      </c>
      <c r="I252" s="55">
        <v>1</v>
      </c>
      <c r="J252" s="55">
        <v>0</v>
      </c>
    </row>
    <row r="253" spans="1:10" ht="15" x14ac:dyDescent="0.4">
      <c r="A253" s="54">
        <v>45889</v>
      </c>
      <c r="B253" s="55" t="s">
        <v>63</v>
      </c>
      <c r="C253" s="55" t="s">
        <v>58</v>
      </c>
      <c r="D253" s="57">
        <v>6622</v>
      </c>
      <c r="E253" s="55">
        <v>1379</v>
      </c>
      <c r="F253" s="55">
        <v>68</v>
      </c>
      <c r="G253" s="55">
        <v>0</v>
      </c>
      <c r="H253" s="55">
        <v>1</v>
      </c>
      <c r="I253" s="55">
        <v>1</v>
      </c>
      <c r="J253" s="55">
        <v>0</v>
      </c>
    </row>
    <row r="254" spans="1:10" ht="15" x14ac:dyDescent="0.4">
      <c r="A254" s="54">
        <v>45889</v>
      </c>
      <c r="B254" s="55" t="s">
        <v>57</v>
      </c>
      <c r="C254" s="55" t="s">
        <v>58</v>
      </c>
      <c r="D254" s="57">
        <v>23294</v>
      </c>
      <c r="E254" s="55">
        <v>4852</v>
      </c>
      <c r="F254" s="55">
        <v>262</v>
      </c>
      <c r="G254" s="55">
        <v>5</v>
      </c>
      <c r="H254" s="55">
        <v>2</v>
      </c>
      <c r="I254" s="55">
        <v>0</v>
      </c>
      <c r="J254" s="55">
        <v>0</v>
      </c>
    </row>
    <row r="255" spans="1:10" ht="15" x14ac:dyDescent="0.4">
      <c r="A255" s="54">
        <v>45889</v>
      </c>
      <c r="B255" s="55" t="s">
        <v>55</v>
      </c>
      <c r="C255" s="55" t="s">
        <v>56</v>
      </c>
      <c r="D255" s="57">
        <v>35519</v>
      </c>
      <c r="E255" s="55">
        <v>25370</v>
      </c>
      <c r="F255" s="55">
        <v>247</v>
      </c>
      <c r="G255" s="55">
        <v>9</v>
      </c>
      <c r="H255" s="55">
        <v>3</v>
      </c>
      <c r="I255" s="55">
        <v>0</v>
      </c>
      <c r="J255" s="55">
        <v>0</v>
      </c>
    </row>
    <row r="256" spans="1:10" ht="15" x14ac:dyDescent="0.4">
      <c r="A256" s="54">
        <v>45889</v>
      </c>
      <c r="B256" s="55" t="s">
        <v>62</v>
      </c>
      <c r="C256" s="55" t="s">
        <v>56</v>
      </c>
      <c r="D256" s="57">
        <v>9708</v>
      </c>
      <c r="E256" s="55">
        <v>6934</v>
      </c>
      <c r="F256" s="55">
        <v>77</v>
      </c>
      <c r="G256" s="55">
        <v>5</v>
      </c>
      <c r="H256" s="55">
        <v>2</v>
      </c>
      <c r="I256" s="55">
        <v>0</v>
      </c>
      <c r="J256" s="55">
        <v>0</v>
      </c>
    </row>
    <row r="257" spans="1:10" ht="15" x14ac:dyDescent="0.4">
      <c r="A257" s="54">
        <v>45890</v>
      </c>
      <c r="B257" s="55" t="s">
        <v>61</v>
      </c>
      <c r="C257" s="55" t="s">
        <v>56</v>
      </c>
      <c r="D257" s="57">
        <v>15879</v>
      </c>
      <c r="E257" s="55">
        <v>11342</v>
      </c>
      <c r="F257" s="55">
        <v>116</v>
      </c>
      <c r="G257" s="55">
        <v>6</v>
      </c>
      <c r="H257" s="55">
        <v>0</v>
      </c>
      <c r="I257" s="55">
        <v>0</v>
      </c>
      <c r="J257" s="55">
        <v>1</v>
      </c>
    </row>
    <row r="258" spans="1:10" ht="15" x14ac:dyDescent="0.4">
      <c r="A258" s="54">
        <v>45890</v>
      </c>
      <c r="B258" s="55" t="s">
        <v>63</v>
      </c>
      <c r="C258" s="55" t="s">
        <v>58</v>
      </c>
      <c r="D258" s="57">
        <v>6520</v>
      </c>
      <c r="E258" s="55">
        <v>1358</v>
      </c>
      <c r="F258" s="55">
        <v>68</v>
      </c>
      <c r="G258" s="55">
        <v>2</v>
      </c>
      <c r="H258" s="55">
        <v>0</v>
      </c>
      <c r="I258" s="55">
        <v>1</v>
      </c>
      <c r="J258" s="55">
        <v>0</v>
      </c>
    </row>
    <row r="259" spans="1:10" ht="15" x14ac:dyDescent="0.4">
      <c r="A259" s="54">
        <v>45890</v>
      </c>
      <c r="B259" s="55" t="s">
        <v>57</v>
      </c>
      <c r="C259" s="55" t="s">
        <v>58</v>
      </c>
      <c r="D259" s="57">
        <v>24300</v>
      </c>
      <c r="E259" s="55">
        <v>5062</v>
      </c>
      <c r="F259" s="55">
        <v>269</v>
      </c>
      <c r="G259" s="55">
        <v>6</v>
      </c>
      <c r="H259" s="55">
        <v>1</v>
      </c>
      <c r="I259" s="55">
        <v>1</v>
      </c>
      <c r="J259" s="55">
        <v>0</v>
      </c>
    </row>
    <row r="260" spans="1:10" ht="15" x14ac:dyDescent="0.4">
      <c r="A260" s="54">
        <v>45890</v>
      </c>
      <c r="B260" s="55" t="s">
        <v>55</v>
      </c>
      <c r="C260" s="55" t="s">
        <v>56</v>
      </c>
      <c r="D260" s="57">
        <v>32816</v>
      </c>
      <c r="E260" s="55">
        <v>23440</v>
      </c>
      <c r="F260" s="55">
        <v>234</v>
      </c>
      <c r="G260" s="55">
        <v>7</v>
      </c>
      <c r="H260" s="55">
        <v>0</v>
      </c>
      <c r="I260" s="55">
        <v>0</v>
      </c>
      <c r="J260" s="55">
        <v>0</v>
      </c>
    </row>
    <row r="261" spans="1:10" ht="15" x14ac:dyDescent="0.4">
      <c r="A261" s="54">
        <v>45890</v>
      </c>
      <c r="B261" s="55" t="s">
        <v>62</v>
      </c>
      <c r="C261" s="55" t="s">
        <v>56</v>
      </c>
      <c r="D261" s="57">
        <v>8975</v>
      </c>
      <c r="E261" s="55">
        <v>6410</v>
      </c>
      <c r="F261" s="55">
        <v>67</v>
      </c>
      <c r="G261" s="55">
        <v>3</v>
      </c>
      <c r="H261" s="55">
        <v>1</v>
      </c>
      <c r="I261" s="55">
        <v>1</v>
      </c>
      <c r="J261" s="55">
        <v>1</v>
      </c>
    </row>
    <row r="262" spans="1:10" ht="15" x14ac:dyDescent="0.4">
      <c r="A262" s="54">
        <v>45891</v>
      </c>
      <c r="B262" s="55" t="s">
        <v>61</v>
      </c>
      <c r="C262" s="55" t="s">
        <v>56</v>
      </c>
      <c r="D262" s="57">
        <v>16739</v>
      </c>
      <c r="E262" s="55">
        <v>11956</v>
      </c>
      <c r="F262" s="55">
        <v>116</v>
      </c>
      <c r="G262" s="55">
        <v>6</v>
      </c>
      <c r="H262" s="55">
        <v>0</v>
      </c>
      <c r="I262" s="55">
        <v>0</v>
      </c>
      <c r="J262" s="55">
        <v>1</v>
      </c>
    </row>
    <row r="263" spans="1:10" ht="15" x14ac:dyDescent="0.4">
      <c r="A263" s="54">
        <v>45891</v>
      </c>
      <c r="B263" s="55" t="s">
        <v>63</v>
      </c>
      <c r="C263" s="55" t="s">
        <v>58</v>
      </c>
      <c r="D263" s="57">
        <v>6661</v>
      </c>
      <c r="E263" s="55">
        <v>1387</v>
      </c>
      <c r="F263" s="55">
        <v>62</v>
      </c>
      <c r="G263" s="55">
        <v>3</v>
      </c>
      <c r="H263" s="55">
        <v>2</v>
      </c>
      <c r="I263" s="55">
        <v>1</v>
      </c>
      <c r="J263" s="55">
        <v>0</v>
      </c>
    </row>
    <row r="264" spans="1:10" ht="15" x14ac:dyDescent="0.4">
      <c r="A264" s="54">
        <v>45891</v>
      </c>
      <c r="B264" s="55" t="s">
        <v>57</v>
      </c>
      <c r="C264" s="55" t="s">
        <v>58</v>
      </c>
      <c r="D264" s="57">
        <v>22717</v>
      </c>
      <c r="E264" s="55">
        <v>4732</v>
      </c>
      <c r="F264" s="55">
        <v>282</v>
      </c>
      <c r="G264" s="55">
        <v>4</v>
      </c>
      <c r="H264" s="55">
        <v>1</v>
      </c>
      <c r="I264" s="55">
        <v>0</v>
      </c>
      <c r="J264" s="55">
        <v>0</v>
      </c>
    </row>
    <row r="265" spans="1:10" ht="15" x14ac:dyDescent="0.4">
      <c r="A265" s="54">
        <v>45891</v>
      </c>
      <c r="B265" s="55" t="s">
        <v>55</v>
      </c>
      <c r="C265" s="55" t="s">
        <v>56</v>
      </c>
      <c r="D265" s="57">
        <v>30388</v>
      </c>
      <c r="E265" s="55">
        <v>21705</v>
      </c>
      <c r="F265" s="55">
        <v>241</v>
      </c>
      <c r="G265" s="55">
        <v>1</v>
      </c>
      <c r="H265" s="55">
        <v>3</v>
      </c>
      <c r="I265" s="55">
        <v>2</v>
      </c>
      <c r="J265" s="55">
        <v>1</v>
      </c>
    </row>
    <row r="266" spans="1:10" ht="15" x14ac:dyDescent="0.4">
      <c r="A266" s="54">
        <v>45891</v>
      </c>
      <c r="B266" s="55" t="s">
        <v>62</v>
      </c>
      <c r="C266" s="55" t="s">
        <v>56</v>
      </c>
      <c r="D266" s="57">
        <v>8642</v>
      </c>
      <c r="E266" s="55">
        <v>6172</v>
      </c>
      <c r="F266" s="55">
        <v>69</v>
      </c>
      <c r="G266" s="55">
        <v>2</v>
      </c>
      <c r="H266" s="55">
        <v>2</v>
      </c>
      <c r="I266" s="55">
        <v>1</v>
      </c>
      <c r="J266" s="55">
        <v>0</v>
      </c>
    </row>
    <row r="267" spans="1:10" ht="15" x14ac:dyDescent="0.4">
      <c r="A267" s="54">
        <v>45892</v>
      </c>
      <c r="B267" s="55" t="s">
        <v>61</v>
      </c>
      <c r="C267" s="55" t="s">
        <v>56</v>
      </c>
      <c r="D267" s="57">
        <v>16517</v>
      </c>
      <c r="E267" s="55">
        <v>11797</v>
      </c>
      <c r="F267" s="55">
        <v>129</v>
      </c>
      <c r="G267" s="55">
        <v>3</v>
      </c>
      <c r="H267" s="55">
        <v>0</v>
      </c>
      <c r="I267" s="55">
        <v>0</v>
      </c>
      <c r="J267" s="55">
        <v>0</v>
      </c>
    </row>
    <row r="268" spans="1:10" ht="15" x14ac:dyDescent="0.4">
      <c r="A268" s="54">
        <v>45892</v>
      </c>
      <c r="B268" s="55" t="s">
        <v>63</v>
      </c>
      <c r="C268" s="55" t="s">
        <v>58</v>
      </c>
      <c r="D268" s="57">
        <v>6471</v>
      </c>
      <c r="E268" s="55">
        <v>1348</v>
      </c>
      <c r="F268" s="55">
        <v>69</v>
      </c>
      <c r="G268" s="55">
        <v>2</v>
      </c>
      <c r="H268" s="55">
        <v>1</v>
      </c>
      <c r="I268" s="55">
        <v>0</v>
      </c>
      <c r="J268" s="55">
        <v>0</v>
      </c>
    </row>
    <row r="269" spans="1:10" ht="15" x14ac:dyDescent="0.4">
      <c r="A269" s="54">
        <v>45892</v>
      </c>
      <c r="B269" s="55" t="s">
        <v>57</v>
      </c>
      <c r="C269" s="55" t="s">
        <v>58</v>
      </c>
      <c r="D269" s="57">
        <v>24444</v>
      </c>
      <c r="E269" s="55">
        <v>5092</v>
      </c>
      <c r="F269" s="55">
        <v>294</v>
      </c>
      <c r="G269" s="55">
        <v>1</v>
      </c>
      <c r="H269" s="55">
        <v>0</v>
      </c>
      <c r="I269" s="55">
        <v>2</v>
      </c>
      <c r="J269" s="55">
        <v>0</v>
      </c>
    </row>
    <row r="270" spans="1:10" ht="15" x14ac:dyDescent="0.4">
      <c r="A270" s="54">
        <v>45892</v>
      </c>
      <c r="B270" s="55" t="s">
        <v>55</v>
      </c>
      <c r="C270" s="55" t="s">
        <v>56</v>
      </c>
      <c r="D270" s="57">
        <v>33965</v>
      </c>
      <c r="E270" s="55">
        <v>24260</v>
      </c>
      <c r="F270" s="55">
        <v>300</v>
      </c>
      <c r="G270" s="55">
        <v>4</v>
      </c>
      <c r="H270" s="55">
        <v>2</v>
      </c>
      <c r="I270" s="55">
        <v>0</v>
      </c>
      <c r="J270" s="55">
        <v>0</v>
      </c>
    </row>
    <row r="271" spans="1:10" ht="15" x14ac:dyDescent="0.4">
      <c r="A271" s="54">
        <v>45892</v>
      </c>
      <c r="B271" s="55" t="s">
        <v>62</v>
      </c>
      <c r="C271" s="55" t="s">
        <v>56</v>
      </c>
      <c r="D271" s="57">
        <v>9048</v>
      </c>
      <c r="E271" s="55">
        <v>6462</v>
      </c>
      <c r="F271" s="55">
        <v>68</v>
      </c>
      <c r="G271" s="55">
        <v>1</v>
      </c>
      <c r="H271" s="55">
        <v>0</v>
      </c>
      <c r="I271" s="55">
        <v>1</v>
      </c>
      <c r="J271" s="55">
        <v>0</v>
      </c>
    </row>
    <row r="272" spans="1:10" ht="15" x14ac:dyDescent="0.4">
      <c r="A272" s="54">
        <v>45893</v>
      </c>
      <c r="B272" s="55" t="s">
        <v>61</v>
      </c>
      <c r="C272" s="55" t="s">
        <v>56</v>
      </c>
      <c r="D272" s="57">
        <v>18109</v>
      </c>
      <c r="E272" s="55">
        <v>12935</v>
      </c>
      <c r="F272" s="55">
        <v>142</v>
      </c>
      <c r="G272" s="55">
        <v>5</v>
      </c>
      <c r="H272" s="55">
        <v>1</v>
      </c>
      <c r="I272" s="55">
        <v>0</v>
      </c>
      <c r="J272" s="55">
        <v>0</v>
      </c>
    </row>
    <row r="273" spans="1:10" ht="15" x14ac:dyDescent="0.4">
      <c r="A273" s="54">
        <v>45893</v>
      </c>
      <c r="B273" s="55" t="s">
        <v>63</v>
      </c>
      <c r="C273" s="55" t="s">
        <v>58</v>
      </c>
      <c r="D273" s="57">
        <v>7189</v>
      </c>
      <c r="E273" s="55">
        <v>1497</v>
      </c>
      <c r="F273" s="55">
        <v>72</v>
      </c>
      <c r="G273" s="55">
        <v>3</v>
      </c>
      <c r="H273" s="55">
        <v>1</v>
      </c>
      <c r="I273" s="55">
        <v>0</v>
      </c>
      <c r="J273" s="55">
        <v>0</v>
      </c>
    </row>
    <row r="274" spans="1:10" ht="15" x14ac:dyDescent="0.4">
      <c r="A274" s="54">
        <v>45893</v>
      </c>
      <c r="B274" s="55" t="s">
        <v>57</v>
      </c>
      <c r="C274" s="55" t="s">
        <v>58</v>
      </c>
      <c r="D274" s="57">
        <v>21823</v>
      </c>
      <c r="E274" s="55">
        <v>4546</v>
      </c>
      <c r="F274" s="55">
        <v>205</v>
      </c>
      <c r="G274" s="55">
        <v>2</v>
      </c>
      <c r="H274" s="55">
        <v>2</v>
      </c>
      <c r="I274" s="55">
        <v>1</v>
      </c>
      <c r="J274" s="55">
        <v>0</v>
      </c>
    </row>
    <row r="275" spans="1:10" ht="15" x14ac:dyDescent="0.4">
      <c r="A275" s="54">
        <v>45893</v>
      </c>
      <c r="B275" s="55" t="s">
        <v>55</v>
      </c>
      <c r="C275" s="55" t="s">
        <v>56</v>
      </c>
      <c r="D275" s="57">
        <v>33722</v>
      </c>
      <c r="E275" s="55">
        <v>24087</v>
      </c>
      <c r="F275" s="55">
        <v>261</v>
      </c>
      <c r="G275" s="55">
        <v>8</v>
      </c>
      <c r="H275" s="55">
        <v>0</v>
      </c>
      <c r="I275" s="55">
        <v>1</v>
      </c>
      <c r="J275" s="55">
        <v>0</v>
      </c>
    </row>
    <row r="276" spans="1:10" ht="15" x14ac:dyDescent="0.4">
      <c r="A276" s="54">
        <v>45893</v>
      </c>
      <c r="B276" s="55" t="s">
        <v>62</v>
      </c>
      <c r="C276" s="55" t="s">
        <v>56</v>
      </c>
      <c r="D276" s="57">
        <v>8617</v>
      </c>
      <c r="E276" s="55">
        <v>6155</v>
      </c>
      <c r="F276" s="55">
        <v>58</v>
      </c>
      <c r="G276" s="55">
        <v>1</v>
      </c>
      <c r="H276" s="55">
        <v>0</v>
      </c>
      <c r="I276" s="55">
        <v>0</v>
      </c>
      <c r="J276" s="55">
        <v>0</v>
      </c>
    </row>
    <row r="277" spans="1:10" ht="15" x14ac:dyDescent="0.4">
      <c r="A277" s="54">
        <v>45894</v>
      </c>
      <c r="B277" s="55" t="s">
        <v>61</v>
      </c>
      <c r="C277" s="55" t="s">
        <v>56</v>
      </c>
      <c r="D277" s="57">
        <v>16657</v>
      </c>
      <c r="E277" s="55">
        <v>11897</v>
      </c>
      <c r="F277" s="55">
        <v>134</v>
      </c>
      <c r="G277" s="55">
        <v>3</v>
      </c>
      <c r="H277" s="55">
        <v>0</v>
      </c>
      <c r="I277" s="55">
        <v>0</v>
      </c>
      <c r="J277" s="55">
        <v>0</v>
      </c>
    </row>
    <row r="278" spans="1:10" ht="15" x14ac:dyDescent="0.4">
      <c r="A278" s="54">
        <v>45894</v>
      </c>
      <c r="B278" s="55" t="s">
        <v>63</v>
      </c>
      <c r="C278" s="55" t="s">
        <v>58</v>
      </c>
      <c r="D278" s="57">
        <v>6564</v>
      </c>
      <c r="E278" s="55">
        <v>1367</v>
      </c>
      <c r="F278" s="55">
        <v>76</v>
      </c>
      <c r="G278" s="55">
        <v>1</v>
      </c>
      <c r="H278" s="55">
        <v>0</v>
      </c>
      <c r="I278" s="55">
        <v>1</v>
      </c>
      <c r="J278" s="55">
        <v>2</v>
      </c>
    </row>
    <row r="279" spans="1:10" ht="15" x14ac:dyDescent="0.4">
      <c r="A279" s="54">
        <v>45894</v>
      </c>
      <c r="B279" s="55" t="s">
        <v>57</v>
      </c>
      <c r="C279" s="55" t="s">
        <v>58</v>
      </c>
      <c r="D279" s="57">
        <v>24334</v>
      </c>
      <c r="E279" s="55">
        <v>5069</v>
      </c>
      <c r="F279" s="55">
        <v>278</v>
      </c>
      <c r="G279" s="55">
        <v>3</v>
      </c>
      <c r="H279" s="55">
        <v>0</v>
      </c>
      <c r="I279" s="55">
        <v>0</v>
      </c>
      <c r="J279" s="55">
        <v>0</v>
      </c>
    </row>
    <row r="280" spans="1:10" ht="15" x14ac:dyDescent="0.4">
      <c r="A280" s="54">
        <v>45894</v>
      </c>
      <c r="B280" s="55" t="s">
        <v>55</v>
      </c>
      <c r="C280" s="55" t="s">
        <v>56</v>
      </c>
      <c r="D280" s="57">
        <v>31299</v>
      </c>
      <c r="E280" s="55">
        <v>22356</v>
      </c>
      <c r="F280" s="55">
        <v>218</v>
      </c>
      <c r="G280" s="55">
        <v>8</v>
      </c>
      <c r="H280" s="55">
        <v>1</v>
      </c>
      <c r="I280" s="55">
        <v>1</v>
      </c>
      <c r="J280" s="55">
        <v>0</v>
      </c>
    </row>
    <row r="281" spans="1:10" ht="15" x14ac:dyDescent="0.4">
      <c r="A281" s="54">
        <v>45894</v>
      </c>
      <c r="B281" s="55" t="s">
        <v>62</v>
      </c>
      <c r="C281" s="55" t="s">
        <v>56</v>
      </c>
      <c r="D281" s="57">
        <v>8528</v>
      </c>
      <c r="E281" s="55">
        <v>6091</v>
      </c>
      <c r="F281" s="55">
        <v>66</v>
      </c>
      <c r="G281" s="55">
        <v>4</v>
      </c>
      <c r="H281" s="55">
        <v>0</v>
      </c>
      <c r="I281" s="55">
        <v>1</v>
      </c>
      <c r="J281" s="55">
        <v>0</v>
      </c>
    </row>
    <row r="282" spans="1:10" ht="15" x14ac:dyDescent="0.4">
      <c r="A282" s="54">
        <v>45895</v>
      </c>
      <c r="B282" s="55" t="s">
        <v>61</v>
      </c>
      <c r="C282" s="55" t="s">
        <v>56</v>
      </c>
      <c r="D282" s="57">
        <v>15094</v>
      </c>
      <c r="E282" s="55">
        <v>10781</v>
      </c>
      <c r="F282" s="55">
        <v>123</v>
      </c>
      <c r="G282" s="55">
        <v>4</v>
      </c>
      <c r="H282" s="55">
        <v>2</v>
      </c>
      <c r="I282" s="55">
        <v>1</v>
      </c>
      <c r="J282" s="55">
        <v>0</v>
      </c>
    </row>
    <row r="283" spans="1:10" ht="15" x14ac:dyDescent="0.4">
      <c r="A283" s="54">
        <v>45895</v>
      </c>
      <c r="B283" s="55" t="s">
        <v>63</v>
      </c>
      <c r="C283" s="55" t="s">
        <v>58</v>
      </c>
      <c r="D283" s="57">
        <v>6196</v>
      </c>
      <c r="E283" s="55">
        <v>1290</v>
      </c>
      <c r="F283" s="55">
        <v>64</v>
      </c>
      <c r="G283" s="55">
        <v>2</v>
      </c>
      <c r="H283" s="55">
        <v>3</v>
      </c>
      <c r="I283" s="55">
        <v>0</v>
      </c>
      <c r="J283" s="55">
        <v>0</v>
      </c>
    </row>
    <row r="284" spans="1:10" ht="15" x14ac:dyDescent="0.4">
      <c r="A284" s="54">
        <v>45895</v>
      </c>
      <c r="B284" s="55" t="s">
        <v>57</v>
      </c>
      <c r="C284" s="55" t="s">
        <v>58</v>
      </c>
      <c r="D284" s="57">
        <v>21562</v>
      </c>
      <c r="E284" s="55">
        <v>4492</v>
      </c>
      <c r="F284" s="55">
        <v>205</v>
      </c>
      <c r="G284" s="55">
        <v>4</v>
      </c>
      <c r="H284" s="55">
        <v>0</v>
      </c>
      <c r="I284" s="55">
        <v>1</v>
      </c>
      <c r="J284" s="55">
        <v>0</v>
      </c>
    </row>
    <row r="285" spans="1:10" ht="15" x14ac:dyDescent="0.4">
      <c r="A285" s="54">
        <v>45895</v>
      </c>
      <c r="B285" s="55" t="s">
        <v>55</v>
      </c>
      <c r="C285" s="55" t="s">
        <v>56</v>
      </c>
      <c r="D285" s="57">
        <v>30585</v>
      </c>
      <c r="E285" s="55">
        <v>21846</v>
      </c>
      <c r="F285" s="55">
        <v>205</v>
      </c>
      <c r="G285" s="55">
        <v>12</v>
      </c>
      <c r="H285" s="55">
        <v>1</v>
      </c>
      <c r="I285" s="55">
        <v>1</v>
      </c>
      <c r="J285" s="55">
        <v>2</v>
      </c>
    </row>
    <row r="286" spans="1:10" ht="15" x14ac:dyDescent="0.4">
      <c r="A286" s="54">
        <v>45895</v>
      </c>
      <c r="B286" s="55" t="s">
        <v>62</v>
      </c>
      <c r="C286" s="55" t="s">
        <v>56</v>
      </c>
      <c r="D286" s="57">
        <v>10103</v>
      </c>
      <c r="E286" s="55">
        <v>7216</v>
      </c>
      <c r="F286" s="55">
        <v>70</v>
      </c>
      <c r="G286" s="55">
        <v>4</v>
      </c>
      <c r="H286" s="55">
        <v>1</v>
      </c>
      <c r="I286" s="55">
        <v>0</v>
      </c>
      <c r="J286" s="55">
        <v>0</v>
      </c>
    </row>
    <row r="287" spans="1:10" ht="15" x14ac:dyDescent="0.4">
      <c r="A287" s="54">
        <v>45896</v>
      </c>
      <c r="B287" s="55" t="s">
        <v>61</v>
      </c>
      <c r="C287" s="55" t="s">
        <v>56</v>
      </c>
      <c r="D287" s="57">
        <v>15977</v>
      </c>
      <c r="E287" s="55">
        <v>11412</v>
      </c>
      <c r="F287" s="55">
        <v>136</v>
      </c>
      <c r="G287" s="55">
        <v>4</v>
      </c>
      <c r="H287" s="55">
        <v>1</v>
      </c>
      <c r="I287" s="55">
        <v>1</v>
      </c>
      <c r="J287" s="55">
        <v>0</v>
      </c>
    </row>
    <row r="288" spans="1:10" ht="15" x14ac:dyDescent="0.4">
      <c r="A288" s="54">
        <v>45896</v>
      </c>
      <c r="B288" s="55" t="s">
        <v>63</v>
      </c>
      <c r="C288" s="55" t="s">
        <v>58</v>
      </c>
      <c r="D288" s="57">
        <v>7320</v>
      </c>
      <c r="E288" s="55">
        <v>1525</v>
      </c>
      <c r="F288" s="55">
        <v>71</v>
      </c>
      <c r="G288" s="55">
        <v>3</v>
      </c>
      <c r="H288" s="55">
        <v>3</v>
      </c>
      <c r="I288" s="55">
        <v>0</v>
      </c>
      <c r="J288" s="55">
        <v>0</v>
      </c>
    </row>
    <row r="289" spans="1:10" ht="15" x14ac:dyDescent="0.4">
      <c r="A289" s="54">
        <v>45896</v>
      </c>
      <c r="B289" s="55" t="s">
        <v>57</v>
      </c>
      <c r="C289" s="55" t="s">
        <v>58</v>
      </c>
      <c r="D289" s="57">
        <v>23150</v>
      </c>
      <c r="E289" s="55">
        <v>4822</v>
      </c>
      <c r="F289" s="55">
        <v>278</v>
      </c>
      <c r="G289" s="55">
        <v>7</v>
      </c>
      <c r="H289" s="55">
        <v>3</v>
      </c>
      <c r="I289" s="55">
        <v>0</v>
      </c>
      <c r="J289" s="55">
        <v>0</v>
      </c>
    </row>
    <row r="290" spans="1:10" ht="15" x14ac:dyDescent="0.4">
      <c r="A290" s="54">
        <v>45896</v>
      </c>
      <c r="B290" s="55" t="s">
        <v>55</v>
      </c>
      <c r="C290" s="55" t="s">
        <v>56</v>
      </c>
      <c r="D290" s="57">
        <v>33284</v>
      </c>
      <c r="E290" s="55">
        <v>23774</v>
      </c>
      <c r="F290" s="55">
        <v>272</v>
      </c>
      <c r="G290" s="55">
        <v>12</v>
      </c>
      <c r="H290" s="55">
        <v>3</v>
      </c>
      <c r="I290" s="55">
        <v>0</v>
      </c>
      <c r="J290" s="55">
        <v>0</v>
      </c>
    </row>
    <row r="291" spans="1:10" ht="15" x14ac:dyDescent="0.4">
      <c r="A291" s="54">
        <v>45896</v>
      </c>
      <c r="B291" s="55" t="s">
        <v>62</v>
      </c>
      <c r="C291" s="55" t="s">
        <v>56</v>
      </c>
      <c r="D291" s="57">
        <v>9869</v>
      </c>
      <c r="E291" s="55">
        <v>7049</v>
      </c>
      <c r="F291" s="55">
        <v>78</v>
      </c>
      <c r="G291" s="55">
        <v>3</v>
      </c>
      <c r="H291" s="55">
        <v>1</v>
      </c>
      <c r="I291" s="55">
        <v>0</v>
      </c>
      <c r="J291" s="55">
        <v>1</v>
      </c>
    </row>
    <row r="292" spans="1:10" ht="15" x14ac:dyDescent="0.4">
      <c r="A292" s="54">
        <v>45897</v>
      </c>
      <c r="B292" s="55" t="s">
        <v>61</v>
      </c>
      <c r="C292" s="55" t="s">
        <v>56</v>
      </c>
      <c r="D292" s="57">
        <v>17094</v>
      </c>
      <c r="E292" s="55">
        <v>12209</v>
      </c>
      <c r="F292" s="55">
        <v>145</v>
      </c>
      <c r="G292" s="55">
        <v>3</v>
      </c>
      <c r="H292" s="55">
        <v>0</v>
      </c>
      <c r="I292" s="55">
        <v>1</v>
      </c>
      <c r="J292" s="55">
        <v>0</v>
      </c>
    </row>
    <row r="293" spans="1:10" ht="15" x14ac:dyDescent="0.4">
      <c r="A293" s="54">
        <v>45897</v>
      </c>
      <c r="B293" s="55" t="s">
        <v>63</v>
      </c>
      <c r="C293" s="55" t="s">
        <v>58</v>
      </c>
      <c r="D293" s="57">
        <v>7209</v>
      </c>
      <c r="E293" s="55">
        <v>1501</v>
      </c>
      <c r="F293" s="55">
        <v>84</v>
      </c>
      <c r="G293" s="55">
        <v>1</v>
      </c>
      <c r="H293" s="55">
        <v>2</v>
      </c>
      <c r="I293" s="55">
        <v>1</v>
      </c>
      <c r="J293" s="55">
        <v>0</v>
      </c>
    </row>
    <row r="294" spans="1:10" ht="15" x14ac:dyDescent="0.4">
      <c r="A294" s="54">
        <v>45897</v>
      </c>
      <c r="B294" s="55" t="s">
        <v>57</v>
      </c>
      <c r="C294" s="55" t="s">
        <v>58</v>
      </c>
      <c r="D294" s="57">
        <v>22453</v>
      </c>
      <c r="E294" s="55">
        <v>4677</v>
      </c>
      <c r="F294" s="55">
        <v>215</v>
      </c>
      <c r="G294" s="55">
        <v>2</v>
      </c>
      <c r="H294" s="55">
        <v>2</v>
      </c>
      <c r="I294" s="55">
        <v>1</v>
      </c>
      <c r="J294" s="55">
        <v>0</v>
      </c>
    </row>
    <row r="295" spans="1:10" ht="15" x14ac:dyDescent="0.4">
      <c r="A295" s="54">
        <v>45897</v>
      </c>
      <c r="B295" s="55" t="s">
        <v>55</v>
      </c>
      <c r="C295" s="55" t="s">
        <v>56</v>
      </c>
      <c r="D295" s="57">
        <v>32789</v>
      </c>
      <c r="E295" s="55">
        <v>23420</v>
      </c>
      <c r="F295" s="55">
        <v>284</v>
      </c>
      <c r="G295" s="55">
        <v>8</v>
      </c>
      <c r="H295" s="55">
        <v>3</v>
      </c>
      <c r="I295" s="55">
        <v>1</v>
      </c>
      <c r="J295" s="55">
        <v>0</v>
      </c>
    </row>
    <row r="296" spans="1:10" ht="15" x14ac:dyDescent="0.4">
      <c r="A296" s="54">
        <v>45897</v>
      </c>
      <c r="B296" s="55" t="s">
        <v>62</v>
      </c>
      <c r="C296" s="55" t="s">
        <v>56</v>
      </c>
      <c r="D296" s="57">
        <v>8511</v>
      </c>
      <c r="E296" s="55">
        <v>6079</v>
      </c>
      <c r="F296" s="55">
        <v>75</v>
      </c>
      <c r="G296" s="55">
        <v>1</v>
      </c>
      <c r="H296" s="55">
        <v>3</v>
      </c>
      <c r="I296" s="55">
        <v>0</v>
      </c>
      <c r="J296" s="55">
        <v>0</v>
      </c>
    </row>
    <row r="297" spans="1:10" ht="15" x14ac:dyDescent="0.4">
      <c r="A297" s="54">
        <v>45898</v>
      </c>
      <c r="B297" s="55" t="s">
        <v>61</v>
      </c>
      <c r="C297" s="55" t="s">
        <v>56</v>
      </c>
      <c r="D297" s="57">
        <v>15243</v>
      </c>
      <c r="E297" s="55">
        <v>10887</v>
      </c>
      <c r="F297" s="55">
        <v>129</v>
      </c>
      <c r="G297" s="55">
        <v>2</v>
      </c>
      <c r="H297" s="55">
        <v>0</v>
      </c>
      <c r="I297" s="55">
        <v>0</v>
      </c>
      <c r="J297" s="55">
        <v>1</v>
      </c>
    </row>
    <row r="298" spans="1:10" ht="15" x14ac:dyDescent="0.4">
      <c r="A298" s="54">
        <v>45898</v>
      </c>
      <c r="B298" s="55" t="s">
        <v>63</v>
      </c>
      <c r="C298" s="55" t="s">
        <v>58</v>
      </c>
      <c r="D298" s="57">
        <v>6349</v>
      </c>
      <c r="E298" s="55">
        <v>1322</v>
      </c>
      <c r="F298" s="55">
        <v>68</v>
      </c>
      <c r="G298" s="55">
        <v>0</v>
      </c>
      <c r="H298" s="55">
        <v>0</v>
      </c>
      <c r="I298" s="55">
        <v>0</v>
      </c>
      <c r="J298" s="55">
        <v>1</v>
      </c>
    </row>
    <row r="299" spans="1:10" ht="15" x14ac:dyDescent="0.4">
      <c r="A299" s="54">
        <v>45898</v>
      </c>
      <c r="B299" s="55" t="s">
        <v>57</v>
      </c>
      <c r="C299" s="55" t="s">
        <v>58</v>
      </c>
      <c r="D299" s="57">
        <v>20362</v>
      </c>
      <c r="E299" s="55">
        <v>4242</v>
      </c>
      <c r="F299" s="55">
        <v>189</v>
      </c>
      <c r="G299" s="55">
        <v>0</v>
      </c>
      <c r="H299" s="55">
        <v>2</v>
      </c>
      <c r="I299" s="55">
        <v>0</v>
      </c>
      <c r="J299" s="55">
        <v>1</v>
      </c>
    </row>
    <row r="300" spans="1:10" ht="15" x14ac:dyDescent="0.4">
      <c r="A300" s="54">
        <v>45898</v>
      </c>
      <c r="B300" s="55" t="s">
        <v>55</v>
      </c>
      <c r="C300" s="55" t="s">
        <v>56</v>
      </c>
      <c r="D300" s="57">
        <v>29384</v>
      </c>
      <c r="E300" s="55">
        <v>20988</v>
      </c>
      <c r="F300" s="55">
        <v>216</v>
      </c>
      <c r="G300" s="55">
        <v>8</v>
      </c>
      <c r="H300" s="55">
        <v>5</v>
      </c>
      <c r="I300" s="55">
        <v>1</v>
      </c>
      <c r="J300" s="55">
        <v>0</v>
      </c>
    </row>
    <row r="301" spans="1:10" ht="15" x14ac:dyDescent="0.4">
      <c r="A301" s="54">
        <v>45898</v>
      </c>
      <c r="B301" s="55" t="s">
        <v>62</v>
      </c>
      <c r="C301" s="55" t="s">
        <v>56</v>
      </c>
      <c r="D301" s="57">
        <v>8761</v>
      </c>
      <c r="E301" s="55">
        <v>6257</v>
      </c>
      <c r="F301" s="55">
        <v>77</v>
      </c>
      <c r="G301" s="55">
        <v>4</v>
      </c>
      <c r="H301" s="55">
        <v>0</v>
      </c>
      <c r="I301" s="55">
        <v>0</v>
      </c>
      <c r="J301" s="55">
        <v>0</v>
      </c>
    </row>
    <row r="302" spans="1:10" ht="15" x14ac:dyDescent="0.4">
      <c r="A302" s="54">
        <v>45899</v>
      </c>
      <c r="B302" s="55" t="s">
        <v>61</v>
      </c>
      <c r="C302" s="55" t="s">
        <v>56</v>
      </c>
      <c r="D302" s="57">
        <v>18016</v>
      </c>
      <c r="E302" s="55">
        <v>12868</v>
      </c>
      <c r="F302" s="55">
        <v>161</v>
      </c>
      <c r="G302" s="55">
        <v>1</v>
      </c>
      <c r="H302" s="55">
        <v>1</v>
      </c>
      <c r="I302" s="55">
        <v>1</v>
      </c>
      <c r="J302" s="55">
        <v>0</v>
      </c>
    </row>
    <row r="303" spans="1:10" ht="15" x14ac:dyDescent="0.4">
      <c r="A303" s="54">
        <v>45899</v>
      </c>
      <c r="B303" s="55" t="s">
        <v>63</v>
      </c>
      <c r="C303" s="55" t="s">
        <v>58</v>
      </c>
      <c r="D303" s="57">
        <v>6199</v>
      </c>
      <c r="E303" s="55">
        <v>1291</v>
      </c>
      <c r="F303" s="55">
        <v>59</v>
      </c>
      <c r="G303" s="55">
        <v>1</v>
      </c>
      <c r="H303" s="55">
        <v>0</v>
      </c>
      <c r="I303" s="55">
        <v>2</v>
      </c>
      <c r="J303" s="55">
        <v>0</v>
      </c>
    </row>
    <row r="304" spans="1:10" ht="15" x14ac:dyDescent="0.4">
      <c r="A304" s="54">
        <v>45899</v>
      </c>
      <c r="B304" s="55" t="s">
        <v>57</v>
      </c>
      <c r="C304" s="55" t="s">
        <v>58</v>
      </c>
      <c r="D304" s="57">
        <v>21202</v>
      </c>
      <c r="E304" s="55">
        <v>4417</v>
      </c>
      <c r="F304" s="55">
        <v>195</v>
      </c>
      <c r="G304" s="55">
        <v>1</v>
      </c>
      <c r="H304" s="55">
        <v>0</v>
      </c>
      <c r="I304" s="55">
        <v>2</v>
      </c>
      <c r="J304" s="55">
        <v>0</v>
      </c>
    </row>
    <row r="305" spans="1:10" ht="15" x14ac:dyDescent="0.4">
      <c r="A305" s="54">
        <v>45899</v>
      </c>
      <c r="B305" s="55" t="s">
        <v>55</v>
      </c>
      <c r="C305" s="55" t="s">
        <v>56</v>
      </c>
      <c r="D305" s="57">
        <v>33359</v>
      </c>
      <c r="E305" s="55">
        <v>23827</v>
      </c>
      <c r="F305" s="55">
        <v>227</v>
      </c>
      <c r="G305" s="55">
        <v>7</v>
      </c>
      <c r="H305" s="55">
        <v>1</v>
      </c>
      <c r="I305" s="55">
        <v>0</v>
      </c>
      <c r="J305" s="55">
        <v>1</v>
      </c>
    </row>
    <row r="306" spans="1:10" ht="15" x14ac:dyDescent="0.4">
      <c r="A306" s="54">
        <v>45899</v>
      </c>
      <c r="B306" s="55" t="s">
        <v>62</v>
      </c>
      <c r="C306" s="55" t="s">
        <v>56</v>
      </c>
      <c r="D306" s="57">
        <v>9152</v>
      </c>
      <c r="E306" s="55">
        <v>6537</v>
      </c>
      <c r="F306" s="55">
        <v>68</v>
      </c>
      <c r="G306" s="55">
        <v>2</v>
      </c>
      <c r="H306" s="55">
        <v>0</v>
      </c>
      <c r="I306" s="55">
        <v>2</v>
      </c>
      <c r="J306" s="55">
        <v>0</v>
      </c>
    </row>
    <row r="307" spans="1:10" ht="15" x14ac:dyDescent="0.4">
      <c r="A307" s="54">
        <v>45900</v>
      </c>
      <c r="B307" s="55" t="s">
        <v>61</v>
      </c>
      <c r="C307" s="55" t="s">
        <v>56</v>
      </c>
      <c r="D307" s="57">
        <v>17365</v>
      </c>
      <c r="E307" s="55">
        <v>12403</v>
      </c>
      <c r="F307" s="55">
        <v>117</v>
      </c>
      <c r="G307" s="55">
        <v>1</v>
      </c>
      <c r="H307" s="55">
        <v>0</v>
      </c>
      <c r="I307" s="55">
        <v>0</v>
      </c>
      <c r="J307" s="55">
        <v>0</v>
      </c>
    </row>
    <row r="308" spans="1:10" ht="15" x14ac:dyDescent="0.4">
      <c r="A308" s="54">
        <v>45900</v>
      </c>
      <c r="B308" s="55" t="s">
        <v>63</v>
      </c>
      <c r="C308" s="55" t="s">
        <v>58</v>
      </c>
      <c r="D308" s="57">
        <v>7128</v>
      </c>
      <c r="E308" s="55">
        <v>1485</v>
      </c>
      <c r="F308" s="55">
        <v>74</v>
      </c>
      <c r="G308" s="55">
        <v>1</v>
      </c>
      <c r="H308" s="55">
        <v>0</v>
      </c>
      <c r="I308" s="55">
        <v>1</v>
      </c>
      <c r="J308" s="55">
        <v>0</v>
      </c>
    </row>
    <row r="309" spans="1:10" ht="15" x14ac:dyDescent="0.4">
      <c r="A309" s="54">
        <v>45900</v>
      </c>
      <c r="B309" s="55" t="s">
        <v>57</v>
      </c>
      <c r="C309" s="55" t="s">
        <v>58</v>
      </c>
      <c r="D309" s="57">
        <v>20800</v>
      </c>
      <c r="E309" s="55">
        <v>4333</v>
      </c>
      <c r="F309" s="55">
        <v>230</v>
      </c>
      <c r="G309" s="55">
        <v>6</v>
      </c>
      <c r="H309" s="55">
        <v>1</v>
      </c>
      <c r="I309" s="55">
        <v>0</v>
      </c>
      <c r="J309" s="55">
        <v>0</v>
      </c>
    </row>
    <row r="310" spans="1:10" ht="15" x14ac:dyDescent="0.4">
      <c r="A310" s="54">
        <v>45900</v>
      </c>
      <c r="B310" s="55" t="s">
        <v>55</v>
      </c>
      <c r="C310" s="55" t="s">
        <v>56</v>
      </c>
      <c r="D310" s="57">
        <v>33601</v>
      </c>
      <c r="E310" s="55">
        <v>24000</v>
      </c>
      <c r="F310" s="55">
        <v>292</v>
      </c>
      <c r="G310" s="55">
        <v>5</v>
      </c>
      <c r="H310" s="55">
        <v>2</v>
      </c>
      <c r="I310" s="55">
        <v>0</v>
      </c>
      <c r="J310" s="55">
        <v>0</v>
      </c>
    </row>
    <row r="311" spans="1:10" ht="15" x14ac:dyDescent="0.4">
      <c r="A311" s="54">
        <v>45900</v>
      </c>
      <c r="B311" s="55" t="s">
        <v>62</v>
      </c>
      <c r="C311" s="55" t="s">
        <v>56</v>
      </c>
      <c r="D311" s="57">
        <v>9223</v>
      </c>
      <c r="E311" s="55">
        <v>6587</v>
      </c>
      <c r="F311" s="55">
        <v>67</v>
      </c>
      <c r="G311" s="55">
        <v>2</v>
      </c>
      <c r="H311" s="55">
        <v>2</v>
      </c>
      <c r="I311" s="55">
        <v>0</v>
      </c>
      <c r="J311" s="55">
        <v>0</v>
      </c>
    </row>
    <row r="312" spans="1:10" ht="15" x14ac:dyDescent="0.4">
      <c r="A312" s="54">
        <v>45901</v>
      </c>
      <c r="B312" s="55" t="s">
        <v>61</v>
      </c>
      <c r="C312" s="55" t="s">
        <v>56</v>
      </c>
      <c r="D312" s="57">
        <v>16999</v>
      </c>
      <c r="E312" s="55">
        <v>12142</v>
      </c>
      <c r="F312" s="55">
        <v>135</v>
      </c>
      <c r="G312" s="55">
        <v>4</v>
      </c>
      <c r="H312" s="55">
        <v>0</v>
      </c>
      <c r="I312" s="55">
        <v>0</v>
      </c>
      <c r="J312" s="55">
        <v>0</v>
      </c>
    </row>
    <row r="313" spans="1:10" ht="15" x14ac:dyDescent="0.4">
      <c r="A313" s="54">
        <v>45901</v>
      </c>
      <c r="B313" s="55" t="s">
        <v>63</v>
      </c>
      <c r="C313" s="55" t="s">
        <v>58</v>
      </c>
      <c r="D313" s="57">
        <v>6521</v>
      </c>
      <c r="E313" s="55">
        <v>1358</v>
      </c>
      <c r="F313" s="55">
        <v>68</v>
      </c>
      <c r="G313" s="55">
        <v>3</v>
      </c>
      <c r="H313" s="55">
        <v>1</v>
      </c>
      <c r="I313" s="55">
        <v>1</v>
      </c>
      <c r="J313" s="55">
        <v>0</v>
      </c>
    </row>
    <row r="314" spans="1:10" ht="15" x14ac:dyDescent="0.4">
      <c r="A314" s="54">
        <v>45901</v>
      </c>
      <c r="B314" s="55" t="s">
        <v>57</v>
      </c>
      <c r="C314" s="55" t="s">
        <v>58</v>
      </c>
      <c r="D314" s="57">
        <v>24243</v>
      </c>
      <c r="E314" s="55">
        <v>5050</v>
      </c>
      <c r="F314" s="55">
        <v>261</v>
      </c>
      <c r="G314" s="55">
        <v>2</v>
      </c>
      <c r="H314" s="55">
        <v>0</v>
      </c>
      <c r="I314" s="55">
        <v>0</v>
      </c>
      <c r="J314" s="55">
        <v>0</v>
      </c>
    </row>
    <row r="315" spans="1:10" ht="15" x14ac:dyDescent="0.4">
      <c r="A315" s="54">
        <v>45901</v>
      </c>
      <c r="B315" s="55" t="s">
        <v>55</v>
      </c>
      <c r="C315" s="55" t="s">
        <v>56</v>
      </c>
      <c r="D315" s="57">
        <v>31292</v>
      </c>
      <c r="E315" s="55">
        <v>22351</v>
      </c>
      <c r="F315" s="55">
        <v>225</v>
      </c>
      <c r="G315" s="55">
        <v>8</v>
      </c>
      <c r="H315" s="55">
        <v>1</v>
      </c>
      <c r="I315" s="55">
        <v>1</v>
      </c>
      <c r="J315" s="55">
        <v>0</v>
      </c>
    </row>
    <row r="316" spans="1:10" ht="15" x14ac:dyDescent="0.4">
      <c r="A316" s="54">
        <v>45901</v>
      </c>
      <c r="B316" s="55" t="s">
        <v>62</v>
      </c>
      <c r="C316" s="55" t="s">
        <v>56</v>
      </c>
      <c r="D316" s="57">
        <v>9652</v>
      </c>
      <c r="E316" s="55">
        <v>6894</v>
      </c>
      <c r="F316" s="55">
        <v>69</v>
      </c>
      <c r="G316" s="55">
        <v>1</v>
      </c>
      <c r="H316" s="55">
        <v>1</v>
      </c>
      <c r="I316" s="55">
        <v>1</v>
      </c>
      <c r="J316" s="55">
        <v>1</v>
      </c>
    </row>
    <row r="317" spans="1:10" ht="15" x14ac:dyDescent="0.4">
      <c r="A317" s="54">
        <v>45902</v>
      </c>
      <c r="B317" s="55" t="s">
        <v>61</v>
      </c>
      <c r="C317" s="55" t="s">
        <v>56</v>
      </c>
      <c r="D317" s="57">
        <v>15497</v>
      </c>
      <c r="E317" s="55">
        <v>11069</v>
      </c>
      <c r="F317" s="55">
        <v>138</v>
      </c>
      <c r="G317" s="55">
        <v>7</v>
      </c>
      <c r="H317" s="55">
        <v>0</v>
      </c>
      <c r="I317" s="55">
        <v>0</v>
      </c>
      <c r="J317" s="55">
        <v>0</v>
      </c>
    </row>
    <row r="318" spans="1:10" ht="15" x14ac:dyDescent="0.4">
      <c r="A318" s="54">
        <v>45902</v>
      </c>
      <c r="B318" s="55" t="s">
        <v>63</v>
      </c>
      <c r="C318" s="55" t="s">
        <v>58</v>
      </c>
      <c r="D318" s="57">
        <v>6811</v>
      </c>
      <c r="E318" s="55">
        <v>1418</v>
      </c>
      <c r="F318" s="55">
        <v>75</v>
      </c>
      <c r="G318" s="55">
        <v>4</v>
      </c>
      <c r="H318" s="55">
        <v>2</v>
      </c>
      <c r="I318" s="55">
        <v>0</v>
      </c>
      <c r="J318" s="55">
        <v>0</v>
      </c>
    </row>
    <row r="319" spans="1:10" ht="15" x14ac:dyDescent="0.4">
      <c r="A319" s="54">
        <v>45902</v>
      </c>
      <c r="B319" s="55" t="s">
        <v>57</v>
      </c>
      <c r="C319" s="55" t="s">
        <v>58</v>
      </c>
      <c r="D319" s="57">
        <v>20980</v>
      </c>
      <c r="E319" s="55">
        <v>4370</v>
      </c>
      <c r="F319" s="55">
        <v>237</v>
      </c>
      <c r="G319" s="55">
        <v>1</v>
      </c>
      <c r="H319" s="55">
        <v>2</v>
      </c>
      <c r="I319" s="55">
        <v>1</v>
      </c>
      <c r="J319" s="55">
        <v>0</v>
      </c>
    </row>
    <row r="320" spans="1:10" ht="15" x14ac:dyDescent="0.4">
      <c r="A320" s="54">
        <v>45902</v>
      </c>
      <c r="B320" s="55" t="s">
        <v>55</v>
      </c>
      <c r="C320" s="55" t="s">
        <v>56</v>
      </c>
      <c r="D320" s="57">
        <v>34257</v>
      </c>
      <c r="E320" s="55">
        <v>24469</v>
      </c>
      <c r="F320" s="55">
        <v>308</v>
      </c>
      <c r="G320" s="55">
        <v>10</v>
      </c>
      <c r="H320" s="55">
        <v>3</v>
      </c>
      <c r="I320" s="55">
        <v>1</v>
      </c>
      <c r="J320" s="55">
        <v>0</v>
      </c>
    </row>
    <row r="321" spans="1:10" ht="15" x14ac:dyDescent="0.4">
      <c r="A321" s="54">
        <v>45902</v>
      </c>
      <c r="B321" s="55" t="s">
        <v>62</v>
      </c>
      <c r="C321" s="55" t="s">
        <v>56</v>
      </c>
      <c r="D321" s="57">
        <v>9672</v>
      </c>
      <c r="E321" s="55">
        <v>6908</v>
      </c>
      <c r="F321" s="55">
        <v>84</v>
      </c>
      <c r="G321" s="55">
        <v>3</v>
      </c>
      <c r="H321" s="55">
        <v>1</v>
      </c>
      <c r="I321" s="55">
        <v>0</v>
      </c>
      <c r="J321" s="55">
        <v>0</v>
      </c>
    </row>
    <row r="322" spans="1:10" ht="15" x14ac:dyDescent="0.4">
      <c r="A322" s="54">
        <v>45903</v>
      </c>
      <c r="B322" s="55" t="s">
        <v>61</v>
      </c>
      <c r="C322" s="55" t="s">
        <v>56</v>
      </c>
      <c r="D322" s="57">
        <v>16128</v>
      </c>
      <c r="E322" s="55">
        <v>11520</v>
      </c>
      <c r="F322" s="55">
        <v>134</v>
      </c>
      <c r="G322" s="55">
        <v>3</v>
      </c>
      <c r="H322" s="55">
        <v>1</v>
      </c>
      <c r="I322" s="55">
        <v>0</v>
      </c>
      <c r="J322" s="55">
        <v>0</v>
      </c>
    </row>
    <row r="323" spans="1:10" ht="15" x14ac:dyDescent="0.4">
      <c r="A323" s="54">
        <v>45903</v>
      </c>
      <c r="B323" s="55" t="s">
        <v>63</v>
      </c>
      <c r="C323" s="55" t="s">
        <v>58</v>
      </c>
      <c r="D323" s="57">
        <v>7246</v>
      </c>
      <c r="E323" s="55">
        <v>1509</v>
      </c>
      <c r="F323" s="55">
        <v>84</v>
      </c>
      <c r="G323" s="55">
        <v>3</v>
      </c>
      <c r="H323" s="55">
        <v>3</v>
      </c>
      <c r="I323" s="55">
        <v>0</v>
      </c>
      <c r="J323" s="55">
        <v>0</v>
      </c>
    </row>
    <row r="324" spans="1:10" ht="15" x14ac:dyDescent="0.4">
      <c r="A324" s="54">
        <v>45903</v>
      </c>
      <c r="B324" s="55" t="s">
        <v>57</v>
      </c>
      <c r="C324" s="55" t="s">
        <v>58</v>
      </c>
      <c r="D324" s="57">
        <v>21729</v>
      </c>
      <c r="E324" s="55">
        <v>4526</v>
      </c>
      <c r="F324" s="55">
        <v>248</v>
      </c>
      <c r="G324" s="55">
        <v>2</v>
      </c>
      <c r="H324" s="55">
        <v>1</v>
      </c>
      <c r="I324" s="55">
        <v>2</v>
      </c>
      <c r="J324" s="55">
        <v>0</v>
      </c>
    </row>
    <row r="325" spans="1:10" ht="15" x14ac:dyDescent="0.4">
      <c r="A325" s="54">
        <v>45903</v>
      </c>
      <c r="B325" s="55" t="s">
        <v>55</v>
      </c>
      <c r="C325" s="55" t="s">
        <v>56</v>
      </c>
      <c r="D325" s="57">
        <v>29165</v>
      </c>
      <c r="E325" s="55">
        <v>20832</v>
      </c>
      <c r="F325" s="55">
        <v>240</v>
      </c>
      <c r="G325" s="55">
        <v>4</v>
      </c>
      <c r="H325" s="55">
        <v>2</v>
      </c>
      <c r="I325" s="55">
        <v>1</v>
      </c>
      <c r="J325" s="55">
        <v>2</v>
      </c>
    </row>
    <row r="326" spans="1:10" ht="15" x14ac:dyDescent="0.4">
      <c r="A326" s="54">
        <v>45903</v>
      </c>
      <c r="B326" s="55" t="s">
        <v>62</v>
      </c>
      <c r="C326" s="55" t="s">
        <v>56</v>
      </c>
      <c r="D326" s="57">
        <v>9355</v>
      </c>
      <c r="E326" s="55">
        <v>6682</v>
      </c>
      <c r="F326" s="55">
        <v>62</v>
      </c>
      <c r="G326" s="55">
        <v>5</v>
      </c>
      <c r="H326" s="55">
        <v>0</v>
      </c>
      <c r="I326" s="55">
        <v>1</v>
      </c>
      <c r="J326" s="55">
        <v>0</v>
      </c>
    </row>
    <row r="327" spans="1:10" ht="15" x14ac:dyDescent="0.4">
      <c r="A327" s="54">
        <v>45904</v>
      </c>
      <c r="B327" s="55" t="s">
        <v>61</v>
      </c>
      <c r="C327" s="55" t="s">
        <v>56</v>
      </c>
      <c r="D327" s="57">
        <v>16039</v>
      </c>
      <c r="E327" s="55">
        <v>11456</v>
      </c>
      <c r="F327" s="55">
        <v>133</v>
      </c>
      <c r="G327" s="55">
        <v>2</v>
      </c>
      <c r="H327" s="55">
        <v>1</v>
      </c>
      <c r="I327" s="55">
        <v>0</v>
      </c>
      <c r="J327" s="55">
        <v>0</v>
      </c>
    </row>
    <row r="328" spans="1:10" ht="15" x14ac:dyDescent="0.4">
      <c r="A328" s="54">
        <v>45904</v>
      </c>
      <c r="B328" s="55" t="s">
        <v>63</v>
      </c>
      <c r="C328" s="55" t="s">
        <v>58</v>
      </c>
      <c r="D328" s="57">
        <v>7372</v>
      </c>
      <c r="E328" s="55">
        <v>1535</v>
      </c>
      <c r="F328" s="55">
        <v>87</v>
      </c>
      <c r="G328" s="55">
        <v>2</v>
      </c>
      <c r="H328" s="55">
        <v>1</v>
      </c>
      <c r="I328" s="55">
        <v>1</v>
      </c>
      <c r="J328" s="55">
        <v>0</v>
      </c>
    </row>
    <row r="329" spans="1:10" ht="15" x14ac:dyDescent="0.4">
      <c r="A329" s="54">
        <v>45904</v>
      </c>
      <c r="B329" s="55" t="s">
        <v>57</v>
      </c>
      <c r="C329" s="55" t="s">
        <v>58</v>
      </c>
      <c r="D329" s="57">
        <v>22905</v>
      </c>
      <c r="E329" s="55">
        <v>4771</v>
      </c>
      <c r="F329" s="55">
        <v>233</v>
      </c>
      <c r="G329" s="55">
        <v>6</v>
      </c>
      <c r="H329" s="55">
        <v>2</v>
      </c>
      <c r="I329" s="55">
        <v>0</v>
      </c>
      <c r="J329" s="55">
        <v>0</v>
      </c>
    </row>
    <row r="330" spans="1:10" ht="15" x14ac:dyDescent="0.4">
      <c r="A330" s="54">
        <v>45904</v>
      </c>
      <c r="B330" s="55" t="s">
        <v>55</v>
      </c>
      <c r="C330" s="55" t="s">
        <v>56</v>
      </c>
      <c r="D330" s="57">
        <v>30732</v>
      </c>
      <c r="E330" s="55">
        <v>21951</v>
      </c>
      <c r="F330" s="55">
        <v>219</v>
      </c>
      <c r="G330" s="55">
        <v>12</v>
      </c>
      <c r="H330" s="55">
        <v>1</v>
      </c>
      <c r="I330" s="55">
        <v>3</v>
      </c>
      <c r="J330" s="55">
        <v>0</v>
      </c>
    </row>
    <row r="331" spans="1:10" ht="15" x14ac:dyDescent="0.4">
      <c r="A331" s="54">
        <v>45904</v>
      </c>
      <c r="B331" s="55" t="s">
        <v>62</v>
      </c>
      <c r="C331" s="55" t="s">
        <v>56</v>
      </c>
      <c r="D331" s="57">
        <v>9980</v>
      </c>
      <c r="E331" s="55">
        <v>7128</v>
      </c>
      <c r="F331" s="55">
        <v>76</v>
      </c>
      <c r="G331" s="55">
        <v>2</v>
      </c>
      <c r="H331" s="55">
        <v>1</v>
      </c>
      <c r="I331" s="55">
        <v>0</v>
      </c>
      <c r="J331" s="55">
        <v>0</v>
      </c>
    </row>
    <row r="332" spans="1:10" ht="15" x14ac:dyDescent="0.4">
      <c r="A332" s="54">
        <v>45905</v>
      </c>
      <c r="B332" s="55" t="s">
        <v>61</v>
      </c>
      <c r="C332" s="55" t="s">
        <v>56</v>
      </c>
      <c r="D332" s="57">
        <v>16957</v>
      </c>
      <c r="E332" s="55">
        <v>12112</v>
      </c>
      <c r="F332" s="55">
        <v>115</v>
      </c>
      <c r="G332" s="55">
        <v>0</v>
      </c>
      <c r="H332" s="55">
        <v>1</v>
      </c>
      <c r="I332" s="55">
        <v>0</v>
      </c>
      <c r="J332" s="55">
        <v>1</v>
      </c>
    </row>
    <row r="333" spans="1:10" ht="15" x14ac:dyDescent="0.4">
      <c r="A333" s="54">
        <v>45905</v>
      </c>
      <c r="B333" s="55" t="s">
        <v>63</v>
      </c>
      <c r="C333" s="55" t="s">
        <v>58</v>
      </c>
      <c r="D333" s="57">
        <v>6611</v>
      </c>
      <c r="E333" s="55">
        <v>1377</v>
      </c>
      <c r="F333" s="55">
        <v>78</v>
      </c>
      <c r="G333" s="55">
        <v>3</v>
      </c>
      <c r="H333" s="55">
        <v>2</v>
      </c>
      <c r="I333" s="55">
        <v>0</v>
      </c>
      <c r="J333" s="55">
        <v>0</v>
      </c>
    </row>
    <row r="334" spans="1:10" ht="15" x14ac:dyDescent="0.4">
      <c r="A334" s="54">
        <v>45905</v>
      </c>
      <c r="B334" s="55" t="s">
        <v>57</v>
      </c>
      <c r="C334" s="55" t="s">
        <v>58</v>
      </c>
      <c r="D334" s="57">
        <v>22806</v>
      </c>
      <c r="E334" s="55">
        <v>4751</v>
      </c>
      <c r="F334" s="55">
        <v>231</v>
      </c>
      <c r="G334" s="55">
        <v>3</v>
      </c>
      <c r="H334" s="55">
        <v>1</v>
      </c>
      <c r="I334" s="55">
        <v>1</v>
      </c>
      <c r="J334" s="55">
        <v>0</v>
      </c>
    </row>
    <row r="335" spans="1:10" ht="15" x14ac:dyDescent="0.4">
      <c r="A335" s="54">
        <v>45905</v>
      </c>
      <c r="B335" s="55" t="s">
        <v>55</v>
      </c>
      <c r="C335" s="55" t="s">
        <v>56</v>
      </c>
      <c r="D335" s="57">
        <v>30470</v>
      </c>
      <c r="E335" s="55">
        <v>21764</v>
      </c>
      <c r="F335" s="55">
        <v>224</v>
      </c>
      <c r="G335" s="55">
        <v>4</v>
      </c>
      <c r="H335" s="55">
        <v>2</v>
      </c>
      <c r="I335" s="55">
        <v>0</v>
      </c>
      <c r="J335" s="55">
        <v>0</v>
      </c>
    </row>
    <row r="336" spans="1:10" ht="15" x14ac:dyDescent="0.4">
      <c r="A336" s="54">
        <v>45905</v>
      </c>
      <c r="B336" s="55" t="s">
        <v>62</v>
      </c>
      <c r="C336" s="55" t="s">
        <v>56</v>
      </c>
      <c r="D336" s="57">
        <v>8705</v>
      </c>
      <c r="E336" s="55">
        <v>6217</v>
      </c>
      <c r="F336" s="55">
        <v>71</v>
      </c>
      <c r="G336" s="55">
        <v>5</v>
      </c>
      <c r="H336" s="55">
        <v>1</v>
      </c>
      <c r="I336" s="55">
        <v>0</v>
      </c>
      <c r="J336" s="55">
        <v>0</v>
      </c>
    </row>
    <row r="337" spans="1:10" ht="15" x14ac:dyDescent="0.4">
      <c r="A337" s="54">
        <v>45906</v>
      </c>
      <c r="B337" s="55" t="s">
        <v>61</v>
      </c>
      <c r="C337" s="55" t="s">
        <v>56</v>
      </c>
      <c r="D337" s="57">
        <v>17434</v>
      </c>
      <c r="E337" s="55">
        <v>12452</v>
      </c>
      <c r="F337" s="55">
        <v>148</v>
      </c>
      <c r="G337" s="55">
        <v>5</v>
      </c>
      <c r="H337" s="55">
        <v>1</v>
      </c>
      <c r="I337" s="55">
        <v>1</v>
      </c>
      <c r="J337" s="55">
        <v>0</v>
      </c>
    </row>
    <row r="338" spans="1:10" ht="15" x14ac:dyDescent="0.4">
      <c r="A338" s="54">
        <v>45906</v>
      </c>
      <c r="B338" s="55" t="s">
        <v>63</v>
      </c>
      <c r="C338" s="55" t="s">
        <v>58</v>
      </c>
      <c r="D338" s="57">
        <v>6189</v>
      </c>
      <c r="E338" s="55">
        <v>1289</v>
      </c>
      <c r="F338" s="55">
        <v>63</v>
      </c>
      <c r="G338" s="55">
        <v>2</v>
      </c>
      <c r="H338" s="55">
        <v>1</v>
      </c>
      <c r="I338" s="55">
        <v>0</v>
      </c>
      <c r="J338" s="55">
        <v>0</v>
      </c>
    </row>
    <row r="339" spans="1:10" ht="15" x14ac:dyDescent="0.4">
      <c r="A339" s="54">
        <v>45906</v>
      </c>
      <c r="B339" s="55" t="s">
        <v>57</v>
      </c>
      <c r="C339" s="55" t="s">
        <v>58</v>
      </c>
      <c r="D339" s="57">
        <v>21265</v>
      </c>
      <c r="E339" s="55">
        <v>4430</v>
      </c>
      <c r="F339" s="55">
        <v>232</v>
      </c>
      <c r="G339" s="55">
        <v>2</v>
      </c>
      <c r="H339" s="55">
        <v>1</v>
      </c>
      <c r="I339" s="55">
        <v>0</v>
      </c>
      <c r="J339" s="55">
        <v>0</v>
      </c>
    </row>
    <row r="340" spans="1:10" ht="15" x14ac:dyDescent="0.4">
      <c r="A340" s="54">
        <v>45906</v>
      </c>
      <c r="B340" s="55" t="s">
        <v>55</v>
      </c>
      <c r="C340" s="55" t="s">
        <v>56</v>
      </c>
      <c r="D340" s="57">
        <v>32000</v>
      </c>
      <c r="E340" s="55">
        <v>22857</v>
      </c>
      <c r="F340" s="55">
        <v>246</v>
      </c>
      <c r="G340" s="55">
        <v>9</v>
      </c>
      <c r="H340" s="55">
        <v>1</v>
      </c>
      <c r="I340" s="55">
        <v>1</v>
      </c>
      <c r="J340" s="55">
        <v>0</v>
      </c>
    </row>
    <row r="341" spans="1:10" ht="15" x14ac:dyDescent="0.4">
      <c r="A341" s="54">
        <v>45906</v>
      </c>
      <c r="B341" s="55" t="s">
        <v>62</v>
      </c>
      <c r="C341" s="55" t="s">
        <v>56</v>
      </c>
      <c r="D341" s="57">
        <v>8804</v>
      </c>
      <c r="E341" s="55">
        <v>6288</v>
      </c>
      <c r="F341" s="55">
        <v>64</v>
      </c>
      <c r="G341" s="55">
        <v>3</v>
      </c>
      <c r="H341" s="55">
        <v>2</v>
      </c>
      <c r="I341" s="55">
        <v>1</v>
      </c>
      <c r="J341" s="55">
        <v>0</v>
      </c>
    </row>
    <row r="342" spans="1:10" ht="15" x14ac:dyDescent="0.4">
      <c r="A342" s="54">
        <v>45907</v>
      </c>
      <c r="B342" s="55" t="s">
        <v>61</v>
      </c>
      <c r="C342" s="55" t="s">
        <v>56</v>
      </c>
      <c r="D342" s="57">
        <v>15292</v>
      </c>
      <c r="E342" s="55">
        <v>10922</v>
      </c>
      <c r="F342" s="55">
        <v>115</v>
      </c>
      <c r="G342" s="55">
        <v>1</v>
      </c>
      <c r="H342" s="55">
        <v>1</v>
      </c>
      <c r="I342" s="55">
        <v>1</v>
      </c>
      <c r="J342" s="55">
        <v>0</v>
      </c>
    </row>
    <row r="343" spans="1:10" ht="15" x14ac:dyDescent="0.4">
      <c r="A343" s="54">
        <v>45907</v>
      </c>
      <c r="B343" s="55" t="s">
        <v>63</v>
      </c>
      <c r="C343" s="55" t="s">
        <v>58</v>
      </c>
      <c r="D343" s="57">
        <v>6491</v>
      </c>
      <c r="E343" s="55">
        <v>1352</v>
      </c>
      <c r="F343" s="55">
        <v>80</v>
      </c>
      <c r="G343" s="55">
        <v>1</v>
      </c>
      <c r="H343" s="55">
        <v>0</v>
      </c>
      <c r="I343" s="55">
        <v>0</v>
      </c>
      <c r="J343" s="55">
        <v>0</v>
      </c>
    </row>
    <row r="344" spans="1:10" ht="15" x14ac:dyDescent="0.4">
      <c r="A344" s="54">
        <v>45907</v>
      </c>
      <c r="B344" s="55" t="s">
        <v>57</v>
      </c>
      <c r="C344" s="55" t="s">
        <v>58</v>
      </c>
      <c r="D344" s="57">
        <v>24370</v>
      </c>
      <c r="E344" s="55">
        <v>5077</v>
      </c>
      <c r="F344" s="55">
        <v>226</v>
      </c>
      <c r="G344" s="55">
        <v>3</v>
      </c>
      <c r="H344" s="55">
        <v>1</v>
      </c>
      <c r="I344" s="55">
        <v>2</v>
      </c>
      <c r="J344" s="55">
        <v>0</v>
      </c>
    </row>
    <row r="345" spans="1:10" ht="15" x14ac:dyDescent="0.4">
      <c r="A345" s="54">
        <v>45907</v>
      </c>
      <c r="B345" s="55" t="s">
        <v>55</v>
      </c>
      <c r="C345" s="55" t="s">
        <v>56</v>
      </c>
      <c r="D345" s="57">
        <v>30713</v>
      </c>
      <c r="E345" s="55">
        <v>21937</v>
      </c>
      <c r="F345" s="55">
        <v>265</v>
      </c>
      <c r="G345" s="55">
        <v>7</v>
      </c>
      <c r="H345" s="55">
        <v>1</v>
      </c>
      <c r="I345" s="55">
        <v>1</v>
      </c>
      <c r="J345" s="55">
        <v>1</v>
      </c>
    </row>
    <row r="346" spans="1:10" ht="15" x14ac:dyDescent="0.4">
      <c r="A346" s="54">
        <v>45907</v>
      </c>
      <c r="B346" s="55" t="s">
        <v>62</v>
      </c>
      <c r="C346" s="55" t="s">
        <v>56</v>
      </c>
      <c r="D346" s="57">
        <v>9404</v>
      </c>
      <c r="E346" s="55">
        <v>6717</v>
      </c>
      <c r="F346" s="55">
        <v>64</v>
      </c>
      <c r="G346" s="55">
        <v>3</v>
      </c>
      <c r="H346" s="55">
        <v>0</v>
      </c>
      <c r="I346" s="55">
        <v>0</v>
      </c>
      <c r="J346" s="55">
        <v>1</v>
      </c>
    </row>
    <row r="347" spans="1:10" ht="15" x14ac:dyDescent="0.4">
      <c r="A347" s="54">
        <v>45908</v>
      </c>
      <c r="B347" s="55" t="s">
        <v>61</v>
      </c>
      <c r="C347" s="55" t="s">
        <v>56</v>
      </c>
      <c r="D347" s="57">
        <v>15603</v>
      </c>
      <c r="E347" s="55">
        <v>11145</v>
      </c>
      <c r="F347" s="55">
        <v>138</v>
      </c>
      <c r="G347" s="55">
        <v>6</v>
      </c>
      <c r="H347" s="55">
        <v>0</v>
      </c>
      <c r="I347" s="55">
        <v>0</v>
      </c>
      <c r="J347" s="55">
        <v>0</v>
      </c>
    </row>
    <row r="348" spans="1:10" ht="15" x14ac:dyDescent="0.4">
      <c r="A348" s="54">
        <v>45908</v>
      </c>
      <c r="B348" s="55" t="s">
        <v>63</v>
      </c>
      <c r="C348" s="55" t="s">
        <v>58</v>
      </c>
      <c r="D348" s="57">
        <v>7436</v>
      </c>
      <c r="E348" s="55">
        <v>1549</v>
      </c>
      <c r="F348" s="55">
        <v>79</v>
      </c>
      <c r="G348" s="55">
        <v>3</v>
      </c>
      <c r="H348" s="55">
        <v>0</v>
      </c>
      <c r="I348" s="55">
        <v>0</v>
      </c>
      <c r="J348" s="55">
        <v>2</v>
      </c>
    </row>
    <row r="349" spans="1:10" ht="15" x14ac:dyDescent="0.4">
      <c r="A349" s="54">
        <v>45908</v>
      </c>
      <c r="B349" s="55" t="s">
        <v>57</v>
      </c>
      <c r="C349" s="55" t="s">
        <v>58</v>
      </c>
      <c r="D349" s="57">
        <v>23274</v>
      </c>
      <c r="E349" s="55">
        <v>4848</v>
      </c>
      <c r="F349" s="55">
        <v>280</v>
      </c>
      <c r="G349" s="55">
        <v>3</v>
      </c>
      <c r="H349" s="55">
        <v>1</v>
      </c>
      <c r="I349" s="55">
        <v>0</v>
      </c>
      <c r="J349" s="55">
        <v>1</v>
      </c>
    </row>
    <row r="350" spans="1:10" ht="15" x14ac:dyDescent="0.4">
      <c r="A350" s="54">
        <v>45908</v>
      </c>
      <c r="B350" s="55" t="s">
        <v>55</v>
      </c>
      <c r="C350" s="55" t="s">
        <v>56</v>
      </c>
      <c r="D350" s="57">
        <v>31567</v>
      </c>
      <c r="E350" s="55">
        <v>22547</v>
      </c>
      <c r="F350" s="55">
        <v>233</v>
      </c>
      <c r="G350" s="55">
        <v>10</v>
      </c>
      <c r="H350" s="55">
        <v>2</v>
      </c>
      <c r="I350" s="55">
        <v>0</v>
      </c>
      <c r="J350" s="55">
        <v>1</v>
      </c>
    </row>
    <row r="351" spans="1:10" ht="15" x14ac:dyDescent="0.4">
      <c r="A351" s="54">
        <v>45908</v>
      </c>
      <c r="B351" s="55" t="s">
        <v>62</v>
      </c>
      <c r="C351" s="55" t="s">
        <v>56</v>
      </c>
      <c r="D351" s="57">
        <v>9882</v>
      </c>
      <c r="E351" s="55">
        <v>7058</v>
      </c>
      <c r="F351" s="55">
        <v>87</v>
      </c>
      <c r="G351" s="55">
        <v>4</v>
      </c>
      <c r="H351" s="55">
        <v>0</v>
      </c>
      <c r="I351" s="55">
        <v>0</v>
      </c>
      <c r="J351" s="55">
        <v>0</v>
      </c>
    </row>
    <row r="352" spans="1:10" ht="15" x14ac:dyDescent="0.4">
      <c r="A352" s="54">
        <v>45909</v>
      </c>
      <c r="B352" s="55" t="s">
        <v>61</v>
      </c>
      <c r="C352" s="55" t="s">
        <v>56</v>
      </c>
      <c r="D352" s="57">
        <v>17951</v>
      </c>
      <c r="E352" s="55">
        <v>12822</v>
      </c>
      <c r="F352" s="55">
        <v>139</v>
      </c>
      <c r="G352" s="55">
        <v>3</v>
      </c>
      <c r="H352" s="55">
        <v>1</v>
      </c>
      <c r="I352" s="55">
        <v>0</v>
      </c>
      <c r="J352" s="55">
        <v>0</v>
      </c>
    </row>
    <row r="353" spans="1:10" ht="15" x14ac:dyDescent="0.4">
      <c r="A353" s="54">
        <v>45909</v>
      </c>
      <c r="B353" s="55" t="s">
        <v>63</v>
      </c>
      <c r="C353" s="55" t="s">
        <v>58</v>
      </c>
      <c r="D353" s="57">
        <v>7077</v>
      </c>
      <c r="E353" s="55">
        <v>1474</v>
      </c>
      <c r="F353" s="55">
        <v>86</v>
      </c>
      <c r="G353" s="55">
        <v>3</v>
      </c>
      <c r="H353" s="55">
        <v>0</v>
      </c>
      <c r="I353" s="55">
        <v>1</v>
      </c>
      <c r="J353" s="55">
        <v>0</v>
      </c>
    </row>
    <row r="354" spans="1:10" ht="15" x14ac:dyDescent="0.4">
      <c r="A354" s="54">
        <v>45909</v>
      </c>
      <c r="B354" s="55" t="s">
        <v>57</v>
      </c>
      <c r="C354" s="55" t="s">
        <v>58</v>
      </c>
      <c r="D354" s="57">
        <v>23003</v>
      </c>
      <c r="E354" s="55">
        <v>4792</v>
      </c>
      <c r="F354" s="55">
        <v>211</v>
      </c>
      <c r="G354" s="55">
        <v>6</v>
      </c>
      <c r="H354" s="55">
        <v>2</v>
      </c>
      <c r="I354" s="55">
        <v>1</v>
      </c>
      <c r="J354" s="55">
        <v>1</v>
      </c>
    </row>
    <row r="355" spans="1:10" ht="15" x14ac:dyDescent="0.4">
      <c r="A355" s="54">
        <v>45909</v>
      </c>
      <c r="B355" s="55" t="s">
        <v>55</v>
      </c>
      <c r="C355" s="55" t="s">
        <v>56</v>
      </c>
      <c r="D355" s="57">
        <v>32283</v>
      </c>
      <c r="E355" s="55">
        <v>23059</v>
      </c>
      <c r="F355" s="55">
        <v>241</v>
      </c>
      <c r="G355" s="55">
        <v>12</v>
      </c>
      <c r="H355" s="55">
        <v>2</v>
      </c>
      <c r="I355" s="55">
        <v>2</v>
      </c>
      <c r="J355" s="55">
        <v>0</v>
      </c>
    </row>
    <row r="356" spans="1:10" ht="15" x14ac:dyDescent="0.4">
      <c r="A356" s="54">
        <v>45909</v>
      </c>
      <c r="B356" s="55" t="s">
        <v>62</v>
      </c>
      <c r="C356" s="55" t="s">
        <v>56</v>
      </c>
      <c r="D356" s="57">
        <v>8885</v>
      </c>
      <c r="E356" s="55">
        <v>6346</v>
      </c>
      <c r="F356" s="55">
        <v>64</v>
      </c>
      <c r="G356" s="55">
        <v>2</v>
      </c>
      <c r="H356" s="55">
        <v>0</v>
      </c>
      <c r="I356" s="55">
        <v>0</v>
      </c>
      <c r="J356" s="55">
        <v>0</v>
      </c>
    </row>
    <row r="357" spans="1:10" ht="15" x14ac:dyDescent="0.4">
      <c r="A357" s="54">
        <v>45910</v>
      </c>
      <c r="B357" s="55" t="s">
        <v>61</v>
      </c>
      <c r="C357" s="55" t="s">
        <v>56</v>
      </c>
      <c r="D357" s="57">
        <v>15709</v>
      </c>
      <c r="E357" s="55">
        <v>11220</v>
      </c>
      <c r="F357" s="55">
        <v>134</v>
      </c>
      <c r="G357" s="55">
        <v>4</v>
      </c>
      <c r="H357" s="55">
        <v>0</v>
      </c>
      <c r="I357" s="55">
        <v>0</v>
      </c>
      <c r="J357" s="55">
        <v>0</v>
      </c>
    </row>
    <row r="358" spans="1:10" ht="15" x14ac:dyDescent="0.4">
      <c r="A358" s="54">
        <v>45910</v>
      </c>
      <c r="B358" s="55" t="s">
        <v>63</v>
      </c>
      <c r="C358" s="55" t="s">
        <v>58</v>
      </c>
      <c r="D358" s="57">
        <v>7440</v>
      </c>
      <c r="E358" s="55">
        <v>1550</v>
      </c>
      <c r="F358" s="55">
        <v>90</v>
      </c>
      <c r="G358" s="55">
        <v>3</v>
      </c>
      <c r="H358" s="55">
        <v>2</v>
      </c>
      <c r="I358" s="55">
        <v>0</v>
      </c>
      <c r="J358" s="55">
        <v>0</v>
      </c>
    </row>
    <row r="359" spans="1:10" ht="15" x14ac:dyDescent="0.4">
      <c r="A359" s="54">
        <v>45910</v>
      </c>
      <c r="B359" s="55" t="s">
        <v>57</v>
      </c>
      <c r="C359" s="55" t="s">
        <v>58</v>
      </c>
      <c r="D359" s="57">
        <v>23509</v>
      </c>
      <c r="E359" s="55">
        <v>4897</v>
      </c>
      <c r="F359" s="55">
        <v>242</v>
      </c>
      <c r="G359" s="55">
        <v>7</v>
      </c>
      <c r="H359" s="55">
        <v>2</v>
      </c>
      <c r="I359" s="55">
        <v>0</v>
      </c>
      <c r="J359" s="55">
        <v>1</v>
      </c>
    </row>
    <row r="360" spans="1:10" ht="15" x14ac:dyDescent="0.4">
      <c r="A360" s="54">
        <v>45910</v>
      </c>
      <c r="B360" s="55" t="s">
        <v>55</v>
      </c>
      <c r="C360" s="55" t="s">
        <v>56</v>
      </c>
      <c r="D360" s="57">
        <v>34209</v>
      </c>
      <c r="E360" s="55">
        <v>24435</v>
      </c>
      <c r="F360" s="55">
        <v>256</v>
      </c>
      <c r="G360" s="55">
        <v>12</v>
      </c>
      <c r="H360" s="55">
        <v>4</v>
      </c>
      <c r="I360" s="55">
        <v>0</v>
      </c>
      <c r="J360" s="55">
        <v>0</v>
      </c>
    </row>
    <row r="361" spans="1:10" ht="15" x14ac:dyDescent="0.4">
      <c r="A361" s="54">
        <v>45910</v>
      </c>
      <c r="B361" s="55" t="s">
        <v>62</v>
      </c>
      <c r="C361" s="55" t="s">
        <v>56</v>
      </c>
      <c r="D361" s="57">
        <v>9619</v>
      </c>
      <c r="E361" s="55">
        <v>6870</v>
      </c>
      <c r="F361" s="55">
        <v>66</v>
      </c>
      <c r="G361" s="55">
        <v>3</v>
      </c>
      <c r="H361" s="55">
        <v>0</v>
      </c>
      <c r="I361" s="55">
        <v>0</v>
      </c>
      <c r="J361" s="55">
        <v>0</v>
      </c>
    </row>
    <row r="362" spans="1:10" ht="15" x14ac:dyDescent="0.4">
      <c r="A362" s="54">
        <v>45911</v>
      </c>
      <c r="B362" s="55" t="s">
        <v>61</v>
      </c>
      <c r="C362" s="55" t="s">
        <v>56</v>
      </c>
      <c r="D362" s="57">
        <v>15702</v>
      </c>
      <c r="E362" s="55">
        <v>11215</v>
      </c>
      <c r="F362" s="55">
        <v>112</v>
      </c>
      <c r="G362" s="55">
        <v>5</v>
      </c>
      <c r="H362" s="55">
        <v>0</v>
      </c>
      <c r="I362" s="55">
        <v>0</v>
      </c>
      <c r="J362" s="55">
        <v>0</v>
      </c>
    </row>
    <row r="363" spans="1:10" ht="15" x14ac:dyDescent="0.4">
      <c r="A363" s="54">
        <v>45911</v>
      </c>
      <c r="B363" s="55" t="s">
        <v>63</v>
      </c>
      <c r="C363" s="55" t="s">
        <v>58</v>
      </c>
      <c r="D363" s="57">
        <v>7227</v>
      </c>
      <c r="E363" s="55">
        <v>1505</v>
      </c>
      <c r="F363" s="55">
        <v>69</v>
      </c>
      <c r="G363" s="55">
        <v>3</v>
      </c>
      <c r="H363" s="55">
        <v>1</v>
      </c>
      <c r="I363" s="55">
        <v>0</v>
      </c>
      <c r="J363" s="55">
        <v>0</v>
      </c>
    </row>
    <row r="364" spans="1:10" ht="15" x14ac:dyDescent="0.4">
      <c r="A364" s="54">
        <v>45911</v>
      </c>
      <c r="B364" s="55" t="s">
        <v>57</v>
      </c>
      <c r="C364" s="55" t="s">
        <v>58</v>
      </c>
      <c r="D364" s="57">
        <v>23190</v>
      </c>
      <c r="E364" s="55">
        <v>4831</v>
      </c>
      <c r="F364" s="55">
        <v>224</v>
      </c>
      <c r="G364" s="55">
        <v>3</v>
      </c>
      <c r="H364" s="55">
        <v>2</v>
      </c>
      <c r="I364" s="55">
        <v>2</v>
      </c>
      <c r="J364" s="55">
        <v>0</v>
      </c>
    </row>
    <row r="365" spans="1:10" ht="15" x14ac:dyDescent="0.4">
      <c r="A365" s="54">
        <v>45911</v>
      </c>
      <c r="B365" s="55" t="s">
        <v>55</v>
      </c>
      <c r="C365" s="55" t="s">
        <v>56</v>
      </c>
      <c r="D365" s="57">
        <v>32507</v>
      </c>
      <c r="E365" s="55">
        <v>23219</v>
      </c>
      <c r="F365" s="55">
        <v>260</v>
      </c>
      <c r="G365" s="55">
        <v>8</v>
      </c>
      <c r="H365" s="55">
        <v>0</v>
      </c>
      <c r="I365" s="55">
        <v>2</v>
      </c>
      <c r="J365" s="55">
        <v>1</v>
      </c>
    </row>
    <row r="366" spans="1:10" ht="15" x14ac:dyDescent="0.4">
      <c r="A366" s="54">
        <v>45911</v>
      </c>
      <c r="B366" s="55" t="s">
        <v>62</v>
      </c>
      <c r="C366" s="55" t="s">
        <v>56</v>
      </c>
      <c r="D366" s="57">
        <v>8931</v>
      </c>
      <c r="E366" s="55">
        <v>6379</v>
      </c>
      <c r="F366" s="55">
        <v>77</v>
      </c>
      <c r="G366" s="55">
        <v>3</v>
      </c>
      <c r="H366" s="55">
        <v>3</v>
      </c>
      <c r="I366" s="55">
        <v>0</v>
      </c>
      <c r="J366" s="55">
        <v>0</v>
      </c>
    </row>
    <row r="367" spans="1:10" ht="15" x14ac:dyDescent="0.4">
      <c r="A367" s="54">
        <v>45912</v>
      </c>
      <c r="B367" s="55" t="s">
        <v>61</v>
      </c>
      <c r="C367" s="55" t="s">
        <v>56</v>
      </c>
      <c r="D367" s="57">
        <v>16994</v>
      </c>
      <c r="E367" s="55">
        <v>12138</v>
      </c>
      <c r="F367" s="55">
        <v>131</v>
      </c>
      <c r="G367" s="55">
        <v>6</v>
      </c>
      <c r="H367" s="55">
        <v>1</v>
      </c>
      <c r="I367" s="55">
        <v>0</v>
      </c>
      <c r="J367" s="55">
        <v>0</v>
      </c>
    </row>
    <row r="368" spans="1:10" ht="15" x14ac:dyDescent="0.4">
      <c r="A368" s="54">
        <v>45912</v>
      </c>
      <c r="B368" s="55" t="s">
        <v>63</v>
      </c>
      <c r="C368" s="55" t="s">
        <v>58</v>
      </c>
      <c r="D368" s="57">
        <v>7045</v>
      </c>
      <c r="E368" s="55">
        <v>1467</v>
      </c>
      <c r="F368" s="55">
        <v>76</v>
      </c>
      <c r="G368" s="55">
        <v>4</v>
      </c>
      <c r="H368" s="55">
        <v>0</v>
      </c>
      <c r="I368" s="55">
        <v>0</v>
      </c>
      <c r="J368" s="55">
        <v>0</v>
      </c>
    </row>
    <row r="369" spans="1:10" ht="15" x14ac:dyDescent="0.4">
      <c r="A369" s="54">
        <v>45912</v>
      </c>
      <c r="B369" s="55" t="s">
        <v>57</v>
      </c>
      <c r="C369" s="55" t="s">
        <v>58</v>
      </c>
      <c r="D369" s="57">
        <v>23330</v>
      </c>
      <c r="E369" s="55">
        <v>4860</v>
      </c>
      <c r="F369" s="55">
        <v>243</v>
      </c>
      <c r="G369" s="55">
        <v>2</v>
      </c>
      <c r="H369" s="55">
        <v>1</v>
      </c>
      <c r="I369" s="55">
        <v>0</v>
      </c>
      <c r="J369" s="55">
        <v>0</v>
      </c>
    </row>
    <row r="370" spans="1:10" ht="15" x14ac:dyDescent="0.4">
      <c r="A370" s="54">
        <v>45912</v>
      </c>
      <c r="B370" s="55" t="s">
        <v>55</v>
      </c>
      <c r="C370" s="55" t="s">
        <v>56</v>
      </c>
      <c r="D370" s="57">
        <v>29286</v>
      </c>
      <c r="E370" s="55">
        <v>20918</v>
      </c>
      <c r="F370" s="55">
        <v>222</v>
      </c>
      <c r="G370" s="55">
        <v>7</v>
      </c>
      <c r="H370" s="55">
        <v>2</v>
      </c>
      <c r="I370" s="55">
        <v>0</v>
      </c>
      <c r="J370" s="55">
        <v>0</v>
      </c>
    </row>
    <row r="371" spans="1:10" ht="15" x14ac:dyDescent="0.4">
      <c r="A371" s="54">
        <v>45912</v>
      </c>
      <c r="B371" s="55" t="s">
        <v>62</v>
      </c>
      <c r="C371" s="55" t="s">
        <v>56</v>
      </c>
      <c r="D371" s="57">
        <v>9347</v>
      </c>
      <c r="E371" s="55">
        <v>6676</v>
      </c>
      <c r="F371" s="55">
        <v>81</v>
      </c>
      <c r="G371" s="55">
        <v>4</v>
      </c>
      <c r="H371" s="55">
        <v>2</v>
      </c>
      <c r="I371" s="55">
        <v>0</v>
      </c>
      <c r="J371" s="55">
        <v>1</v>
      </c>
    </row>
    <row r="372" spans="1:10" ht="15" x14ac:dyDescent="0.4">
      <c r="A372" s="54">
        <v>45913</v>
      </c>
      <c r="B372" s="55" t="s">
        <v>61</v>
      </c>
      <c r="C372" s="55" t="s">
        <v>56</v>
      </c>
      <c r="D372" s="57">
        <v>16825</v>
      </c>
      <c r="E372" s="55">
        <v>12017</v>
      </c>
      <c r="F372" s="55">
        <v>147</v>
      </c>
      <c r="G372" s="55">
        <v>1</v>
      </c>
      <c r="H372" s="55">
        <v>1</v>
      </c>
      <c r="I372" s="55">
        <v>0</v>
      </c>
      <c r="J372" s="55">
        <v>0</v>
      </c>
    </row>
    <row r="373" spans="1:10" ht="15" x14ac:dyDescent="0.4">
      <c r="A373" s="54">
        <v>45913</v>
      </c>
      <c r="B373" s="55" t="s">
        <v>63</v>
      </c>
      <c r="C373" s="55" t="s">
        <v>58</v>
      </c>
      <c r="D373" s="57">
        <v>7383</v>
      </c>
      <c r="E373" s="55">
        <v>1538</v>
      </c>
      <c r="F373" s="55">
        <v>80</v>
      </c>
      <c r="G373" s="55">
        <v>1</v>
      </c>
      <c r="H373" s="55">
        <v>2</v>
      </c>
      <c r="I373" s="55">
        <v>1</v>
      </c>
      <c r="J373" s="55">
        <v>0</v>
      </c>
    </row>
    <row r="374" spans="1:10" ht="15" x14ac:dyDescent="0.4">
      <c r="A374" s="54">
        <v>45913</v>
      </c>
      <c r="B374" s="55" t="s">
        <v>57</v>
      </c>
      <c r="C374" s="55" t="s">
        <v>58</v>
      </c>
      <c r="D374" s="57">
        <v>23285</v>
      </c>
      <c r="E374" s="55">
        <v>4851</v>
      </c>
      <c r="F374" s="55">
        <v>256</v>
      </c>
      <c r="G374" s="55">
        <v>2</v>
      </c>
      <c r="H374" s="55">
        <v>2</v>
      </c>
      <c r="I374" s="55">
        <v>0</v>
      </c>
      <c r="J374" s="55">
        <v>0</v>
      </c>
    </row>
    <row r="375" spans="1:10" ht="15" x14ac:dyDescent="0.4">
      <c r="A375" s="54">
        <v>45913</v>
      </c>
      <c r="B375" s="55" t="s">
        <v>55</v>
      </c>
      <c r="C375" s="55" t="s">
        <v>56</v>
      </c>
      <c r="D375" s="57">
        <v>32916</v>
      </c>
      <c r="E375" s="55">
        <v>23511</v>
      </c>
      <c r="F375" s="55">
        <v>229</v>
      </c>
      <c r="G375" s="55">
        <v>4</v>
      </c>
      <c r="H375" s="55">
        <v>1</v>
      </c>
      <c r="I375" s="55">
        <v>0</v>
      </c>
      <c r="J375" s="55">
        <v>0</v>
      </c>
    </row>
    <row r="376" spans="1:10" ht="15" x14ac:dyDescent="0.4">
      <c r="A376" s="54">
        <v>45913</v>
      </c>
      <c r="B376" s="55" t="s">
        <v>62</v>
      </c>
      <c r="C376" s="55" t="s">
        <v>56</v>
      </c>
      <c r="D376" s="57">
        <v>8442</v>
      </c>
      <c r="E376" s="55">
        <v>6030</v>
      </c>
      <c r="F376" s="55">
        <v>62</v>
      </c>
      <c r="G376" s="55">
        <v>2</v>
      </c>
      <c r="H376" s="55">
        <v>1</v>
      </c>
      <c r="I376" s="55">
        <v>0</v>
      </c>
      <c r="J376" s="55">
        <v>1</v>
      </c>
    </row>
    <row r="377" spans="1:10" ht="15" x14ac:dyDescent="0.4">
      <c r="A377" s="54">
        <v>45914</v>
      </c>
      <c r="B377" s="55" t="s">
        <v>61</v>
      </c>
      <c r="C377" s="55" t="s">
        <v>56</v>
      </c>
      <c r="D377" s="57">
        <v>17888</v>
      </c>
      <c r="E377" s="55">
        <v>12777</v>
      </c>
      <c r="F377" s="55">
        <v>141</v>
      </c>
      <c r="G377" s="55">
        <v>4</v>
      </c>
      <c r="H377" s="55">
        <v>1</v>
      </c>
      <c r="I377" s="55">
        <v>0</v>
      </c>
      <c r="J377" s="55">
        <v>1</v>
      </c>
    </row>
    <row r="378" spans="1:10" ht="15" x14ac:dyDescent="0.4">
      <c r="A378" s="54">
        <v>45914</v>
      </c>
      <c r="B378" s="55" t="s">
        <v>63</v>
      </c>
      <c r="C378" s="55" t="s">
        <v>58</v>
      </c>
      <c r="D378" s="57">
        <v>6308</v>
      </c>
      <c r="E378" s="55">
        <v>1314</v>
      </c>
      <c r="F378" s="55">
        <v>59</v>
      </c>
      <c r="G378" s="55">
        <v>0</v>
      </c>
      <c r="H378" s="55">
        <v>2</v>
      </c>
      <c r="I378" s="55">
        <v>1</v>
      </c>
      <c r="J378" s="55">
        <v>0</v>
      </c>
    </row>
    <row r="379" spans="1:10" ht="15" x14ac:dyDescent="0.4">
      <c r="A379" s="54">
        <v>45914</v>
      </c>
      <c r="B379" s="55" t="s">
        <v>57</v>
      </c>
      <c r="C379" s="55" t="s">
        <v>58</v>
      </c>
      <c r="D379" s="57">
        <v>23829</v>
      </c>
      <c r="E379" s="55">
        <v>4964</v>
      </c>
      <c r="F379" s="55">
        <v>257</v>
      </c>
      <c r="G379" s="55">
        <v>2</v>
      </c>
      <c r="H379" s="55">
        <v>1</v>
      </c>
      <c r="I379" s="55">
        <v>2</v>
      </c>
      <c r="J379" s="55">
        <v>0</v>
      </c>
    </row>
    <row r="380" spans="1:10" ht="15" x14ac:dyDescent="0.4">
      <c r="A380" s="54">
        <v>45914</v>
      </c>
      <c r="B380" s="55" t="s">
        <v>55</v>
      </c>
      <c r="C380" s="55" t="s">
        <v>56</v>
      </c>
      <c r="D380" s="57">
        <v>29040</v>
      </c>
      <c r="E380" s="55">
        <v>20742</v>
      </c>
      <c r="F380" s="55">
        <v>261</v>
      </c>
      <c r="G380" s="55">
        <v>10</v>
      </c>
      <c r="H380" s="55">
        <v>2</v>
      </c>
      <c r="I380" s="55">
        <v>1</v>
      </c>
      <c r="J380" s="55">
        <v>0</v>
      </c>
    </row>
    <row r="381" spans="1:10" ht="15" x14ac:dyDescent="0.4">
      <c r="A381" s="54">
        <v>45914</v>
      </c>
      <c r="B381" s="55" t="s">
        <v>62</v>
      </c>
      <c r="C381" s="55" t="s">
        <v>56</v>
      </c>
      <c r="D381" s="57">
        <v>9490</v>
      </c>
      <c r="E381" s="55">
        <v>6778</v>
      </c>
      <c r="F381" s="55">
        <v>81</v>
      </c>
      <c r="G381" s="55">
        <v>2</v>
      </c>
      <c r="H381" s="55">
        <v>2</v>
      </c>
      <c r="I381" s="55">
        <v>1</v>
      </c>
      <c r="J381" s="55">
        <v>0</v>
      </c>
    </row>
    <row r="382" spans="1:10" ht="15" x14ac:dyDescent="0.4">
      <c r="A382" s="54">
        <v>45915</v>
      </c>
      <c r="B382" s="55" t="s">
        <v>61</v>
      </c>
      <c r="C382" s="55" t="s">
        <v>56</v>
      </c>
      <c r="D382" s="57">
        <v>18046</v>
      </c>
      <c r="E382" s="55">
        <v>12890</v>
      </c>
      <c r="F382" s="55">
        <v>135</v>
      </c>
      <c r="G382" s="55">
        <v>6</v>
      </c>
      <c r="H382" s="55">
        <v>1</v>
      </c>
      <c r="I382" s="55">
        <v>0</v>
      </c>
      <c r="J382" s="55">
        <v>0</v>
      </c>
    </row>
    <row r="383" spans="1:10" ht="15" x14ac:dyDescent="0.4">
      <c r="A383" s="54">
        <v>45915</v>
      </c>
      <c r="B383" s="55" t="s">
        <v>63</v>
      </c>
      <c r="C383" s="55" t="s">
        <v>58</v>
      </c>
      <c r="D383" s="57">
        <v>6794</v>
      </c>
      <c r="E383" s="55">
        <v>1415</v>
      </c>
      <c r="F383" s="55">
        <v>81</v>
      </c>
      <c r="G383" s="55">
        <v>2</v>
      </c>
      <c r="H383" s="55">
        <v>0</v>
      </c>
      <c r="I383" s="55">
        <v>0</v>
      </c>
      <c r="J383" s="55">
        <v>0</v>
      </c>
    </row>
    <row r="384" spans="1:10" ht="15" x14ac:dyDescent="0.4">
      <c r="A384" s="54">
        <v>45915</v>
      </c>
      <c r="B384" s="55" t="s">
        <v>57</v>
      </c>
      <c r="C384" s="55" t="s">
        <v>58</v>
      </c>
      <c r="D384" s="57">
        <v>24101</v>
      </c>
      <c r="E384" s="55">
        <v>5021</v>
      </c>
      <c r="F384" s="55">
        <v>277</v>
      </c>
      <c r="G384" s="55">
        <v>2</v>
      </c>
      <c r="H384" s="55">
        <v>0</v>
      </c>
      <c r="I384" s="55">
        <v>0</v>
      </c>
      <c r="J384" s="55">
        <v>0</v>
      </c>
    </row>
    <row r="385" spans="1:10" ht="15" x14ac:dyDescent="0.4">
      <c r="A385" s="54">
        <v>45915</v>
      </c>
      <c r="B385" s="55" t="s">
        <v>55</v>
      </c>
      <c r="C385" s="55" t="s">
        <v>56</v>
      </c>
      <c r="D385" s="57">
        <v>31873</v>
      </c>
      <c r="E385" s="55">
        <v>22766</v>
      </c>
      <c r="F385" s="55">
        <v>272</v>
      </c>
      <c r="G385" s="55">
        <v>9</v>
      </c>
      <c r="H385" s="55">
        <v>0</v>
      </c>
      <c r="I385" s="55">
        <v>1</v>
      </c>
      <c r="J385" s="55">
        <v>0</v>
      </c>
    </row>
    <row r="386" spans="1:10" ht="15" x14ac:dyDescent="0.4">
      <c r="A386" s="54">
        <v>45915</v>
      </c>
      <c r="B386" s="55" t="s">
        <v>62</v>
      </c>
      <c r="C386" s="55" t="s">
        <v>56</v>
      </c>
      <c r="D386" s="57">
        <v>9752</v>
      </c>
      <c r="E386" s="55">
        <v>6965</v>
      </c>
      <c r="F386" s="55">
        <v>73</v>
      </c>
      <c r="G386" s="55">
        <v>4</v>
      </c>
      <c r="H386" s="55">
        <v>1</v>
      </c>
      <c r="I386" s="55">
        <v>0</v>
      </c>
      <c r="J386" s="55">
        <v>1</v>
      </c>
    </row>
    <row r="387" spans="1:10" ht="15" x14ac:dyDescent="0.4">
      <c r="A387" s="54">
        <v>45916</v>
      </c>
      <c r="B387" s="55" t="s">
        <v>61</v>
      </c>
      <c r="C387" s="55" t="s">
        <v>56</v>
      </c>
      <c r="D387" s="57">
        <v>15126</v>
      </c>
      <c r="E387" s="55">
        <v>10804</v>
      </c>
      <c r="F387" s="55">
        <v>124</v>
      </c>
      <c r="G387" s="55">
        <v>5</v>
      </c>
      <c r="H387" s="55">
        <v>0</v>
      </c>
      <c r="I387" s="55">
        <v>0</v>
      </c>
      <c r="J387" s="55">
        <v>0</v>
      </c>
    </row>
    <row r="388" spans="1:10" ht="15" x14ac:dyDescent="0.4">
      <c r="A388" s="54">
        <v>45916</v>
      </c>
      <c r="B388" s="55" t="s">
        <v>63</v>
      </c>
      <c r="C388" s="55" t="s">
        <v>58</v>
      </c>
      <c r="D388" s="57">
        <v>6430</v>
      </c>
      <c r="E388" s="55">
        <v>1339</v>
      </c>
      <c r="F388" s="55">
        <v>60</v>
      </c>
      <c r="G388" s="55">
        <v>4</v>
      </c>
      <c r="H388" s="55">
        <v>1</v>
      </c>
      <c r="I388" s="55">
        <v>0</v>
      </c>
      <c r="J388" s="55">
        <v>0</v>
      </c>
    </row>
    <row r="389" spans="1:10" ht="15" x14ac:dyDescent="0.4">
      <c r="A389" s="54">
        <v>45916</v>
      </c>
      <c r="B389" s="55" t="s">
        <v>57</v>
      </c>
      <c r="C389" s="55" t="s">
        <v>58</v>
      </c>
      <c r="D389" s="57">
        <v>23127</v>
      </c>
      <c r="E389" s="55">
        <v>4818</v>
      </c>
      <c r="F389" s="55">
        <v>281</v>
      </c>
      <c r="G389" s="55">
        <v>6</v>
      </c>
      <c r="H389" s="55">
        <v>0</v>
      </c>
      <c r="I389" s="55">
        <v>0</v>
      </c>
      <c r="J389" s="55">
        <v>0</v>
      </c>
    </row>
    <row r="390" spans="1:10" ht="15" x14ac:dyDescent="0.4">
      <c r="A390" s="54">
        <v>45916</v>
      </c>
      <c r="B390" s="55" t="s">
        <v>55</v>
      </c>
      <c r="C390" s="55" t="s">
        <v>56</v>
      </c>
      <c r="D390" s="57">
        <v>29042</v>
      </c>
      <c r="E390" s="55">
        <v>20744</v>
      </c>
      <c r="F390" s="55">
        <v>223</v>
      </c>
      <c r="G390" s="55">
        <v>13</v>
      </c>
      <c r="H390" s="55">
        <v>2</v>
      </c>
      <c r="I390" s="55">
        <v>1</v>
      </c>
      <c r="J390" s="55">
        <v>0</v>
      </c>
    </row>
    <row r="391" spans="1:10" ht="15" x14ac:dyDescent="0.4">
      <c r="A391" s="54">
        <v>45916</v>
      </c>
      <c r="B391" s="55" t="s">
        <v>62</v>
      </c>
      <c r="C391" s="55" t="s">
        <v>56</v>
      </c>
      <c r="D391" s="57">
        <v>10021</v>
      </c>
      <c r="E391" s="55">
        <v>7157</v>
      </c>
      <c r="F391" s="55">
        <v>72</v>
      </c>
      <c r="G391" s="55">
        <v>2</v>
      </c>
      <c r="H391" s="55">
        <v>1</v>
      </c>
      <c r="I391" s="55">
        <v>2</v>
      </c>
      <c r="J391" s="55">
        <v>0</v>
      </c>
    </row>
    <row r="392" spans="1:10" ht="15" x14ac:dyDescent="0.4">
      <c r="A392" s="54">
        <v>45917</v>
      </c>
      <c r="B392" s="55" t="s">
        <v>61</v>
      </c>
      <c r="C392" s="55" t="s">
        <v>56</v>
      </c>
      <c r="D392" s="57">
        <v>16741</v>
      </c>
      <c r="E392" s="55">
        <v>11957</v>
      </c>
      <c r="F392" s="55">
        <v>136</v>
      </c>
      <c r="G392" s="55">
        <v>3</v>
      </c>
      <c r="H392" s="55">
        <v>0</v>
      </c>
      <c r="I392" s="55">
        <v>2</v>
      </c>
      <c r="J392" s="55">
        <v>0</v>
      </c>
    </row>
    <row r="393" spans="1:10" ht="15" x14ac:dyDescent="0.4">
      <c r="A393" s="54">
        <v>45917</v>
      </c>
      <c r="B393" s="55" t="s">
        <v>63</v>
      </c>
      <c r="C393" s="55" t="s">
        <v>58</v>
      </c>
      <c r="D393" s="57">
        <v>7098</v>
      </c>
      <c r="E393" s="55">
        <v>1478</v>
      </c>
      <c r="F393" s="55">
        <v>71</v>
      </c>
      <c r="G393" s="55">
        <v>4</v>
      </c>
      <c r="H393" s="55">
        <v>1</v>
      </c>
      <c r="I393" s="55">
        <v>2</v>
      </c>
      <c r="J393" s="55">
        <v>0</v>
      </c>
    </row>
    <row r="394" spans="1:10" ht="15" x14ac:dyDescent="0.4">
      <c r="A394" s="54">
        <v>45917</v>
      </c>
      <c r="B394" s="55" t="s">
        <v>57</v>
      </c>
      <c r="C394" s="55" t="s">
        <v>58</v>
      </c>
      <c r="D394" s="57">
        <v>22604</v>
      </c>
      <c r="E394" s="55">
        <v>4709</v>
      </c>
      <c r="F394" s="55">
        <v>269</v>
      </c>
      <c r="G394" s="55">
        <v>1</v>
      </c>
      <c r="H394" s="55">
        <v>0</v>
      </c>
      <c r="I394" s="55">
        <v>0</v>
      </c>
      <c r="J394" s="55">
        <v>1</v>
      </c>
    </row>
    <row r="395" spans="1:10" ht="15" x14ac:dyDescent="0.4">
      <c r="A395" s="54">
        <v>45917</v>
      </c>
      <c r="B395" s="55" t="s">
        <v>55</v>
      </c>
      <c r="C395" s="55" t="s">
        <v>56</v>
      </c>
      <c r="D395" s="57">
        <v>32504</v>
      </c>
      <c r="E395" s="55">
        <v>23217</v>
      </c>
      <c r="F395" s="55">
        <v>276</v>
      </c>
      <c r="G395" s="55">
        <v>8</v>
      </c>
      <c r="H395" s="55">
        <v>1</v>
      </c>
      <c r="I395" s="55">
        <v>0</v>
      </c>
      <c r="J395" s="55">
        <v>1</v>
      </c>
    </row>
    <row r="396" spans="1:10" ht="15" x14ac:dyDescent="0.4">
      <c r="A396" s="54">
        <v>45917</v>
      </c>
      <c r="B396" s="55" t="s">
        <v>62</v>
      </c>
      <c r="C396" s="55" t="s">
        <v>56</v>
      </c>
      <c r="D396" s="57">
        <v>9224</v>
      </c>
      <c r="E396" s="55">
        <v>6588</v>
      </c>
      <c r="F396" s="55">
        <v>65</v>
      </c>
      <c r="G396" s="55">
        <v>2</v>
      </c>
      <c r="H396" s="55">
        <v>2</v>
      </c>
      <c r="I396" s="55">
        <v>0</v>
      </c>
      <c r="J396" s="55">
        <v>0</v>
      </c>
    </row>
    <row r="397" spans="1:10" ht="15" x14ac:dyDescent="0.4">
      <c r="A397" s="54">
        <v>45918</v>
      </c>
      <c r="B397" s="55" t="s">
        <v>61</v>
      </c>
      <c r="C397" s="55" t="s">
        <v>56</v>
      </c>
      <c r="D397" s="57">
        <v>15794</v>
      </c>
      <c r="E397" s="55">
        <v>11281</v>
      </c>
      <c r="F397" s="55">
        <v>139</v>
      </c>
      <c r="G397" s="55">
        <v>5</v>
      </c>
      <c r="H397" s="55">
        <v>0</v>
      </c>
      <c r="I397" s="55">
        <v>0</v>
      </c>
      <c r="J397" s="55">
        <v>0</v>
      </c>
    </row>
    <row r="398" spans="1:10" ht="15" x14ac:dyDescent="0.4">
      <c r="A398" s="54">
        <v>45918</v>
      </c>
      <c r="B398" s="55" t="s">
        <v>63</v>
      </c>
      <c r="C398" s="55" t="s">
        <v>58</v>
      </c>
      <c r="D398" s="57">
        <v>7361</v>
      </c>
      <c r="E398" s="55">
        <v>1533</v>
      </c>
      <c r="F398" s="55">
        <v>88</v>
      </c>
      <c r="G398" s="55">
        <v>3</v>
      </c>
      <c r="H398" s="55">
        <v>1</v>
      </c>
      <c r="I398" s="55">
        <v>1</v>
      </c>
      <c r="J398" s="55">
        <v>0</v>
      </c>
    </row>
    <row r="399" spans="1:10" ht="15" x14ac:dyDescent="0.4">
      <c r="A399" s="54">
        <v>45918</v>
      </c>
      <c r="B399" s="55" t="s">
        <v>57</v>
      </c>
      <c r="C399" s="55" t="s">
        <v>58</v>
      </c>
      <c r="D399" s="57">
        <v>23836</v>
      </c>
      <c r="E399" s="55">
        <v>4965</v>
      </c>
      <c r="F399" s="55">
        <v>288</v>
      </c>
      <c r="G399" s="55">
        <v>5</v>
      </c>
      <c r="H399" s="55">
        <v>0</v>
      </c>
      <c r="I399" s="55">
        <v>1</v>
      </c>
      <c r="J399" s="55">
        <v>0</v>
      </c>
    </row>
    <row r="400" spans="1:10" ht="15" x14ac:dyDescent="0.4">
      <c r="A400" s="54">
        <v>45918</v>
      </c>
      <c r="B400" s="55" t="s">
        <v>55</v>
      </c>
      <c r="C400" s="55" t="s">
        <v>56</v>
      </c>
      <c r="D400" s="57">
        <v>34719</v>
      </c>
      <c r="E400" s="55">
        <v>24799</v>
      </c>
      <c r="F400" s="55">
        <v>307</v>
      </c>
      <c r="G400" s="55">
        <v>7</v>
      </c>
      <c r="H400" s="55">
        <v>2</v>
      </c>
      <c r="I400" s="55">
        <v>0</v>
      </c>
      <c r="J400" s="55">
        <v>0</v>
      </c>
    </row>
    <row r="401" spans="1:10" ht="15" x14ac:dyDescent="0.4">
      <c r="A401" s="54">
        <v>45918</v>
      </c>
      <c r="B401" s="55" t="s">
        <v>62</v>
      </c>
      <c r="C401" s="55" t="s">
        <v>56</v>
      </c>
      <c r="D401" s="57">
        <v>8649</v>
      </c>
      <c r="E401" s="55">
        <v>6177</v>
      </c>
      <c r="F401" s="55">
        <v>73</v>
      </c>
      <c r="G401" s="55">
        <v>1</v>
      </c>
      <c r="H401" s="55">
        <v>0</v>
      </c>
      <c r="I401" s="55">
        <v>2</v>
      </c>
      <c r="J401" s="55">
        <v>0</v>
      </c>
    </row>
    <row r="402" spans="1:10" ht="15" x14ac:dyDescent="0.4">
      <c r="A402" s="54">
        <v>45919</v>
      </c>
      <c r="B402" s="55" t="s">
        <v>61</v>
      </c>
      <c r="C402" s="55" t="s">
        <v>56</v>
      </c>
      <c r="D402" s="57">
        <v>17032</v>
      </c>
      <c r="E402" s="55">
        <v>12165</v>
      </c>
      <c r="F402" s="55">
        <v>153</v>
      </c>
      <c r="G402" s="55">
        <v>5</v>
      </c>
      <c r="H402" s="55">
        <v>2</v>
      </c>
      <c r="I402" s="55">
        <v>0</v>
      </c>
      <c r="J402" s="55">
        <v>0</v>
      </c>
    </row>
    <row r="403" spans="1:10" ht="15" x14ac:dyDescent="0.4">
      <c r="A403" s="54">
        <v>45919</v>
      </c>
      <c r="B403" s="55" t="s">
        <v>63</v>
      </c>
      <c r="C403" s="55" t="s">
        <v>58</v>
      </c>
      <c r="D403" s="57">
        <v>7208</v>
      </c>
      <c r="E403" s="55">
        <v>1501</v>
      </c>
      <c r="F403" s="55">
        <v>87</v>
      </c>
      <c r="G403" s="55">
        <v>0</v>
      </c>
      <c r="H403" s="55">
        <v>2</v>
      </c>
      <c r="I403" s="55">
        <v>0</v>
      </c>
      <c r="J403" s="55">
        <v>1</v>
      </c>
    </row>
    <row r="404" spans="1:10" ht="15" x14ac:dyDescent="0.4">
      <c r="A404" s="54">
        <v>45919</v>
      </c>
      <c r="B404" s="55" t="s">
        <v>57</v>
      </c>
      <c r="C404" s="55" t="s">
        <v>58</v>
      </c>
      <c r="D404" s="57">
        <v>23074</v>
      </c>
      <c r="E404" s="55">
        <v>4807</v>
      </c>
      <c r="F404" s="55">
        <v>222</v>
      </c>
      <c r="G404" s="55">
        <v>1</v>
      </c>
      <c r="H404" s="55">
        <v>0</v>
      </c>
      <c r="I404" s="55">
        <v>0</v>
      </c>
      <c r="J404" s="55">
        <v>0</v>
      </c>
    </row>
    <row r="405" spans="1:10" ht="15" x14ac:dyDescent="0.4">
      <c r="A405" s="54">
        <v>45919</v>
      </c>
      <c r="B405" s="55" t="s">
        <v>55</v>
      </c>
      <c r="C405" s="55" t="s">
        <v>56</v>
      </c>
      <c r="D405" s="57">
        <v>33269</v>
      </c>
      <c r="E405" s="55">
        <v>23763</v>
      </c>
      <c r="F405" s="55">
        <v>227</v>
      </c>
      <c r="G405" s="55">
        <v>15</v>
      </c>
      <c r="H405" s="55">
        <v>1</v>
      </c>
      <c r="I405" s="55">
        <v>0</v>
      </c>
      <c r="J405" s="55">
        <v>0</v>
      </c>
    </row>
    <row r="406" spans="1:10" ht="15" x14ac:dyDescent="0.4">
      <c r="A406" s="54">
        <v>45919</v>
      </c>
      <c r="B406" s="55" t="s">
        <v>62</v>
      </c>
      <c r="C406" s="55" t="s">
        <v>56</v>
      </c>
      <c r="D406" s="57">
        <v>10011</v>
      </c>
      <c r="E406" s="55">
        <v>7150</v>
      </c>
      <c r="F406" s="55">
        <v>79</v>
      </c>
      <c r="G406" s="55">
        <v>6</v>
      </c>
      <c r="H406" s="55">
        <v>1</v>
      </c>
      <c r="I406" s="55">
        <v>0</v>
      </c>
      <c r="J406" s="55">
        <v>0</v>
      </c>
    </row>
    <row r="407" spans="1:10" ht="15" x14ac:dyDescent="0.4">
      <c r="A407" s="54">
        <v>45920</v>
      </c>
      <c r="B407" s="55" t="s">
        <v>61</v>
      </c>
      <c r="C407" s="55" t="s">
        <v>56</v>
      </c>
      <c r="D407" s="57">
        <v>16747</v>
      </c>
      <c r="E407" s="55">
        <v>11962</v>
      </c>
      <c r="F407" s="55">
        <v>127</v>
      </c>
      <c r="G407" s="55">
        <v>2</v>
      </c>
      <c r="H407" s="55">
        <v>1</v>
      </c>
      <c r="I407" s="55">
        <v>0</v>
      </c>
      <c r="J407" s="55">
        <v>0</v>
      </c>
    </row>
    <row r="408" spans="1:10" ht="15" x14ac:dyDescent="0.4">
      <c r="A408" s="54">
        <v>45920</v>
      </c>
      <c r="B408" s="55" t="s">
        <v>63</v>
      </c>
      <c r="C408" s="55" t="s">
        <v>58</v>
      </c>
      <c r="D408" s="57">
        <v>6498</v>
      </c>
      <c r="E408" s="55">
        <v>1353</v>
      </c>
      <c r="F408" s="55">
        <v>74</v>
      </c>
      <c r="G408" s="55">
        <v>2</v>
      </c>
      <c r="H408" s="55">
        <v>1</v>
      </c>
      <c r="I408" s="55">
        <v>0</v>
      </c>
      <c r="J408" s="55">
        <v>0</v>
      </c>
    </row>
    <row r="409" spans="1:10" ht="15" x14ac:dyDescent="0.4">
      <c r="A409" s="54">
        <v>45920</v>
      </c>
      <c r="B409" s="55" t="s">
        <v>57</v>
      </c>
      <c r="C409" s="55" t="s">
        <v>58</v>
      </c>
      <c r="D409" s="57">
        <v>23095</v>
      </c>
      <c r="E409" s="55">
        <v>4811</v>
      </c>
      <c r="F409" s="55">
        <v>249</v>
      </c>
      <c r="G409" s="55">
        <v>2</v>
      </c>
      <c r="H409" s="55">
        <v>0</v>
      </c>
      <c r="I409" s="55">
        <v>0</v>
      </c>
      <c r="J409" s="55">
        <v>0</v>
      </c>
    </row>
    <row r="410" spans="1:10" ht="15" x14ac:dyDescent="0.4">
      <c r="A410" s="54">
        <v>45920</v>
      </c>
      <c r="B410" s="55" t="s">
        <v>55</v>
      </c>
      <c r="C410" s="55" t="s">
        <v>56</v>
      </c>
      <c r="D410" s="57">
        <v>33610</v>
      </c>
      <c r="E410" s="55">
        <v>24007</v>
      </c>
      <c r="F410" s="55">
        <v>239</v>
      </c>
      <c r="G410" s="55">
        <v>6</v>
      </c>
      <c r="H410" s="55">
        <v>2</v>
      </c>
      <c r="I410" s="55">
        <v>1</v>
      </c>
      <c r="J410" s="55">
        <v>0</v>
      </c>
    </row>
    <row r="411" spans="1:10" ht="15" x14ac:dyDescent="0.4">
      <c r="A411" s="54">
        <v>45920</v>
      </c>
      <c r="B411" s="55" t="s">
        <v>62</v>
      </c>
      <c r="C411" s="55" t="s">
        <v>56</v>
      </c>
      <c r="D411" s="57">
        <v>8901</v>
      </c>
      <c r="E411" s="55">
        <v>6357</v>
      </c>
      <c r="F411" s="55">
        <v>62</v>
      </c>
      <c r="G411" s="55">
        <v>5</v>
      </c>
      <c r="H411" s="55">
        <v>1</v>
      </c>
      <c r="I411" s="55">
        <v>0</v>
      </c>
      <c r="J411" s="55">
        <v>0</v>
      </c>
    </row>
    <row r="412" spans="1:10" ht="15" x14ac:dyDescent="0.4">
      <c r="A412" s="54">
        <v>45921</v>
      </c>
      <c r="B412" s="55" t="s">
        <v>61</v>
      </c>
      <c r="C412" s="55" t="s">
        <v>56</v>
      </c>
      <c r="D412" s="57">
        <v>15702</v>
      </c>
      <c r="E412" s="55">
        <v>11215</v>
      </c>
      <c r="F412" s="55">
        <v>111</v>
      </c>
      <c r="G412" s="55">
        <v>5</v>
      </c>
      <c r="H412" s="55">
        <v>1</v>
      </c>
      <c r="I412" s="55">
        <v>0</v>
      </c>
      <c r="J412" s="55">
        <v>1</v>
      </c>
    </row>
    <row r="413" spans="1:10" ht="15" x14ac:dyDescent="0.4">
      <c r="A413" s="54">
        <v>45921</v>
      </c>
      <c r="B413" s="55" t="s">
        <v>63</v>
      </c>
      <c r="C413" s="55" t="s">
        <v>58</v>
      </c>
      <c r="D413" s="57">
        <v>7357</v>
      </c>
      <c r="E413" s="55">
        <v>1532</v>
      </c>
      <c r="F413" s="55">
        <v>78</v>
      </c>
      <c r="G413" s="55">
        <v>4</v>
      </c>
      <c r="H413" s="55">
        <v>1</v>
      </c>
      <c r="I413" s="55">
        <v>2</v>
      </c>
      <c r="J413" s="55">
        <v>0</v>
      </c>
    </row>
    <row r="414" spans="1:10" ht="15" x14ac:dyDescent="0.4">
      <c r="A414" s="54">
        <v>45921</v>
      </c>
      <c r="B414" s="55" t="s">
        <v>57</v>
      </c>
      <c r="C414" s="55" t="s">
        <v>58</v>
      </c>
      <c r="D414" s="57">
        <v>20817</v>
      </c>
      <c r="E414" s="55">
        <v>4336</v>
      </c>
      <c r="F414" s="55">
        <v>249</v>
      </c>
      <c r="G414" s="55">
        <v>0</v>
      </c>
      <c r="H414" s="55">
        <v>0</v>
      </c>
      <c r="I414" s="55">
        <v>0</v>
      </c>
      <c r="J414" s="55">
        <v>0</v>
      </c>
    </row>
    <row r="415" spans="1:10" ht="15" x14ac:dyDescent="0.4">
      <c r="A415" s="54">
        <v>45921</v>
      </c>
      <c r="B415" s="55" t="s">
        <v>55</v>
      </c>
      <c r="C415" s="55" t="s">
        <v>56</v>
      </c>
      <c r="D415" s="57">
        <v>34548</v>
      </c>
      <c r="E415" s="55">
        <v>24677</v>
      </c>
      <c r="F415" s="55">
        <v>235</v>
      </c>
      <c r="G415" s="55">
        <v>5</v>
      </c>
      <c r="H415" s="55">
        <v>3</v>
      </c>
      <c r="I415" s="55">
        <v>0</v>
      </c>
      <c r="J415" s="55">
        <v>0</v>
      </c>
    </row>
    <row r="416" spans="1:10" ht="15" x14ac:dyDescent="0.4">
      <c r="A416" s="54">
        <v>45921</v>
      </c>
      <c r="B416" s="55" t="s">
        <v>62</v>
      </c>
      <c r="C416" s="55" t="s">
        <v>56</v>
      </c>
      <c r="D416" s="57">
        <v>10046</v>
      </c>
      <c r="E416" s="55">
        <v>7175</v>
      </c>
      <c r="F416" s="55">
        <v>90</v>
      </c>
      <c r="G416" s="55">
        <v>4</v>
      </c>
      <c r="H416" s="55">
        <v>2</v>
      </c>
      <c r="I416" s="55">
        <v>0</v>
      </c>
      <c r="J416" s="55">
        <v>0</v>
      </c>
    </row>
    <row r="417" spans="1:10" ht="15" x14ac:dyDescent="0.4">
      <c r="A417" s="54">
        <v>45922</v>
      </c>
      <c r="B417" s="55" t="s">
        <v>61</v>
      </c>
      <c r="C417" s="55" t="s">
        <v>56</v>
      </c>
      <c r="D417" s="57">
        <v>17034</v>
      </c>
      <c r="E417" s="55">
        <v>12167</v>
      </c>
      <c r="F417" s="55">
        <v>121</v>
      </c>
      <c r="G417" s="55">
        <v>3</v>
      </c>
      <c r="H417" s="55">
        <v>0</v>
      </c>
      <c r="I417" s="55">
        <v>0</v>
      </c>
      <c r="J417" s="55">
        <v>0</v>
      </c>
    </row>
    <row r="418" spans="1:10" ht="15" x14ac:dyDescent="0.4">
      <c r="A418" s="54">
        <v>45922</v>
      </c>
      <c r="B418" s="55" t="s">
        <v>63</v>
      </c>
      <c r="C418" s="55" t="s">
        <v>58</v>
      </c>
      <c r="D418" s="57">
        <v>6547</v>
      </c>
      <c r="E418" s="55">
        <v>1363</v>
      </c>
      <c r="F418" s="55">
        <v>60</v>
      </c>
      <c r="G418" s="55">
        <v>2</v>
      </c>
      <c r="H418" s="55">
        <v>2</v>
      </c>
      <c r="I418" s="55">
        <v>0</v>
      </c>
      <c r="J418" s="55">
        <v>0</v>
      </c>
    </row>
    <row r="419" spans="1:10" ht="15" x14ac:dyDescent="0.4">
      <c r="A419" s="54">
        <v>45922</v>
      </c>
      <c r="B419" s="55" t="s">
        <v>57</v>
      </c>
      <c r="C419" s="55" t="s">
        <v>58</v>
      </c>
      <c r="D419" s="57">
        <v>20779</v>
      </c>
      <c r="E419" s="55">
        <v>4328</v>
      </c>
      <c r="F419" s="55">
        <v>194</v>
      </c>
      <c r="G419" s="55">
        <v>2</v>
      </c>
      <c r="H419" s="55">
        <v>0</v>
      </c>
      <c r="I419" s="55">
        <v>0</v>
      </c>
      <c r="J419" s="55">
        <v>0</v>
      </c>
    </row>
    <row r="420" spans="1:10" ht="15" x14ac:dyDescent="0.4">
      <c r="A420" s="54">
        <v>45922</v>
      </c>
      <c r="B420" s="55" t="s">
        <v>55</v>
      </c>
      <c r="C420" s="55" t="s">
        <v>56</v>
      </c>
      <c r="D420" s="57">
        <v>32443</v>
      </c>
      <c r="E420" s="55">
        <v>23173</v>
      </c>
      <c r="F420" s="55">
        <v>225</v>
      </c>
      <c r="G420" s="55">
        <v>6</v>
      </c>
      <c r="H420" s="55">
        <v>1</v>
      </c>
      <c r="I420" s="55">
        <v>1</v>
      </c>
      <c r="J420" s="55">
        <v>0</v>
      </c>
    </row>
    <row r="421" spans="1:10" ht="15" x14ac:dyDescent="0.4">
      <c r="A421" s="54">
        <v>45922</v>
      </c>
      <c r="B421" s="55" t="s">
        <v>62</v>
      </c>
      <c r="C421" s="55" t="s">
        <v>56</v>
      </c>
      <c r="D421" s="57">
        <v>9289</v>
      </c>
      <c r="E421" s="55">
        <v>6635</v>
      </c>
      <c r="F421" s="55">
        <v>81</v>
      </c>
      <c r="G421" s="55">
        <v>3</v>
      </c>
      <c r="H421" s="55">
        <v>2</v>
      </c>
      <c r="I421" s="55">
        <v>1</v>
      </c>
      <c r="J421" s="55">
        <v>0</v>
      </c>
    </row>
    <row r="422" spans="1:10" ht="15" x14ac:dyDescent="0.4">
      <c r="A422" s="54">
        <v>45923</v>
      </c>
      <c r="B422" s="55" t="s">
        <v>61</v>
      </c>
      <c r="C422" s="55" t="s">
        <v>56</v>
      </c>
      <c r="D422" s="57">
        <v>16205</v>
      </c>
      <c r="E422" s="55">
        <v>11575</v>
      </c>
      <c r="F422" s="55">
        <v>122</v>
      </c>
      <c r="G422" s="55">
        <v>7</v>
      </c>
      <c r="H422" s="55">
        <v>2</v>
      </c>
      <c r="I422" s="55">
        <v>1</v>
      </c>
      <c r="J422" s="55">
        <v>0</v>
      </c>
    </row>
    <row r="423" spans="1:10" ht="15" x14ac:dyDescent="0.4">
      <c r="A423" s="54">
        <v>45923</v>
      </c>
      <c r="B423" s="55" t="s">
        <v>63</v>
      </c>
      <c r="C423" s="55" t="s">
        <v>58</v>
      </c>
      <c r="D423" s="57">
        <v>7523</v>
      </c>
      <c r="E423" s="55">
        <v>1567</v>
      </c>
      <c r="F423" s="55">
        <v>78</v>
      </c>
      <c r="G423" s="55">
        <v>5</v>
      </c>
      <c r="H423" s="55">
        <v>2</v>
      </c>
      <c r="I423" s="55">
        <v>1</v>
      </c>
      <c r="J423" s="55">
        <v>0</v>
      </c>
    </row>
    <row r="424" spans="1:10" ht="15" x14ac:dyDescent="0.4">
      <c r="A424" s="54">
        <v>45923</v>
      </c>
      <c r="B424" s="55" t="s">
        <v>57</v>
      </c>
      <c r="C424" s="55" t="s">
        <v>58</v>
      </c>
      <c r="D424" s="57">
        <v>20316</v>
      </c>
      <c r="E424" s="55">
        <v>4232</v>
      </c>
      <c r="F424" s="55">
        <v>233</v>
      </c>
      <c r="G424" s="55">
        <v>2</v>
      </c>
      <c r="H424" s="55">
        <v>0</v>
      </c>
      <c r="I424" s="55">
        <v>1</v>
      </c>
      <c r="J424" s="55">
        <v>0</v>
      </c>
    </row>
    <row r="425" spans="1:10" ht="15" x14ac:dyDescent="0.4">
      <c r="A425" s="54">
        <v>45923</v>
      </c>
      <c r="B425" s="55" t="s">
        <v>55</v>
      </c>
      <c r="C425" s="55" t="s">
        <v>56</v>
      </c>
      <c r="D425" s="57">
        <v>33506</v>
      </c>
      <c r="E425" s="55">
        <v>23932</v>
      </c>
      <c r="F425" s="55">
        <v>269</v>
      </c>
      <c r="G425" s="55">
        <v>9</v>
      </c>
      <c r="H425" s="55">
        <v>2</v>
      </c>
      <c r="I425" s="55">
        <v>1</v>
      </c>
      <c r="J425" s="55">
        <v>1</v>
      </c>
    </row>
    <row r="426" spans="1:10" ht="15" x14ac:dyDescent="0.4">
      <c r="A426" s="54">
        <v>45923</v>
      </c>
      <c r="B426" s="55" t="s">
        <v>62</v>
      </c>
      <c r="C426" s="55" t="s">
        <v>56</v>
      </c>
      <c r="D426" s="57">
        <v>9468</v>
      </c>
      <c r="E426" s="55">
        <v>6762</v>
      </c>
      <c r="F426" s="55">
        <v>77</v>
      </c>
      <c r="G426" s="55">
        <v>5</v>
      </c>
      <c r="H426" s="55">
        <v>3</v>
      </c>
      <c r="I426" s="55">
        <v>1</v>
      </c>
      <c r="J426" s="55">
        <v>0</v>
      </c>
    </row>
    <row r="427" spans="1:10" ht="15" x14ac:dyDescent="0.4">
      <c r="A427" s="54">
        <v>45924</v>
      </c>
      <c r="B427" s="55" t="s">
        <v>61</v>
      </c>
      <c r="C427" s="55" t="s">
        <v>56</v>
      </c>
      <c r="D427" s="57">
        <v>17025</v>
      </c>
      <c r="E427" s="55">
        <v>12160</v>
      </c>
      <c r="F427" s="55">
        <v>118</v>
      </c>
      <c r="G427" s="55">
        <v>3</v>
      </c>
      <c r="H427" s="55">
        <v>1</v>
      </c>
      <c r="I427" s="55">
        <v>0</v>
      </c>
      <c r="J427" s="55">
        <v>0</v>
      </c>
    </row>
    <row r="428" spans="1:10" ht="15" x14ac:dyDescent="0.4">
      <c r="A428" s="54">
        <v>45924</v>
      </c>
      <c r="B428" s="55" t="s">
        <v>63</v>
      </c>
      <c r="C428" s="55" t="s">
        <v>58</v>
      </c>
      <c r="D428" s="57">
        <v>6837</v>
      </c>
      <c r="E428" s="55">
        <v>1424</v>
      </c>
      <c r="F428" s="55">
        <v>73</v>
      </c>
      <c r="G428" s="55">
        <v>0</v>
      </c>
      <c r="H428" s="55">
        <v>2</v>
      </c>
      <c r="I428" s="55">
        <v>0</v>
      </c>
      <c r="J428" s="55">
        <v>0</v>
      </c>
    </row>
    <row r="429" spans="1:10" ht="15" x14ac:dyDescent="0.4">
      <c r="A429" s="54">
        <v>45924</v>
      </c>
      <c r="B429" s="55" t="s">
        <v>57</v>
      </c>
      <c r="C429" s="55" t="s">
        <v>58</v>
      </c>
      <c r="D429" s="57">
        <v>20371</v>
      </c>
      <c r="E429" s="55">
        <v>4243</v>
      </c>
      <c r="F429" s="55">
        <v>229</v>
      </c>
      <c r="G429" s="55">
        <v>5</v>
      </c>
      <c r="H429" s="55">
        <v>0</v>
      </c>
      <c r="I429" s="55">
        <v>0</v>
      </c>
      <c r="J429" s="55">
        <v>0</v>
      </c>
    </row>
    <row r="430" spans="1:10" ht="15" x14ac:dyDescent="0.4">
      <c r="A430" s="54">
        <v>45924</v>
      </c>
      <c r="B430" s="55" t="s">
        <v>55</v>
      </c>
      <c r="C430" s="55" t="s">
        <v>56</v>
      </c>
      <c r="D430" s="57">
        <v>33293</v>
      </c>
      <c r="E430" s="55">
        <v>23780</v>
      </c>
      <c r="F430" s="55">
        <v>259</v>
      </c>
      <c r="G430" s="55">
        <v>12</v>
      </c>
      <c r="H430" s="55">
        <v>1</v>
      </c>
      <c r="I430" s="55">
        <v>0</v>
      </c>
      <c r="J430" s="55">
        <v>1</v>
      </c>
    </row>
    <row r="431" spans="1:10" ht="15" x14ac:dyDescent="0.4">
      <c r="A431" s="54">
        <v>45924</v>
      </c>
      <c r="B431" s="55" t="s">
        <v>62</v>
      </c>
      <c r="C431" s="55" t="s">
        <v>56</v>
      </c>
      <c r="D431" s="57">
        <v>9416</v>
      </c>
      <c r="E431" s="55">
        <v>6725</v>
      </c>
      <c r="F431" s="55">
        <v>81</v>
      </c>
      <c r="G431" s="55">
        <v>4</v>
      </c>
      <c r="H431" s="55">
        <v>3</v>
      </c>
      <c r="I431" s="55">
        <v>1</v>
      </c>
      <c r="J431" s="55">
        <v>0</v>
      </c>
    </row>
    <row r="432" spans="1:10" ht="15" x14ac:dyDescent="0.4">
      <c r="A432" s="54">
        <v>45925</v>
      </c>
      <c r="B432" s="55" t="s">
        <v>61</v>
      </c>
      <c r="C432" s="55" t="s">
        <v>56</v>
      </c>
      <c r="D432" s="57">
        <v>16006</v>
      </c>
      <c r="E432" s="55">
        <v>11432</v>
      </c>
      <c r="F432" s="55">
        <v>121</v>
      </c>
      <c r="G432" s="55">
        <v>3</v>
      </c>
      <c r="H432" s="55">
        <v>1</v>
      </c>
      <c r="I432" s="55">
        <v>0</v>
      </c>
      <c r="J432" s="55">
        <v>0</v>
      </c>
    </row>
    <row r="433" spans="1:10" ht="15" x14ac:dyDescent="0.4">
      <c r="A433" s="54">
        <v>45925</v>
      </c>
      <c r="B433" s="55" t="s">
        <v>63</v>
      </c>
      <c r="C433" s="55" t="s">
        <v>58</v>
      </c>
      <c r="D433" s="57">
        <v>6911</v>
      </c>
      <c r="E433" s="55">
        <v>1439</v>
      </c>
      <c r="F433" s="55">
        <v>69</v>
      </c>
      <c r="G433" s="55">
        <v>0</v>
      </c>
      <c r="H433" s="55">
        <v>1</v>
      </c>
      <c r="I433" s="55">
        <v>1</v>
      </c>
      <c r="J433" s="55">
        <v>0</v>
      </c>
    </row>
    <row r="434" spans="1:10" ht="15" x14ac:dyDescent="0.4">
      <c r="A434" s="54">
        <v>45925</v>
      </c>
      <c r="B434" s="55" t="s">
        <v>57</v>
      </c>
      <c r="C434" s="55" t="s">
        <v>58</v>
      </c>
      <c r="D434" s="57">
        <v>24299</v>
      </c>
      <c r="E434" s="55">
        <v>5062</v>
      </c>
      <c r="F434" s="55">
        <v>258</v>
      </c>
      <c r="G434" s="55">
        <v>1</v>
      </c>
      <c r="H434" s="55">
        <v>1</v>
      </c>
      <c r="I434" s="55">
        <v>0</v>
      </c>
      <c r="J434" s="55">
        <v>0</v>
      </c>
    </row>
    <row r="435" spans="1:10" ht="15" x14ac:dyDescent="0.4">
      <c r="A435" s="54">
        <v>45925</v>
      </c>
      <c r="B435" s="55" t="s">
        <v>55</v>
      </c>
      <c r="C435" s="55" t="s">
        <v>56</v>
      </c>
      <c r="D435" s="57">
        <v>32324</v>
      </c>
      <c r="E435" s="55">
        <v>23088</v>
      </c>
      <c r="F435" s="55">
        <v>237</v>
      </c>
      <c r="G435" s="55">
        <v>5</v>
      </c>
      <c r="H435" s="55">
        <v>0</v>
      </c>
      <c r="I435" s="55">
        <v>1</v>
      </c>
      <c r="J435" s="55">
        <v>0</v>
      </c>
    </row>
    <row r="436" spans="1:10" ht="15" x14ac:dyDescent="0.4">
      <c r="A436" s="54">
        <v>45925</v>
      </c>
      <c r="B436" s="55" t="s">
        <v>62</v>
      </c>
      <c r="C436" s="55" t="s">
        <v>56</v>
      </c>
      <c r="D436" s="57">
        <v>10225</v>
      </c>
      <c r="E436" s="55">
        <v>7303</v>
      </c>
      <c r="F436" s="55">
        <v>77</v>
      </c>
      <c r="G436" s="55">
        <v>3</v>
      </c>
      <c r="H436" s="55">
        <v>0</v>
      </c>
      <c r="I436" s="55">
        <v>1</v>
      </c>
      <c r="J436" s="55">
        <v>0</v>
      </c>
    </row>
    <row r="437" spans="1:10" ht="15" x14ac:dyDescent="0.4">
      <c r="A437" s="54">
        <v>45926</v>
      </c>
      <c r="B437" s="55" t="s">
        <v>61</v>
      </c>
      <c r="C437" s="55" t="s">
        <v>56</v>
      </c>
      <c r="D437" s="57">
        <v>16967</v>
      </c>
      <c r="E437" s="55">
        <v>12119</v>
      </c>
      <c r="F437" s="55">
        <v>121</v>
      </c>
      <c r="G437" s="55">
        <v>2</v>
      </c>
      <c r="H437" s="55">
        <v>1</v>
      </c>
      <c r="I437" s="55">
        <v>0</v>
      </c>
      <c r="J437" s="55">
        <v>0</v>
      </c>
    </row>
    <row r="438" spans="1:10" ht="15" x14ac:dyDescent="0.4">
      <c r="A438" s="54">
        <v>45926</v>
      </c>
      <c r="B438" s="55" t="s">
        <v>63</v>
      </c>
      <c r="C438" s="55" t="s">
        <v>58</v>
      </c>
      <c r="D438" s="57">
        <v>7551</v>
      </c>
      <c r="E438" s="55">
        <v>1573</v>
      </c>
      <c r="F438" s="55">
        <v>82</v>
      </c>
      <c r="G438" s="55">
        <v>1</v>
      </c>
      <c r="H438" s="55">
        <v>1</v>
      </c>
      <c r="I438" s="55">
        <v>1</v>
      </c>
      <c r="J438" s="55">
        <v>0</v>
      </c>
    </row>
    <row r="439" spans="1:10" ht="15" x14ac:dyDescent="0.4">
      <c r="A439" s="54">
        <v>45926</v>
      </c>
      <c r="B439" s="55" t="s">
        <v>57</v>
      </c>
      <c r="C439" s="55" t="s">
        <v>58</v>
      </c>
      <c r="D439" s="57">
        <v>23774</v>
      </c>
      <c r="E439" s="55">
        <v>4952</v>
      </c>
      <c r="F439" s="55">
        <v>228</v>
      </c>
      <c r="G439" s="55">
        <v>1</v>
      </c>
      <c r="H439" s="55">
        <v>2</v>
      </c>
      <c r="I439" s="55">
        <v>0</v>
      </c>
      <c r="J439" s="55">
        <v>1</v>
      </c>
    </row>
    <row r="440" spans="1:10" ht="15" x14ac:dyDescent="0.4">
      <c r="A440" s="54">
        <v>45926</v>
      </c>
      <c r="B440" s="55" t="s">
        <v>55</v>
      </c>
      <c r="C440" s="55" t="s">
        <v>56</v>
      </c>
      <c r="D440" s="57">
        <v>30312</v>
      </c>
      <c r="E440" s="55">
        <v>21651</v>
      </c>
      <c r="F440" s="55">
        <v>245</v>
      </c>
      <c r="G440" s="55">
        <v>6</v>
      </c>
      <c r="H440" s="55">
        <v>2</v>
      </c>
      <c r="I440" s="55">
        <v>0</v>
      </c>
      <c r="J440" s="55">
        <v>0</v>
      </c>
    </row>
    <row r="441" spans="1:10" ht="15" x14ac:dyDescent="0.4">
      <c r="A441" s="54">
        <v>45926</v>
      </c>
      <c r="B441" s="55" t="s">
        <v>62</v>
      </c>
      <c r="C441" s="55" t="s">
        <v>56</v>
      </c>
      <c r="D441" s="57">
        <v>8747</v>
      </c>
      <c r="E441" s="55">
        <v>6247</v>
      </c>
      <c r="F441" s="55">
        <v>71</v>
      </c>
      <c r="G441" s="55">
        <v>4</v>
      </c>
      <c r="H441" s="55">
        <v>0</v>
      </c>
      <c r="I441" s="55">
        <v>1</v>
      </c>
      <c r="J441" s="55">
        <v>0</v>
      </c>
    </row>
    <row r="442" spans="1:10" ht="15" x14ac:dyDescent="0.4">
      <c r="A442" s="54">
        <v>45927</v>
      </c>
      <c r="B442" s="55" t="s">
        <v>61</v>
      </c>
      <c r="C442" s="55" t="s">
        <v>56</v>
      </c>
      <c r="D442" s="57">
        <v>15705</v>
      </c>
      <c r="E442" s="55">
        <v>11217</v>
      </c>
      <c r="F442" s="55">
        <v>117</v>
      </c>
      <c r="G442" s="55">
        <v>6</v>
      </c>
      <c r="H442" s="55">
        <v>0</v>
      </c>
      <c r="I442" s="55">
        <v>1</v>
      </c>
      <c r="J442" s="55">
        <v>0</v>
      </c>
    </row>
    <row r="443" spans="1:10" ht="15" x14ac:dyDescent="0.4">
      <c r="A443" s="54">
        <v>45927</v>
      </c>
      <c r="B443" s="55" t="s">
        <v>63</v>
      </c>
      <c r="C443" s="55" t="s">
        <v>58</v>
      </c>
      <c r="D443" s="57">
        <v>6446</v>
      </c>
      <c r="E443" s="55">
        <v>1342</v>
      </c>
      <c r="F443" s="55">
        <v>72</v>
      </c>
      <c r="G443" s="55">
        <v>1</v>
      </c>
      <c r="H443" s="55">
        <v>0</v>
      </c>
      <c r="I443" s="55">
        <v>2</v>
      </c>
      <c r="J443" s="55">
        <v>0</v>
      </c>
    </row>
    <row r="444" spans="1:10" ht="15" x14ac:dyDescent="0.4">
      <c r="A444" s="54">
        <v>45927</v>
      </c>
      <c r="B444" s="55" t="s">
        <v>57</v>
      </c>
      <c r="C444" s="55" t="s">
        <v>58</v>
      </c>
      <c r="D444" s="57">
        <v>22169</v>
      </c>
      <c r="E444" s="55">
        <v>4618</v>
      </c>
      <c r="F444" s="55">
        <v>230</v>
      </c>
      <c r="G444" s="55">
        <v>1</v>
      </c>
      <c r="H444" s="55">
        <v>1</v>
      </c>
      <c r="I444" s="55">
        <v>0</v>
      </c>
      <c r="J444" s="55">
        <v>0</v>
      </c>
    </row>
    <row r="445" spans="1:10" ht="15" x14ac:dyDescent="0.4">
      <c r="A445" s="54">
        <v>45927</v>
      </c>
      <c r="B445" s="55" t="s">
        <v>55</v>
      </c>
      <c r="C445" s="55" t="s">
        <v>56</v>
      </c>
      <c r="D445" s="57">
        <v>32314</v>
      </c>
      <c r="E445" s="55">
        <v>23081</v>
      </c>
      <c r="F445" s="55">
        <v>233</v>
      </c>
      <c r="G445" s="55">
        <v>3</v>
      </c>
      <c r="H445" s="55">
        <v>3</v>
      </c>
      <c r="I445" s="55">
        <v>2</v>
      </c>
      <c r="J445" s="55">
        <v>0</v>
      </c>
    </row>
    <row r="446" spans="1:10" ht="15" x14ac:dyDescent="0.4">
      <c r="A446" s="54">
        <v>45927</v>
      </c>
      <c r="B446" s="55" t="s">
        <v>62</v>
      </c>
      <c r="C446" s="55" t="s">
        <v>56</v>
      </c>
      <c r="D446" s="57">
        <v>10001</v>
      </c>
      <c r="E446" s="55">
        <v>7143</v>
      </c>
      <c r="F446" s="55">
        <v>73</v>
      </c>
      <c r="G446" s="55">
        <v>3</v>
      </c>
      <c r="H446" s="55">
        <v>1</v>
      </c>
      <c r="I446" s="55">
        <v>1</v>
      </c>
      <c r="J446" s="55">
        <v>0</v>
      </c>
    </row>
    <row r="447" spans="1:10" ht="15" x14ac:dyDescent="0.4">
      <c r="A447" s="54">
        <v>45928</v>
      </c>
      <c r="B447" s="55" t="s">
        <v>61</v>
      </c>
      <c r="C447" s="55" t="s">
        <v>56</v>
      </c>
      <c r="D447" s="57">
        <v>15617</v>
      </c>
      <c r="E447" s="55">
        <v>11155</v>
      </c>
      <c r="F447" s="55">
        <v>132</v>
      </c>
      <c r="G447" s="55">
        <v>3</v>
      </c>
      <c r="H447" s="55">
        <v>0</v>
      </c>
      <c r="I447" s="55">
        <v>0</v>
      </c>
      <c r="J447" s="55">
        <v>0</v>
      </c>
    </row>
    <row r="448" spans="1:10" ht="15" x14ac:dyDescent="0.4">
      <c r="A448" s="54">
        <v>45928</v>
      </c>
      <c r="B448" s="55" t="s">
        <v>63</v>
      </c>
      <c r="C448" s="55" t="s">
        <v>58</v>
      </c>
      <c r="D448" s="57">
        <v>7479</v>
      </c>
      <c r="E448" s="55">
        <v>1558</v>
      </c>
      <c r="F448" s="55">
        <v>69</v>
      </c>
      <c r="G448" s="55">
        <v>4</v>
      </c>
      <c r="H448" s="55">
        <v>1</v>
      </c>
      <c r="I448" s="55">
        <v>0</v>
      </c>
      <c r="J448" s="55">
        <v>0</v>
      </c>
    </row>
    <row r="449" spans="1:10" ht="15" x14ac:dyDescent="0.4">
      <c r="A449" s="54">
        <v>45928</v>
      </c>
      <c r="B449" s="55" t="s">
        <v>57</v>
      </c>
      <c r="C449" s="55" t="s">
        <v>58</v>
      </c>
      <c r="D449" s="57">
        <v>20663</v>
      </c>
      <c r="E449" s="55">
        <v>4304</v>
      </c>
      <c r="F449" s="55">
        <v>237</v>
      </c>
      <c r="G449" s="55">
        <v>0</v>
      </c>
      <c r="H449" s="55">
        <v>0</v>
      </c>
      <c r="I449" s="55">
        <v>0</v>
      </c>
      <c r="J449" s="55">
        <v>0</v>
      </c>
    </row>
    <row r="450" spans="1:10" ht="15" x14ac:dyDescent="0.4">
      <c r="A450" s="54">
        <v>45928</v>
      </c>
      <c r="B450" s="55" t="s">
        <v>55</v>
      </c>
      <c r="C450" s="55" t="s">
        <v>56</v>
      </c>
      <c r="D450" s="57">
        <v>35549</v>
      </c>
      <c r="E450" s="55">
        <v>25392</v>
      </c>
      <c r="F450" s="55">
        <v>243</v>
      </c>
      <c r="G450" s="55">
        <v>9</v>
      </c>
      <c r="H450" s="55">
        <v>1</v>
      </c>
      <c r="I450" s="55">
        <v>0</v>
      </c>
      <c r="J450" s="55">
        <v>0</v>
      </c>
    </row>
    <row r="451" spans="1:10" ht="15" x14ac:dyDescent="0.4">
      <c r="A451" s="54">
        <v>45928</v>
      </c>
      <c r="B451" s="55" t="s">
        <v>62</v>
      </c>
      <c r="C451" s="55" t="s">
        <v>56</v>
      </c>
      <c r="D451" s="57">
        <v>9293</v>
      </c>
      <c r="E451" s="55">
        <v>6637</v>
      </c>
      <c r="F451" s="55">
        <v>62</v>
      </c>
      <c r="G451" s="55">
        <v>3</v>
      </c>
      <c r="H451" s="55">
        <v>0</v>
      </c>
      <c r="I451" s="55">
        <v>0</v>
      </c>
      <c r="J451" s="55">
        <v>0</v>
      </c>
    </row>
    <row r="452" spans="1:10" ht="15" x14ac:dyDescent="0.4">
      <c r="A452" s="54">
        <v>45929</v>
      </c>
      <c r="B452" s="55" t="s">
        <v>61</v>
      </c>
      <c r="C452" s="55" t="s">
        <v>56</v>
      </c>
      <c r="D452" s="57">
        <v>17828</v>
      </c>
      <c r="E452" s="55">
        <v>12734</v>
      </c>
      <c r="F452" s="55">
        <v>159</v>
      </c>
      <c r="G452" s="55">
        <v>10</v>
      </c>
      <c r="H452" s="55">
        <v>1</v>
      </c>
      <c r="I452" s="55">
        <v>0</v>
      </c>
      <c r="J452" s="55">
        <v>1</v>
      </c>
    </row>
    <row r="453" spans="1:10" ht="15" x14ac:dyDescent="0.4">
      <c r="A453" s="54">
        <v>45929</v>
      </c>
      <c r="B453" s="55" t="s">
        <v>63</v>
      </c>
      <c r="C453" s="55" t="s">
        <v>58</v>
      </c>
      <c r="D453" s="57">
        <v>6692</v>
      </c>
      <c r="E453" s="55">
        <v>1394</v>
      </c>
      <c r="F453" s="55">
        <v>83</v>
      </c>
      <c r="G453" s="55">
        <v>3</v>
      </c>
      <c r="H453" s="55">
        <v>0</v>
      </c>
      <c r="I453" s="55">
        <v>0</v>
      </c>
      <c r="J453" s="55">
        <v>0</v>
      </c>
    </row>
    <row r="454" spans="1:10" ht="15" x14ac:dyDescent="0.4">
      <c r="A454" s="54">
        <v>45929</v>
      </c>
      <c r="B454" s="55" t="s">
        <v>57</v>
      </c>
      <c r="C454" s="55" t="s">
        <v>58</v>
      </c>
      <c r="D454" s="57">
        <v>23241</v>
      </c>
      <c r="E454" s="55">
        <v>4841</v>
      </c>
      <c r="F454" s="55">
        <v>247</v>
      </c>
      <c r="G454" s="55">
        <v>7</v>
      </c>
      <c r="H454" s="55">
        <v>0</v>
      </c>
      <c r="I454" s="55">
        <v>1</v>
      </c>
      <c r="J454" s="55">
        <v>0</v>
      </c>
    </row>
    <row r="455" spans="1:10" ht="15" x14ac:dyDescent="0.4">
      <c r="A455" s="54">
        <v>45929</v>
      </c>
      <c r="B455" s="55" t="s">
        <v>55</v>
      </c>
      <c r="C455" s="55" t="s">
        <v>56</v>
      </c>
      <c r="D455" s="57">
        <v>34774</v>
      </c>
      <c r="E455" s="55">
        <v>24838</v>
      </c>
      <c r="F455" s="55">
        <v>292</v>
      </c>
      <c r="G455" s="55">
        <v>12</v>
      </c>
      <c r="H455" s="55">
        <v>1</v>
      </c>
      <c r="I455" s="55">
        <v>0</v>
      </c>
      <c r="J455" s="55">
        <v>1</v>
      </c>
    </row>
    <row r="456" spans="1:10" ht="15" x14ac:dyDescent="0.4">
      <c r="A456" s="54">
        <v>45929</v>
      </c>
      <c r="B456" s="55" t="s">
        <v>62</v>
      </c>
      <c r="C456" s="55" t="s">
        <v>56</v>
      </c>
      <c r="D456" s="57">
        <v>10106</v>
      </c>
      <c r="E456" s="55">
        <v>7218</v>
      </c>
      <c r="F456" s="55">
        <v>77</v>
      </c>
      <c r="G456" s="55">
        <v>1</v>
      </c>
      <c r="H456" s="55">
        <v>1</v>
      </c>
      <c r="I456" s="55">
        <v>0</v>
      </c>
      <c r="J456" s="55">
        <v>1</v>
      </c>
    </row>
    <row r="457" spans="1:10" ht="15" x14ac:dyDescent="0.4">
      <c r="A457" s="54">
        <v>45930</v>
      </c>
      <c r="B457" s="55" t="s">
        <v>61</v>
      </c>
      <c r="C457" s="55" t="s">
        <v>56</v>
      </c>
      <c r="D457" s="57">
        <v>16052</v>
      </c>
      <c r="E457" s="55">
        <v>11465</v>
      </c>
      <c r="F457" s="55">
        <v>130</v>
      </c>
      <c r="G457" s="55">
        <v>4</v>
      </c>
      <c r="H457" s="55">
        <v>3</v>
      </c>
      <c r="I457" s="55">
        <v>0</v>
      </c>
      <c r="J457" s="55">
        <v>0</v>
      </c>
    </row>
    <row r="458" spans="1:10" ht="15" x14ac:dyDescent="0.4">
      <c r="A458" s="54">
        <v>45930</v>
      </c>
      <c r="B458" s="55" t="s">
        <v>63</v>
      </c>
      <c r="C458" s="55" t="s">
        <v>58</v>
      </c>
      <c r="D458" s="57">
        <v>7459</v>
      </c>
      <c r="E458" s="55">
        <v>1553</v>
      </c>
      <c r="F458" s="55">
        <v>77</v>
      </c>
      <c r="G458" s="55">
        <v>6</v>
      </c>
      <c r="H458" s="55">
        <v>2</v>
      </c>
      <c r="I458" s="55">
        <v>2</v>
      </c>
      <c r="J458" s="55">
        <v>0</v>
      </c>
    </row>
    <row r="459" spans="1:10" ht="15" x14ac:dyDescent="0.4">
      <c r="A459" s="54">
        <v>45930</v>
      </c>
      <c r="B459" s="55" t="s">
        <v>57</v>
      </c>
      <c r="C459" s="55" t="s">
        <v>58</v>
      </c>
      <c r="D459" s="57">
        <v>23645</v>
      </c>
      <c r="E459" s="55">
        <v>4926</v>
      </c>
      <c r="F459" s="55">
        <v>277</v>
      </c>
      <c r="G459" s="55">
        <v>2</v>
      </c>
      <c r="H459" s="55">
        <v>1</v>
      </c>
      <c r="I459" s="55">
        <v>0</v>
      </c>
      <c r="J459" s="55">
        <v>1</v>
      </c>
    </row>
    <row r="460" spans="1:10" ht="15" x14ac:dyDescent="0.4">
      <c r="A460" s="54">
        <v>45930</v>
      </c>
      <c r="B460" s="55" t="s">
        <v>55</v>
      </c>
      <c r="C460" s="55" t="s">
        <v>56</v>
      </c>
      <c r="D460" s="57">
        <v>30082</v>
      </c>
      <c r="E460" s="55">
        <v>21487</v>
      </c>
      <c r="F460" s="55">
        <v>251</v>
      </c>
      <c r="G460" s="55">
        <v>11</v>
      </c>
      <c r="H460" s="55">
        <v>2</v>
      </c>
      <c r="I460" s="55">
        <v>0</v>
      </c>
      <c r="J460" s="55">
        <v>0</v>
      </c>
    </row>
    <row r="461" spans="1:10" ht="15" x14ac:dyDescent="0.4">
      <c r="A461" s="54">
        <v>45930</v>
      </c>
      <c r="B461" s="55" t="s">
        <v>62</v>
      </c>
      <c r="C461" s="55" t="s">
        <v>56</v>
      </c>
      <c r="D461" s="57">
        <v>8816</v>
      </c>
      <c r="E461" s="55">
        <v>6297</v>
      </c>
      <c r="F461" s="55">
        <v>68</v>
      </c>
      <c r="G461" s="55">
        <v>5</v>
      </c>
      <c r="H461" s="55">
        <v>1</v>
      </c>
      <c r="I461" s="55">
        <v>0</v>
      </c>
      <c r="J461" s="55">
        <v>0</v>
      </c>
    </row>
    <row r="462" spans="1:10" ht="15" x14ac:dyDescent="0.4">
      <c r="A462" s="54">
        <v>45931</v>
      </c>
      <c r="B462" s="55" t="s">
        <v>61</v>
      </c>
      <c r="C462" s="55" t="s">
        <v>56</v>
      </c>
      <c r="D462" s="57">
        <v>15506</v>
      </c>
      <c r="E462" s="55">
        <v>11075</v>
      </c>
      <c r="F462" s="55">
        <v>117</v>
      </c>
      <c r="G462" s="55">
        <v>4</v>
      </c>
      <c r="H462" s="55">
        <v>0</v>
      </c>
      <c r="I462" s="55">
        <v>2</v>
      </c>
      <c r="J462" s="55">
        <v>0</v>
      </c>
    </row>
    <row r="463" spans="1:10" ht="15" x14ac:dyDescent="0.4">
      <c r="A463" s="54">
        <v>45931</v>
      </c>
      <c r="B463" s="55" t="s">
        <v>63</v>
      </c>
      <c r="C463" s="55" t="s">
        <v>58</v>
      </c>
      <c r="D463" s="57">
        <v>6296</v>
      </c>
      <c r="E463" s="55">
        <v>1311</v>
      </c>
      <c r="F463" s="55">
        <v>77</v>
      </c>
      <c r="G463" s="55">
        <v>1</v>
      </c>
      <c r="H463" s="55">
        <v>1</v>
      </c>
      <c r="I463" s="55">
        <v>0</v>
      </c>
      <c r="J463" s="55">
        <v>1</v>
      </c>
    </row>
    <row r="464" spans="1:10" ht="15" x14ac:dyDescent="0.4">
      <c r="A464" s="54">
        <v>45931</v>
      </c>
      <c r="B464" s="55" t="s">
        <v>57</v>
      </c>
      <c r="C464" s="55" t="s">
        <v>58</v>
      </c>
      <c r="D464" s="57">
        <v>23095</v>
      </c>
      <c r="E464" s="55">
        <v>4811</v>
      </c>
      <c r="F464" s="55">
        <v>263</v>
      </c>
      <c r="G464" s="55">
        <v>1</v>
      </c>
      <c r="H464" s="55">
        <v>1</v>
      </c>
      <c r="I464" s="55">
        <v>0</v>
      </c>
      <c r="J464" s="55">
        <v>0</v>
      </c>
    </row>
    <row r="465" spans="1:10" ht="15" x14ac:dyDescent="0.4">
      <c r="A465" s="54">
        <v>45931</v>
      </c>
      <c r="B465" s="55" t="s">
        <v>59</v>
      </c>
      <c r="C465" s="55" t="s">
        <v>60</v>
      </c>
      <c r="D465" s="57">
        <v>26815</v>
      </c>
      <c r="E465" s="55">
        <v>5156</v>
      </c>
      <c r="F465" s="55">
        <v>31</v>
      </c>
      <c r="G465" s="55">
        <v>1</v>
      </c>
      <c r="H465" s="55">
        <v>0</v>
      </c>
      <c r="I465" s="55">
        <v>0</v>
      </c>
      <c r="J465" s="55">
        <v>0</v>
      </c>
    </row>
    <row r="466" spans="1:10" ht="15" x14ac:dyDescent="0.4">
      <c r="A466" s="54">
        <v>45931</v>
      </c>
      <c r="B466" s="55" t="s">
        <v>55</v>
      </c>
      <c r="C466" s="55" t="s">
        <v>56</v>
      </c>
      <c r="D466" s="57">
        <v>29878</v>
      </c>
      <c r="E466" s="55">
        <v>21341</v>
      </c>
      <c r="F466" s="55">
        <v>225</v>
      </c>
      <c r="G466" s="55">
        <v>9</v>
      </c>
      <c r="H466" s="55">
        <v>4</v>
      </c>
      <c r="I466" s="55">
        <v>1</v>
      </c>
      <c r="J466" s="55">
        <v>0</v>
      </c>
    </row>
    <row r="467" spans="1:10" ht="15" x14ac:dyDescent="0.4">
      <c r="A467" s="54">
        <v>45931</v>
      </c>
      <c r="B467" s="55" t="s">
        <v>62</v>
      </c>
      <c r="C467" s="55" t="s">
        <v>56</v>
      </c>
      <c r="D467" s="57">
        <v>9068</v>
      </c>
      <c r="E467" s="55">
        <v>6477</v>
      </c>
      <c r="F467" s="55">
        <v>72</v>
      </c>
      <c r="G467" s="55">
        <v>1</v>
      </c>
      <c r="H467" s="55">
        <v>2</v>
      </c>
      <c r="I467" s="55">
        <v>0</v>
      </c>
      <c r="J467" s="55">
        <v>0</v>
      </c>
    </row>
    <row r="468" spans="1:10" ht="15" x14ac:dyDescent="0.4">
      <c r="A468" s="54">
        <v>45932</v>
      </c>
      <c r="B468" s="55" t="s">
        <v>61</v>
      </c>
      <c r="C468" s="55" t="s">
        <v>56</v>
      </c>
      <c r="D468" s="57">
        <v>16518</v>
      </c>
      <c r="E468" s="55">
        <v>11798</v>
      </c>
      <c r="F468" s="55">
        <v>135</v>
      </c>
      <c r="G468" s="55">
        <v>4</v>
      </c>
      <c r="H468" s="55">
        <v>1</v>
      </c>
      <c r="I468" s="55">
        <v>1</v>
      </c>
      <c r="J468" s="55">
        <v>0</v>
      </c>
    </row>
    <row r="469" spans="1:10" ht="15" x14ac:dyDescent="0.4">
      <c r="A469" s="54">
        <v>45932</v>
      </c>
      <c r="B469" s="55" t="s">
        <v>63</v>
      </c>
      <c r="C469" s="55" t="s">
        <v>58</v>
      </c>
      <c r="D469" s="57">
        <v>7355</v>
      </c>
      <c r="E469" s="55">
        <v>1532</v>
      </c>
      <c r="F469" s="55">
        <v>87</v>
      </c>
      <c r="G469" s="55">
        <v>4</v>
      </c>
      <c r="H469" s="55">
        <v>1</v>
      </c>
      <c r="I469" s="55">
        <v>0</v>
      </c>
      <c r="J469" s="55">
        <v>0</v>
      </c>
    </row>
    <row r="470" spans="1:10" ht="15" x14ac:dyDescent="0.4">
      <c r="A470" s="54">
        <v>45932</v>
      </c>
      <c r="B470" s="55" t="s">
        <v>57</v>
      </c>
      <c r="C470" s="55" t="s">
        <v>58</v>
      </c>
      <c r="D470" s="57">
        <v>21105</v>
      </c>
      <c r="E470" s="55">
        <v>4396</v>
      </c>
      <c r="F470" s="55">
        <v>211</v>
      </c>
      <c r="G470" s="55">
        <v>3</v>
      </c>
      <c r="H470" s="55">
        <v>0</v>
      </c>
      <c r="I470" s="55">
        <v>0</v>
      </c>
      <c r="J470" s="55">
        <v>0</v>
      </c>
    </row>
    <row r="471" spans="1:10" ht="15" x14ac:dyDescent="0.4">
      <c r="A471" s="54">
        <v>45932</v>
      </c>
      <c r="B471" s="55" t="s">
        <v>59</v>
      </c>
      <c r="C471" s="55" t="s">
        <v>60</v>
      </c>
      <c r="D471" s="57">
        <v>23525</v>
      </c>
      <c r="E471" s="55">
        <v>4524</v>
      </c>
      <c r="F471" s="55">
        <v>26</v>
      </c>
      <c r="G471" s="55">
        <v>1</v>
      </c>
      <c r="H471" s="55">
        <v>0</v>
      </c>
      <c r="I471" s="55">
        <v>0</v>
      </c>
      <c r="J471" s="55">
        <v>0</v>
      </c>
    </row>
    <row r="472" spans="1:10" ht="15" x14ac:dyDescent="0.4">
      <c r="A472" s="54">
        <v>45932</v>
      </c>
      <c r="B472" s="55" t="s">
        <v>55</v>
      </c>
      <c r="C472" s="55" t="s">
        <v>56</v>
      </c>
      <c r="D472" s="57">
        <v>35607</v>
      </c>
      <c r="E472" s="55">
        <v>25433</v>
      </c>
      <c r="F472" s="55">
        <v>277</v>
      </c>
      <c r="G472" s="55">
        <v>8</v>
      </c>
      <c r="H472" s="55">
        <v>0</v>
      </c>
      <c r="I472" s="55">
        <v>1</v>
      </c>
      <c r="J472" s="55">
        <v>0</v>
      </c>
    </row>
    <row r="473" spans="1:10" ht="15" x14ac:dyDescent="0.4">
      <c r="A473" s="54">
        <v>45932</v>
      </c>
      <c r="B473" s="55" t="s">
        <v>62</v>
      </c>
      <c r="C473" s="55" t="s">
        <v>56</v>
      </c>
      <c r="D473" s="57">
        <v>8692</v>
      </c>
      <c r="E473" s="55">
        <v>6208</v>
      </c>
      <c r="F473" s="55">
        <v>70</v>
      </c>
      <c r="G473" s="55">
        <v>3</v>
      </c>
      <c r="H473" s="55">
        <v>1</v>
      </c>
      <c r="I473" s="55">
        <v>1</v>
      </c>
      <c r="J473" s="55">
        <v>0</v>
      </c>
    </row>
    <row r="474" spans="1:10" ht="15" x14ac:dyDescent="0.4">
      <c r="A474" s="54">
        <v>45933</v>
      </c>
      <c r="B474" s="55" t="s">
        <v>61</v>
      </c>
      <c r="C474" s="55" t="s">
        <v>56</v>
      </c>
      <c r="D474" s="57">
        <v>17333</v>
      </c>
      <c r="E474" s="55">
        <v>12380</v>
      </c>
      <c r="F474" s="55">
        <v>155</v>
      </c>
      <c r="G474" s="55">
        <v>3</v>
      </c>
      <c r="H474" s="55">
        <v>0</v>
      </c>
      <c r="I474" s="55">
        <v>0</v>
      </c>
      <c r="J474" s="55">
        <v>0</v>
      </c>
    </row>
    <row r="475" spans="1:10" ht="15" x14ac:dyDescent="0.4">
      <c r="A475" s="54">
        <v>45933</v>
      </c>
      <c r="B475" s="55" t="s">
        <v>63</v>
      </c>
      <c r="C475" s="55" t="s">
        <v>58</v>
      </c>
      <c r="D475" s="57">
        <v>7116</v>
      </c>
      <c r="E475" s="55">
        <v>1482</v>
      </c>
      <c r="F475" s="55">
        <v>75</v>
      </c>
      <c r="G475" s="55">
        <v>1</v>
      </c>
      <c r="H475" s="55">
        <v>1</v>
      </c>
      <c r="I475" s="55">
        <v>0</v>
      </c>
      <c r="J475" s="55">
        <v>0</v>
      </c>
    </row>
    <row r="476" spans="1:10" ht="15" x14ac:dyDescent="0.4">
      <c r="A476" s="54">
        <v>45933</v>
      </c>
      <c r="B476" s="55" t="s">
        <v>57</v>
      </c>
      <c r="C476" s="55" t="s">
        <v>58</v>
      </c>
      <c r="D476" s="57">
        <v>24836</v>
      </c>
      <c r="E476" s="55">
        <v>5174</v>
      </c>
      <c r="F476" s="55">
        <v>285</v>
      </c>
      <c r="G476" s="55">
        <v>4</v>
      </c>
      <c r="H476" s="55">
        <v>1</v>
      </c>
      <c r="I476" s="55">
        <v>0</v>
      </c>
      <c r="J476" s="55">
        <v>0</v>
      </c>
    </row>
    <row r="477" spans="1:10" ht="15" x14ac:dyDescent="0.4">
      <c r="A477" s="54">
        <v>45933</v>
      </c>
      <c r="B477" s="55" t="s">
        <v>59</v>
      </c>
      <c r="C477" s="55" t="s">
        <v>60</v>
      </c>
      <c r="D477" s="57">
        <v>24766</v>
      </c>
      <c r="E477" s="55">
        <v>4762</v>
      </c>
      <c r="F477" s="55">
        <v>28</v>
      </c>
      <c r="G477" s="55">
        <v>1</v>
      </c>
      <c r="H477" s="55">
        <v>0</v>
      </c>
      <c r="I477" s="55">
        <v>0</v>
      </c>
      <c r="J477" s="55">
        <v>0</v>
      </c>
    </row>
    <row r="478" spans="1:10" ht="15" x14ac:dyDescent="0.4">
      <c r="A478" s="54">
        <v>45933</v>
      </c>
      <c r="B478" s="55" t="s">
        <v>55</v>
      </c>
      <c r="C478" s="55" t="s">
        <v>56</v>
      </c>
      <c r="D478" s="57">
        <v>32234</v>
      </c>
      <c r="E478" s="55">
        <v>23024</v>
      </c>
      <c r="F478" s="55">
        <v>243</v>
      </c>
      <c r="G478" s="55">
        <v>7</v>
      </c>
      <c r="H478" s="55">
        <v>4</v>
      </c>
      <c r="I478" s="55">
        <v>2</v>
      </c>
      <c r="J478" s="55">
        <v>0</v>
      </c>
    </row>
    <row r="479" spans="1:10" ht="15" x14ac:dyDescent="0.4">
      <c r="A479" s="54">
        <v>45933</v>
      </c>
      <c r="B479" s="55" t="s">
        <v>62</v>
      </c>
      <c r="C479" s="55" t="s">
        <v>56</v>
      </c>
      <c r="D479" s="57">
        <v>9176</v>
      </c>
      <c r="E479" s="55">
        <v>6554</v>
      </c>
      <c r="F479" s="55">
        <v>63</v>
      </c>
      <c r="G479" s="55">
        <v>4</v>
      </c>
      <c r="H479" s="55">
        <v>0</v>
      </c>
      <c r="I479" s="55">
        <v>0</v>
      </c>
      <c r="J479" s="55">
        <v>1</v>
      </c>
    </row>
    <row r="480" spans="1:10" ht="15" x14ac:dyDescent="0.4">
      <c r="A480" s="54">
        <v>45934</v>
      </c>
      <c r="B480" s="55" t="s">
        <v>61</v>
      </c>
      <c r="C480" s="55" t="s">
        <v>56</v>
      </c>
      <c r="D480" s="57">
        <v>17868</v>
      </c>
      <c r="E480" s="55">
        <v>12762</v>
      </c>
      <c r="F480" s="55">
        <v>138</v>
      </c>
      <c r="G480" s="55">
        <v>4</v>
      </c>
      <c r="H480" s="55">
        <v>2</v>
      </c>
      <c r="I480" s="55">
        <v>1</v>
      </c>
      <c r="J480" s="55">
        <v>0</v>
      </c>
    </row>
    <row r="481" spans="1:10" ht="15" x14ac:dyDescent="0.4">
      <c r="A481" s="54">
        <v>45934</v>
      </c>
      <c r="B481" s="55" t="s">
        <v>63</v>
      </c>
      <c r="C481" s="55" t="s">
        <v>58</v>
      </c>
      <c r="D481" s="57">
        <v>7258</v>
      </c>
      <c r="E481" s="55">
        <v>1512</v>
      </c>
      <c r="F481" s="55">
        <v>87</v>
      </c>
      <c r="G481" s="55">
        <v>1</v>
      </c>
      <c r="H481" s="55">
        <v>1</v>
      </c>
      <c r="I481" s="55">
        <v>0</v>
      </c>
      <c r="J481" s="55">
        <v>1</v>
      </c>
    </row>
    <row r="482" spans="1:10" ht="15" x14ac:dyDescent="0.4">
      <c r="A482" s="54">
        <v>45934</v>
      </c>
      <c r="B482" s="55" t="s">
        <v>57</v>
      </c>
      <c r="C482" s="55" t="s">
        <v>58</v>
      </c>
      <c r="D482" s="57">
        <v>22738</v>
      </c>
      <c r="E482" s="55">
        <v>4737</v>
      </c>
      <c r="F482" s="55">
        <v>241</v>
      </c>
      <c r="G482" s="55">
        <v>3</v>
      </c>
      <c r="H482" s="55">
        <v>0</v>
      </c>
      <c r="I482" s="55">
        <v>0</v>
      </c>
      <c r="J482" s="55">
        <v>0</v>
      </c>
    </row>
    <row r="483" spans="1:10" ht="15" x14ac:dyDescent="0.4">
      <c r="A483" s="54">
        <v>45934</v>
      </c>
      <c r="B483" s="55" t="s">
        <v>59</v>
      </c>
      <c r="C483" s="55" t="s">
        <v>60</v>
      </c>
      <c r="D483" s="57">
        <v>23482</v>
      </c>
      <c r="E483" s="55">
        <v>4515</v>
      </c>
      <c r="F483" s="55">
        <v>26</v>
      </c>
      <c r="G483" s="55">
        <v>0</v>
      </c>
      <c r="H483" s="55">
        <v>0</v>
      </c>
      <c r="I483" s="55">
        <v>0</v>
      </c>
      <c r="J483" s="55">
        <v>0</v>
      </c>
    </row>
    <row r="484" spans="1:10" ht="15" x14ac:dyDescent="0.4">
      <c r="A484" s="54">
        <v>45934</v>
      </c>
      <c r="B484" s="55" t="s">
        <v>55</v>
      </c>
      <c r="C484" s="55" t="s">
        <v>56</v>
      </c>
      <c r="D484" s="57">
        <v>32223</v>
      </c>
      <c r="E484" s="55">
        <v>23016</v>
      </c>
      <c r="F484" s="55">
        <v>242</v>
      </c>
      <c r="G484" s="55">
        <v>6</v>
      </c>
      <c r="H484" s="55">
        <v>1</v>
      </c>
      <c r="I484" s="55">
        <v>2</v>
      </c>
      <c r="J484" s="55">
        <v>0</v>
      </c>
    </row>
    <row r="485" spans="1:10" ht="15" x14ac:dyDescent="0.4">
      <c r="A485" s="54">
        <v>45934</v>
      </c>
      <c r="B485" s="55" t="s">
        <v>62</v>
      </c>
      <c r="C485" s="55" t="s">
        <v>56</v>
      </c>
      <c r="D485" s="57">
        <v>9914</v>
      </c>
      <c r="E485" s="55">
        <v>7081</v>
      </c>
      <c r="F485" s="55">
        <v>82</v>
      </c>
      <c r="G485" s="55">
        <v>1</v>
      </c>
      <c r="H485" s="55">
        <v>2</v>
      </c>
      <c r="I485" s="55">
        <v>0</v>
      </c>
      <c r="J485" s="55">
        <v>0</v>
      </c>
    </row>
    <row r="486" spans="1:10" ht="15" x14ac:dyDescent="0.4">
      <c r="A486" s="54">
        <v>45935</v>
      </c>
      <c r="B486" s="55" t="s">
        <v>61</v>
      </c>
      <c r="C486" s="55" t="s">
        <v>56</v>
      </c>
      <c r="D486" s="57">
        <v>18085</v>
      </c>
      <c r="E486" s="55">
        <v>12917</v>
      </c>
      <c r="F486" s="55">
        <v>135</v>
      </c>
      <c r="G486" s="55">
        <v>2</v>
      </c>
      <c r="H486" s="55">
        <v>2</v>
      </c>
      <c r="I486" s="55">
        <v>2</v>
      </c>
      <c r="J486" s="55">
        <v>0</v>
      </c>
    </row>
    <row r="487" spans="1:10" ht="15" x14ac:dyDescent="0.4">
      <c r="A487" s="54">
        <v>45935</v>
      </c>
      <c r="B487" s="55" t="s">
        <v>63</v>
      </c>
      <c r="C487" s="55" t="s">
        <v>58</v>
      </c>
      <c r="D487" s="57">
        <v>6339</v>
      </c>
      <c r="E487" s="55">
        <v>1320</v>
      </c>
      <c r="F487" s="55">
        <v>72</v>
      </c>
      <c r="G487" s="55">
        <v>0</v>
      </c>
      <c r="H487" s="55">
        <v>0</v>
      </c>
      <c r="I487" s="55">
        <v>0</v>
      </c>
      <c r="J487" s="55">
        <v>0</v>
      </c>
    </row>
    <row r="488" spans="1:10" ht="15" x14ac:dyDescent="0.4">
      <c r="A488" s="54">
        <v>45935</v>
      </c>
      <c r="B488" s="55" t="s">
        <v>57</v>
      </c>
      <c r="C488" s="55" t="s">
        <v>58</v>
      </c>
      <c r="D488" s="57">
        <v>20715</v>
      </c>
      <c r="E488" s="55">
        <v>4315</v>
      </c>
      <c r="F488" s="55">
        <v>237</v>
      </c>
      <c r="G488" s="55">
        <v>1</v>
      </c>
      <c r="H488" s="55">
        <v>1</v>
      </c>
      <c r="I488" s="55">
        <v>0</v>
      </c>
      <c r="J488" s="55">
        <v>0</v>
      </c>
    </row>
    <row r="489" spans="1:10" ht="15" x14ac:dyDescent="0.4">
      <c r="A489" s="54">
        <v>45935</v>
      </c>
      <c r="B489" s="55" t="s">
        <v>59</v>
      </c>
      <c r="C489" s="55" t="s">
        <v>60</v>
      </c>
      <c r="D489" s="57">
        <v>27386</v>
      </c>
      <c r="E489" s="55">
        <v>5266</v>
      </c>
      <c r="F489" s="55">
        <v>30</v>
      </c>
      <c r="G489" s="55">
        <v>1</v>
      </c>
      <c r="H489" s="55">
        <v>1</v>
      </c>
      <c r="I489" s="55">
        <v>0</v>
      </c>
      <c r="J489" s="55">
        <v>0</v>
      </c>
    </row>
    <row r="490" spans="1:10" ht="15" x14ac:dyDescent="0.4">
      <c r="A490" s="54">
        <v>45935</v>
      </c>
      <c r="B490" s="55" t="s">
        <v>55</v>
      </c>
      <c r="C490" s="55" t="s">
        <v>56</v>
      </c>
      <c r="D490" s="57">
        <v>30015</v>
      </c>
      <c r="E490" s="55">
        <v>21439</v>
      </c>
      <c r="F490" s="55">
        <v>209</v>
      </c>
      <c r="G490" s="55">
        <v>4</v>
      </c>
      <c r="H490" s="55">
        <v>2</v>
      </c>
      <c r="I490" s="55">
        <v>0</v>
      </c>
      <c r="J490" s="55">
        <v>0</v>
      </c>
    </row>
    <row r="491" spans="1:10" ht="15" x14ac:dyDescent="0.4">
      <c r="A491" s="54">
        <v>45935</v>
      </c>
      <c r="B491" s="55" t="s">
        <v>62</v>
      </c>
      <c r="C491" s="55" t="s">
        <v>56</v>
      </c>
      <c r="D491" s="57">
        <v>9678</v>
      </c>
      <c r="E491" s="55">
        <v>6912</v>
      </c>
      <c r="F491" s="55">
        <v>67</v>
      </c>
      <c r="G491" s="55">
        <v>2</v>
      </c>
      <c r="H491" s="55">
        <v>0</v>
      </c>
      <c r="I491" s="55">
        <v>0</v>
      </c>
      <c r="J491" s="55">
        <v>0</v>
      </c>
    </row>
    <row r="492" spans="1:10" ht="15" x14ac:dyDescent="0.4">
      <c r="A492" s="54">
        <v>45936</v>
      </c>
      <c r="B492" s="55" t="s">
        <v>61</v>
      </c>
      <c r="C492" s="55" t="s">
        <v>56</v>
      </c>
      <c r="D492" s="57">
        <v>15733</v>
      </c>
      <c r="E492" s="55">
        <v>11237</v>
      </c>
      <c r="F492" s="55">
        <v>140</v>
      </c>
      <c r="G492" s="55">
        <v>4</v>
      </c>
      <c r="H492" s="55">
        <v>1</v>
      </c>
      <c r="I492" s="55">
        <v>0</v>
      </c>
      <c r="J492" s="55">
        <v>0</v>
      </c>
    </row>
    <row r="493" spans="1:10" ht="15" x14ac:dyDescent="0.4">
      <c r="A493" s="54">
        <v>45936</v>
      </c>
      <c r="B493" s="55" t="s">
        <v>63</v>
      </c>
      <c r="C493" s="55" t="s">
        <v>58</v>
      </c>
      <c r="D493" s="57">
        <v>6444</v>
      </c>
      <c r="E493" s="55">
        <v>1342</v>
      </c>
      <c r="F493" s="55">
        <v>78</v>
      </c>
      <c r="G493" s="55">
        <v>2</v>
      </c>
      <c r="H493" s="55">
        <v>1</v>
      </c>
      <c r="I493" s="55">
        <v>0</v>
      </c>
      <c r="J493" s="55">
        <v>0</v>
      </c>
    </row>
    <row r="494" spans="1:10" ht="15" x14ac:dyDescent="0.4">
      <c r="A494" s="54">
        <v>45936</v>
      </c>
      <c r="B494" s="55" t="s">
        <v>57</v>
      </c>
      <c r="C494" s="55" t="s">
        <v>58</v>
      </c>
      <c r="D494" s="57">
        <v>22107</v>
      </c>
      <c r="E494" s="55">
        <v>4605</v>
      </c>
      <c r="F494" s="55">
        <v>256</v>
      </c>
      <c r="G494" s="55">
        <v>1</v>
      </c>
      <c r="H494" s="55">
        <v>2</v>
      </c>
      <c r="I494" s="55">
        <v>0</v>
      </c>
      <c r="J494" s="55">
        <v>0</v>
      </c>
    </row>
    <row r="495" spans="1:10" ht="15" x14ac:dyDescent="0.4">
      <c r="A495" s="54">
        <v>45936</v>
      </c>
      <c r="B495" s="55" t="s">
        <v>59</v>
      </c>
      <c r="C495" s="55" t="s">
        <v>60</v>
      </c>
      <c r="D495" s="57">
        <v>25124</v>
      </c>
      <c r="E495" s="55">
        <v>4831</v>
      </c>
      <c r="F495" s="55">
        <v>31</v>
      </c>
      <c r="G495" s="55">
        <v>1</v>
      </c>
      <c r="H495" s="55">
        <v>0</v>
      </c>
      <c r="I495" s="55">
        <v>0</v>
      </c>
      <c r="J495" s="55">
        <v>0</v>
      </c>
    </row>
    <row r="496" spans="1:10" ht="15" x14ac:dyDescent="0.4">
      <c r="A496" s="54">
        <v>45936</v>
      </c>
      <c r="B496" s="55" t="s">
        <v>55</v>
      </c>
      <c r="C496" s="55" t="s">
        <v>56</v>
      </c>
      <c r="D496" s="57">
        <v>35578</v>
      </c>
      <c r="E496" s="55">
        <v>25412</v>
      </c>
      <c r="F496" s="55">
        <v>245</v>
      </c>
      <c r="G496" s="55">
        <v>13</v>
      </c>
      <c r="H496" s="55">
        <v>0</v>
      </c>
      <c r="I496" s="55">
        <v>3</v>
      </c>
      <c r="J496" s="55">
        <v>0</v>
      </c>
    </row>
    <row r="497" spans="1:10" ht="15" x14ac:dyDescent="0.4">
      <c r="A497" s="54">
        <v>45936</v>
      </c>
      <c r="B497" s="55" t="s">
        <v>62</v>
      </c>
      <c r="C497" s="55" t="s">
        <v>56</v>
      </c>
      <c r="D497" s="57">
        <v>9762</v>
      </c>
      <c r="E497" s="55">
        <v>6972</v>
      </c>
      <c r="F497" s="55">
        <v>67</v>
      </c>
      <c r="G497" s="55">
        <v>0</v>
      </c>
      <c r="H497" s="55">
        <v>1</v>
      </c>
      <c r="I497" s="55">
        <v>0</v>
      </c>
      <c r="J497" s="55">
        <v>0</v>
      </c>
    </row>
    <row r="498" spans="1:10" ht="15" x14ac:dyDescent="0.4">
      <c r="A498" s="54">
        <v>45937</v>
      </c>
      <c r="B498" s="55" t="s">
        <v>61</v>
      </c>
      <c r="C498" s="55" t="s">
        <v>56</v>
      </c>
      <c r="D498" s="57">
        <v>15125</v>
      </c>
      <c r="E498" s="55">
        <v>10803</v>
      </c>
      <c r="F498" s="55">
        <v>122</v>
      </c>
      <c r="G498" s="55">
        <v>2</v>
      </c>
      <c r="H498" s="55">
        <v>2</v>
      </c>
      <c r="I498" s="55">
        <v>0</v>
      </c>
      <c r="J498" s="55">
        <v>0</v>
      </c>
    </row>
    <row r="499" spans="1:10" ht="15" x14ac:dyDescent="0.4">
      <c r="A499" s="54">
        <v>45937</v>
      </c>
      <c r="B499" s="55" t="s">
        <v>63</v>
      </c>
      <c r="C499" s="55" t="s">
        <v>58</v>
      </c>
      <c r="D499" s="57">
        <v>6872</v>
      </c>
      <c r="E499" s="55">
        <v>1431</v>
      </c>
      <c r="F499" s="55">
        <v>66</v>
      </c>
      <c r="G499" s="55">
        <v>4</v>
      </c>
      <c r="H499" s="55">
        <v>0</v>
      </c>
      <c r="I499" s="55">
        <v>1</v>
      </c>
      <c r="J499" s="55">
        <v>0</v>
      </c>
    </row>
    <row r="500" spans="1:10" ht="15" x14ac:dyDescent="0.4">
      <c r="A500" s="54">
        <v>45937</v>
      </c>
      <c r="B500" s="55" t="s">
        <v>57</v>
      </c>
      <c r="C500" s="55" t="s">
        <v>58</v>
      </c>
      <c r="D500" s="57">
        <v>22811</v>
      </c>
      <c r="E500" s="55">
        <v>4752</v>
      </c>
      <c r="F500" s="55">
        <v>254</v>
      </c>
      <c r="G500" s="55">
        <v>2</v>
      </c>
      <c r="H500" s="55">
        <v>0</v>
      </c>
      <c r="I500" s="55">
        <v>0</v>
      </c>
      <c r="J500" s="55">
        <v>0</v>
      </c>
    </row>
    <row r="501" spans="1:10" ht="15" x14ac:dyDescent="0.4">
      <c r="A501" s="54">
        <v>45937</v>
      </c>
      <c r="B501" s="55" t="s">
        <v>59</v>
      </c>
      <c r="C501" s="55" t="s">
        <v>60</v>
      </c>
      <c r="D501" s="57">
        <v>26860</v>
      </c>
      <c r="E501" s="55">
        <v>5165</v>
      </c>
      <c r="F501" s="55">
        <v>31</v>
      </c>
      <c r="G501" s="55">
        <v>3</v>
      </c>
      <c r="H501" s="55">
        <v>0</v>
      </c>
      <c r="I501" s="55">
        <v>0</v>
      </c>
      <c r="J501" s="55">
        <v>0</v>
      </c>
    </row>
    <row r="502" spans="1:10" ht="15" x14ac:dyDescent="0.4">
      <c r="A502" s="54">
        <v>45937</v>
      </c>
      <c r="B502" s="55" t="s">
        <v>55</v>
      </c>
      <c r="C502" s="55" t="s">
        <v>56</v>
      </c>
      <c r="D502" s="57">
        <v>32205</v>
      </c>
      <c r="E502" s="55">
        <v>23003</v>
      </c>
      <c r="F502" s="55">
        <v>247</v>
      </c>
      <c r="G502" s="55">
        <v>9</v>
      </c>
      <c r="H502" s="55">
        <v>2</v>
      </c>
      <c r="I502" s="55">
        <v>2</v>
      </c>
      <c r="J502" s="55">
        <v>0</v>
      </c>
    </row>
    <row r="503" spans="1:10" ht="15" x14ac:dyDescent="0.4">
      <c r="A503" s="54">
        <v>45937</v>
      </c>
      <c r="B503" s="55" t="s">
        <v>62</v>
      </c>
      <c r="C503" s="55" t="s">
        <v>56</v>
      </c>
      <c r="D503" s="57">
        <v>9663</v>
      </c>
      <c r="E503" s="55">
        <v>6902</v>
      </c>
      <c r="F503" s="55">
        <v>83</v>
      </c>
      <c r="G503" s="55">
        <v>4</v>
      </c>
      <c r="H503" s="55">
        <v>0</v>
      </c>
      <c r="I503" s="55">
        <v>0</v>
      </c>
      <c r="J503" s="55">
        <v>0</v>
      </c>
    </row>
    <row r="504" spans="1:10" ht="15" x14ac:dyDescent="0.4">
      <c r="A504" s="54">
        <v>45938</v>
      </c>
      <c r="B504" s="55" t="s">
        <v>61</v>
      </c>
      <c r="C504" s="55" t="s">
        <v>56</v>
      </c>
      <c r="D504" s="57">
        <v>17488</v>
      </c>
      <c r="E504" s="55">
        <v>12491</v>
      </c>
      <c r="F504" s="55">
        <v>153</v>
      </c>
      <c r="G504" s="55">
        <v>6</v>
      </c>
      <c r="H504" s="55">
        <v>1</v>
      </c>
      <c r="I504" s="55">
        <v>2</v>
      </c>
      <c r="J504" s="55">
        <v>0</v>
      </c>
    </row>
    <row r="505" spans="1:10" ht="15" x14ac:dyDescent="0.4">
      <c r="A505" s="54">
        <v>45938</v>
      </c>
      <c r="B505" s="55" t="s">
        <v>63</v>
      </c>
      <c r="C505" s="55" t="s">
        <v>58</v>
      </c>
      <c r="D505" s="57">
        <v>6669</v>
      </c>
      <c r="E505" s="55">
        <v>1389</v>
      </c>
      <c r="F505" s="55">
        <v>82</v>
      </c>
      <c r="G505" s="55">
        <v>1</v>
      </c>
      <c r="H505" s="55">
        <v>1</v>
      </c>
      <c r="I505" s="55">
        <v>0</v>
      </c>
      <c r="J505" s="55">
        <v>0</v>
      </c>
    </row>
    <row r="506" spans="1:10" ht="15" x14ac:dyDescent="0.4">
      <c r="A506" s="54">
        <v>45938</v>
      </c>
      <c r="B506" s="55" t="s">
        <v>57</v>
      </c>
      <c r="C506" s="55" t="s">
        <v>58</v>
      </c>
      <c r="D506" s="57">
        <v>21002</v>
      </c>
      <c r="E506" s="55">
        <v>4375</v>
      </c>
      <c r="F506" s="55">
        <v>220</v>
      </c>
      <c r="G506" s="55">
        <v>7</v>
      </c>
      <c r="H506" s="55">
        <v>1</v>
      </c>
      <c r="I506" s="55">
        <v>0</v>
      </c>
      <c r="J506" s="55">
        <v>0</v>
      </c>
    </row>
    <row r="507" spans="1:10" ht="15" x14ac:dyDescent="0.4">
      <c r="A507" s="54">
        <v>45938</v>
      </c>
      <c r="B507" s="55" t="s">
        <v>59</v>
      </c>
      <c r="C507" s="55" t="s">
        <v>60</v>
      </c>
      <c r="D507" s="57">
        <v>22953</v>
      </c>
      <c r="E507" s="55">
        <v>4414</v>
      </c>
      <c r="F507" s="55">
        <v>28</v>
      </c>
      <c r="G507" s="55">
        <v>1</v>
      </c>
      <c r="H507" s="55">
        <v>0</v>
      </c>
      <c r="I507" s="55">
        <v>0</v>
      </c>
      <c r="J507" s="55">
        <v>0</v>
      </c>
    </row>
    <row r="508" spans="1:10" ht="15" x14ac:dyDescent="0.4">
      <c r="A508" s="54">
        <v>45938</v>
      </c>
      <c r="B508" s="55" t="s">
        <v>55</v>
      </c>
      <c r="C508" s="55" t="s">
        <v>56</v>
      </c>
      <c r="D508" s="57">
        <v>33531</v>
      </c>
      <c r="E508" s="55">
        <v>23950</v>
      </c>
      <c r="F508" s="55">
        <v>257</v>
      </c>
      <c r="G508" s="55">
        <v>12</v>
      </c>
      <c r="H508" s="55">
        <v>2</v>
      </c>
      <c r="I508" s="55">
        <v>1</v>
      </c>
      <c r="J508" s="55">
        <v>1</v>
      </c>
    </row>
    <row r="509" spans="1:10" ht="15" x14ac:dyDescent="0.4">
      <c r="A509" s="54">
        <v>45938</v>
      </c>
      <c r="B509" s="55" t="s">
        <v>62</v>
      </c>
      <c r="C509" s="55" t="s">
        <v>56</v>
      </c>
      <c r="D509" s="57">
        <v>10152</v>
      </c>
      <c r="E509" s="55">
        <v>7251</v>
      </c>
      <c r="F509" s="55">
        <v>87</v>
      </c>
      <c r="G509" s="55">
        <v>3</v>
      </c>
      <c r="H509" s="55">
        <v>0</v>
      </c>
      <c r="I509" s="55">
        <v>3</v>
      </c>
      <c r="J509" s="55">
        <v>0</v>
      </c>
    </row>
    <row r="510" spans="1:10" ht="15" x14ac:dyDescent="0.4">
      <c r="A510" s="54">
        <v>45939</v>
      </c>
      <c r="B510" s="55" t="s">
        <v>61</v>
      </c>
      <c r="C510" s="55" t="s">
        <v>56</v>
      </c>
      <c r="D510" s="57">
        <v>16326</v>
      </c>
      <c r="E510" s="55">
        <v>11661</v>
      </c>
      <c r="F510" s="55">
        <v>125</v>
      </c>
      <c r="G510" s="55">
        <v>9</v>
      </c>
      <c r="H510" s="55">
        <v>1</v>
      </c>
      <c r="I510" s="55">
        <v>1</v>
      </c>
      <c r="J510" s="55">
        <v>0</v>
      </c>
    </row>
    <row r="511" spans="1:10" ht="15" x14ac:dyDescent="0.4">
      <c r="A511" s="54">
        <v>45939</v>
      </c>
      <c r="B511" s="55" t="s">
        <v>63</v>
      </c>
      <c r="C511" s="55" t="s">
        <v>58</v>
      </c>
      <c r="D511" s="57">
        <v>7358</v>
      </c>
      <c r="E511" s="55">
        <v>1532</v>
      </c>
      <c r="F511" s="55">
        <v>80</v>
      </c>
      <c r="G511" s="55">
        <v>3</v>
      </c>
      <c r="H511" s="55">
        <v>1</v>
      </c>
      <c r="I511" s="55">
        <v>0</v>
      </c>
      <c r="J511" s="55">
        <v>0</v>
      </c>
    </row>
    <row r="512" spans="1:10" ht="15" x14ac:dyDescent="0.4">
      <c r="A512" s="54">
        <v>45939</v>
      </c>
      <c r="B512" s="55" t="s">
        <v>57</v>
      </c>
      <c r="C512" s="55" t="s">
        <v>58</v>
      </c>
      <c r="D512" s="57">
        <v>22894</v>
      </c>
      <c r="E512" s="55">
        <v>4769</v>
      </c>
      <c r="F512" s="55">
        <v>222</v>
      </c>
      <c r="G512" s="55">
        <v>2</v>
      </c>
      <c r="H512" s="55">
        <v>2</v>
      </c>
      <c r="I512" s="55">
        <v>1</v>
      </c>
      <c r="J512" s="55">
        <v>0</v>
      </c>
    </row>
    <row r="513" spans="1:10" ht="15" x14ac:dyDescent="0.4">
      <c r="A513" s="54">
        <v>45939</v>
      </c>
      <c r="B513" s="55" t="s">
        <v>59</v>
      </c>
      <c r="C513" s="55" t="s">
        <v>60</v>
      </c>
      <c r="D513" s="57">
        <v>26573</v>
      </c>
      <c r="E513" s="55">
        <v>5110</v>
      </c>
      <c r="F513" s="55">
        <v>29</v>
      </c>
      <c r="G513" s="55">
        <v>3</v>
      </c>
      <c r="H513" s="55">
        <v>2</v>
      </c>
      <c r="I513" s="55">
        <v>1</v>
      </c>
      <c r="J513" s="55">
        <v>0</v>
      </c>
    </row>
    <row r="514" spans="1:10" ht="15" x14ac:dyDescent="0.4">
      <c r="A514" s="54">
        <v>45939</v>
      </c>
      <c r="B514" s="55" t="s">
        <v>55</v>
      </c>
      <c r="C514" s="55" t="s">
        <v>56</v>
      </c>
      <c r="D514" s="57">
        <v>33238</v>
      </c>
      <c r="E514" s="55">
        <v>23741</v>
      </c>
      <c r="F514" s="55">
        <v>228</v>
      </c>
      <c r="G514" s="55">
        <v>9</v>
      </c>
      <c r="H514" s="55">
        <v>3</v>
      </c>
      <c r="I514" s="55">
        <v>1</v>
      </c>
      <c r="J514" s="55">
        <v>0</v>
      </c>
    </row>
    <row r="515" spans="1:10" ht="15" x14ac:dyDescent="0.4">
      <c r="A515" s="54">
        <v>45939</v>
      </c>
      <c r="B515" s="55" t="s">
        <v>62</v>
      </c>
      <c r="C515" s="55" t="s">
        <v>56</v>
      </c>
      <c r="D515" s="57">
        <v>9862</v>
      </c>
      <c r="E515" s="55">
        <v>7044</v>
      </c>
      <c r="F515" s="55">
        <v>87</v>
      </c>
      <c r="G515" s="55">
        <v>2</v>
      </c>
      <c r="H515" s="55">
        <v>0</v>
      </c>
      <c r="I515" s="55">
        <v>0</v>
      </c>
      <c r="J515" s="55">
        <v>0</v>
      </c>
    </row>
    <row r="516" spans="1:10" ht="15" x14ac:dyDescent="0.4">
      <c r="A516" s="54">
        <v>45940</v>
      </c>
      <c r="B516" s="55" t="s">
        <v>61</v>
      </c>
      <c r="C516" s="55" t="s">
        <v>56</v>
      </c>
      <c r="D516" s="57">
        <v>16287</v>
      </c>
      <c r="E516" s="55">
        <v>11633</v>
      </c>
      <c r="F516" s="55">
        <v>142</v>
      </c>
      <c r="G516" s="55">
        <v>6</v>
      </c>
      <c r="H516" s="55">
        <v>0</v>
      </c>
      <c r="I516" s="55">
        <v>0</v>
      </c>
      <c r="J516" s="55">
        <v>0</v>
      </c>
    </row>
    <row r="517" spans="1:10" ht="15" x14ac:dyDescent="0.4">
      <c r="A517" s="54">
        <v>45940</v>
      </c>
      <c r="B517" s="55" t="s">
        <v>63</v>
      </c>
      <c r="C517" s="55" t="s">
        <v>58</v>
      </c>
      <c r="D517" s="57">
        <v>6583</v>
      </c>
      <c r="E517" s="55">
        <v>1371</v>
      </c>
      <c r="F517" s="55">
        <v>69</v>
      </c>
      <c r="G517" s="55">
        <v>3</v>
      </c>
      <c r="H517" s="55">
        <v>0</v>
      </c>
      <c r="I517" s="55">
        <v>0</v>
      </c>
      <c r="J517" s="55">
        <v>0</v>
      </c>
    </row>
    <row r="518" spans="1:10" ht="15" x14ac:dyDescent="0.4">
      <c r="A518" s="54">
        <v>45940</v>
      </c>
      <c r="B518" s="55" t="s">
        <v>57</v>
      </c>
      <c r="C518" s="55" t="s">
        <v>58</v>
      </c>
      <c r="D518" s="57">
        <v>21769</v>
      </c>
      <c r="E518" s="55">
        <v>4535</v>
      </c>
      <c r="F518" s="55">
        <v>231</v>
      </c>
      <c r="G518" s="55">
        <v>5</v>
      </c>
      <c r="H518" s="55">
        <v>1</v>
      </c>
      <c r="I518" s="55">
        <v>0</v>
      </c>
      <c r="J518" s="55">
        <v>0</v>
      </c>
    </row>
    <row r="519" spans="1:10" ht="15" x14ac:dyDescent="0.4">
      <c r="A519" s="54">
        <v>45940</v>
      </c>
      <c r="B519" s="55" t="s">
        <v>59</v>
      </c>
      <c r="C519" s="55" t="s">
        <v>60</v>
      </c>
      <c r="D519" s="57">
        <v>26448</v>
      </c>
      <c r="E519" s="55">
        <v>5086</v>
      </c>
      <c r="F519" s="55">
        <v>29</v>
      </c>
      <c r="G519" s="55">
        <v>1</v>
      </c>
      <c r="H519" s="55">
        <v>2</v>
      </c>
      <c r="I519" s="55">
        <v>0</v>
      </c>
      <c r="J519" s="55">
        <v>0</v>
      </c>
    </row>
    <row r="520" spans="1:10" ht="15" x14ac:dyDescent="0.4">
      <c r="A520" s="54">
        <v>45940</v>
      </c>
      <c r="B520" s="55" t="s">
        <v>55</v>
      </c>
      <c r="C520" s="55" t="s">
        <v>56</v>
      </c>
      <c r="D520" s="57">
        <v>31807</v>
      </c>
      <c r="E520" s="55">
        <v>22719</v>
      </c>
      <c r="F520" s="55">
        <v>283</v>
      </c>
      <c r="G520" s="55">
        <v>6</v>
      </c>
      <c r="H520" s="55">
        <v>3</v>
      </c>
      <c r="I520" s="55">
        <v>0</v>
      </c>
      <c r="J520" s="55">
        <v>0</v>
      </c>
    </row>
    <row r="521" spans="1:10" ht="15" x14ac:dyDescent="0.4">
      <c r="A521" s="54">
        <v>45940</v>
      </c>
      <c r="B521" s="55" t="s">
        <v>62</v>
      </c>
      <c r="C521" s="55" t="s">
        <v>56</v>
      </c>
      <c r="D521" s="57">
        <v>9003</v>
      </c>
      <c r="E521" s="55">
        <v>6430</v>
      </c>
      <c r="F521" s="55">
        <v>72</v>
      </c>
      <c r="G521" s="55">
        <v>1</v>
      </c>
      <c r="H521" s="55">
        <v>1</v>
      </c>
      <c r="I521" s="55">
        <v>0</v>
      </c>
      <c r="J521" s="55">
        <v>0</v>
      </c>
    </row>
    <row r="522" spans="1:10" ht="15" x14ac:dyDescent="0.4">
      <c r="A522" s="54">
        <v>45941</v>
      </c>
      <c r="B522" s="55" t="s">
        <v>61</v>
      </c>
      <c r="C522" s="55" t="s">
        <v>56</v>
      </c>
      <c r="D522" s="57">
        <v>17938</v>
      </c>
      <c r="E522" s="55">
        <v>12812</v>
      </c>
      <c r="F522" s="55">
        <v>138</v>
      </c>
      <c r="G522" s="55">
        <v>4</v>
      </c>
      <c r="H522" s="55">
        <v>2</v>
      </c>
      <c r="I522" s="55">
        <v>0</v>
      </c>
      <c r="J522" s="55">
        <v>1</v>
      </c>
    </row>
    <row r="523" spans="1:10" ht="15" x14ac:dyDescent="0.4">
      <c r="A523" s="54">
        <v>45941</v>
      </c>
      <c r="B523" s="55" t="s">
        <v>63</v>
      </c>
      <c r="C523" s="55" t="s">
        <v>58</v>
      </c>
      <c r="D523" s="57">
        <v>7490</v>
      </c>
      <c r="E523" s="55">
        <v>1560</v>
      </c>
      <c r="F523" s="55">
        <v>75</v>
      </c>
      <c r="G523" s="55">
        <v>1</v>
      </c>
      <c r="H523" s="55">
        <v>1</v>
      </c>
      <c r="I523" s="55">
        <v>2</v>
      </c>
      <c r="J523" s="55">
        <v>0</v>
      </c>
    </row>
    <row r="524" spans="1:10" ht="15" x14ac:dyDescent="0.4">
      <c r="A524" s="54">
        <v>45941</v>
      </c>
      <c r="B524" s="55" t="s">
        <v>57</v>
      </c>
      <c r="C524" s="55" t="s">
        <v>58</v>
      </c>
      <c r="D524" s="57">
        <v>20334</v>
      </c>
      <c r="E524" s="55">
        <v>4236</v>
      </c>
      <c r="F524" s="55">
        <v>189</v>
      </c>
      <c r="G524" s="55">
        <v>1</v>
      </c>
      <c r="H524" s="55">
        <v>0</v>
      </c>
      <c r="I524" s="55">
        <v>2</v>
      </c>
      <c r="J524" s="55">
        <v>0</v>
      </c>
    </row>
    <row r="525" spans="1:10" ht="15" x14ac:dyDescent="0.4">
      <c r="A525" s="54">
        <v>45941</v>
      </c>
      <c r="B525" s="55" t="s">
        <v>59</v>
      </c>
      <c r="C525" s="55" t="s">
        <v>60</v>
      </c>
      <c r="D525" s="57">
        <v>25681</v>
      </c>
      <c r="E525" s="55">
        <v>4938</v>
      </c>
      <c r="F525" s="55">
        <v>36</v>
      </c>
      <c r="G525" s="55">
        <v>3</v>
      </c>
      <c r="H525" s="55">
        <v>0</v>
      </c>
      <c r="I525" s="55">
        <v>1</v>
      </c>
      <c r="J525" s="55">
        <v>0</v>
      </c>
    </row>
    <row r="526" spans="1:10" ht="15" x14ac:dyDescent="0.4">
      <c r="A526" s="54">
        <v>45941</v>
      </c>
      <c r="B526" s="55" t="s">
        <v>55</v>
      </c>
      <c r="C526" s="55" t="s">
        <v>56</v>
      </c>
      <c r="D526" s="57">
        <v>33151</v>
      </c>
      <c r="E526" s="55">
        <v>23679</v>
      </c>
      <c r="F526" s="55">
        <v>256</v>
      </c>
      <c r="G526" s="55">
        <v>9</v>
      </c>
      <c r="H526" s="55">
        <v>3</v>
      </c>
      <c r="I526" s="55">
        <v>1</v>
      </c>
      <c r="J526" s="55">
        <v>0</v>
      </c>
    </row>
    <row r="527" spans="1:10" ht="15" x14ac:dyDescent="0.4">
      <c r="A527" s="54">
        <v>45941</v>
      </c>
      <c r="B527" s="55" t="s">
        <v>62</v>
      </c>
      <c r="C527" s="55" t="s">
        <v>56</v>
      </c>
      <c r="D527" s="57">
        <v>10243</v>
      </c>
      <c r="E527" s="55">
        <v>7316</v>
      </c>
      <c r="F527" s="55">
        <v>88</v>
      </c>
      <c r="G527" s="55">
        <v>2</v>
      </c>
      <c r="H527" s="55">
        <v>0</v>
      </c>
      <c r="I527" s="55">
        <v>0</v>
      </c>
      <c r="J527" s="55">
        <v>0</v>
      </c>
    </row>
    <row r="528" spans="1:10" ht="15" x14ac:dyDescent="0.4">
      <c r="A528" s="54">
        <v>45942</v>
      </c>
      <c r="B528" s="55" t="s">
        <v>61</v>
      </c>
      <c r="C528" s="55" t="s">
        <v>56</v>
      </c>
      <c r="D528" s="57">
        <v>15275</v>
      </c>
      <c r="E528" s="55">
        <v>10910</v>
      </c>
      <c r="F528" s="55">
        <v>120</v>
      </c>
      <c r="G528" s="55">
        <v>5</v>
      </c>
      <c r="H528" s="55">
        <v>1</v>
      </c>
      <c r="I528" s="55">
        <v>0</v>
      </c>
      <c r="J528" s="55">
        <v>0</v>
      </c>
    </row>
    <row r="529" spans="1:10" ht="15" x14ac:dyDescent="0.4">
      <c r="A529" s="54">
        <v>45942</v>
      </c>
      <c r="B529" s="55" t="s">
        <v>63</v>
      </c>
      <c r="C529" s="55" t="s">
        <v>58</v>
      </c>
      <c r="D529" s="57">
        <v>6768</v>
      </c>
      <c r="E529" s="55">
        <v>1410</v>
      </c>
      <c r="F529" s="55">
        <v>62</v>
      </c>
      <c r="G529" s="55">
        <v>3</v>
      </c>
      <c r="H529" s="55">
        <v>1</v>
      </c>
      <c r="I529" s="55">
        <v>1</v>
      </c>
      <c r="J529" s="55">
        <v>0</v>
      </c>
    </row>
    <row r="530" spans="1:10" ht="15" x14ac:dyDescent="0.4">
      <c r="A530" s="54">
        <v>45942</v>
      </c>
      <c r="B530" s="55" t="s">
        <v>57</v>
      </c>
      <c r="C530" s="55" t="s">
        <v>58</v>
      </c>
      <c r="D530" s="57">
        <v>22903</v>
      </c>
      <c r="E530" s="55">
        <v>4771</v>
      </c>
      <c r="F530" s="55">
        <v>283</v>
      </c>
      <c r="G530" s="55">
        <v>3</v>
      </c>
      <c r="H530" s="55">
        <v>1</v>
      </c>
      <c r="I530" s="55">
        <v>0</v>
      </c>
      <c r="J530" s="55">
        <v>0</v>
      </c>
    </row>
    <row r="531" spans="1:10" ht="15" x14ac:dyDescent="0.4">
      <c r="A531" s="54">
        <v>45942</v>
      </c>
      <c r="B531" s="55" t="s">
        <v>59</v>
      </c>
      <c r="C531" s="55" t="s">
        <v>60</v>
      </c>
      <c r="D531" s="57">
        <v>24565</v>
      </c>
      <c r="E531" s="55">
        <v>4724</v>
      </c>
      <c r="F531" s="55">
        <v>32</v>
      </c>
      <c r="G531" s="55">
        <v>0</v>
      </c>
      <c r="H531" s="55">
        <v>0</v>
      </c>
      <c r="I531" s="55">
        <v>1</v>
      </c>
      <c r="J531" s="55">
        <v>0</v>
      </c>
    </row>
    <row r="532" spans="1:10" ht="15" x14ac:dyDescent="0.4">
      <c r="A532" s="54">
        <v>45942</v>
      </c>
      <c r="B532" s="55" t="s">
        <v>55</v>
      </c>
      <c r="C532" s="55" t="s">
        <v>56</v>
      </c>
      <c r="D532" s="57">
        <v>31487</v>
      </c>
      <c r="E532" s="55">
        <v>22490</v>
      </c>
      <c r="F532" s="55">
        <v>235</v>
      </c>
      <c r="G532" s="55">
        <v>4</v>
      </c>
      <c r="H532" s="55">
        <v>2</v>
      </c>
      <c r="I532" s="55">
        <v>1</v>
      </c>
      <c r="J532" s="55">
        <v>0</v>
      </c>
    </row>
    <row r="533" spans="1:10" ht="15" x14ac:dyDescent="0.4">
      <c r="A533" s="54">
        <v>45942</v>
      </c>
      <c r="B533" s="55" t="s">
        <v>62</v>
      </c>
      <c r="C533" s="55" t="s">
        <v>56</v>
      </c>
      <c r="D533" s="57">
        <v>10129</v>
      </c>
      <c r="E533" s="55">
        <v>7235</v>
      </c>
      <c r="F533" s="55">
        <v>81</v>
      </c>
      <c r="G533" s="55">
        <v>1</v>
      </c>
      <c r="H533" s="55">
        <v>1</v>
      </c>
      <c r="I533" s="55">
        <v>0</v>
      </c>
      <c r="J533" s="55">
        <v>0</v>
      </c>
    </row>
    <row r="534" spans="1:10" ht="15" x14ac:dyDescent="0.4">
      <c r="A534" s="54">
        <v>45943</v>
      </c>
      <c r="B534" s="55" t="s">
        <v>61</v>
      </c>
      <c r="C534" s="55" t="s">
        <v>56</v>
      </c>
      <c r="D534" s="57">
        <v>16640</v>
      </c>
      <c r="E534" s="55">
        <v>11885</v>
      </c>
      <c r="F534" s="55">
        <v>129</v>
      </c>
      <c r="G534" s="55">
        <v>4</v>
      </c>
      <c r="H534" s="55">
        <v>1</v>
      </c>
      <c r="I534" s="55">
        <v>0</v>
      </c>
      <c r="J534" s="55">
        <v>0</v>
      </c>
    </row>
    <row r="535" spans="1:10" ht="15" x14ac:dyDescent="0.4">
      <c r="A535" s="54">
        <v>45943</v>
      </c>
      <c r="B535" s="55" t="s">
        <v>63</v>
      </c>
      <c r="C535" s="55" t="s">
        <v>58</v>
      </c>
      <c r="D535" s="57">
        <v>7223</v>
      </c>
      <c r="E535" s="55">
        <v>1504</v>
      </c>
      <c r="F535" s="55">
        <v>75</v>
      </c>
      <c r="G535" s="55">
        <v>4</v>
      </c>
      <c r="H535" s="55">
        <v>0</v>
      </c>
      <c r="I535" s="55">
        <v>0</v>
      </c>
      <c r="J535" s="55">
        <v>0</v>
      </c>
    </row>
    <row r="536" spans="1:10" ht="15" x14ac:dyDescent="0.4">
      <c r="A536" s="54">
        <v>45943</v>
      </c>
      <c r="B536" s="55" t="s">
        <v>57</v>
      </c>
      <c r="C536" s="55" t="s">
        <v>58</v>
      </c>
      <c r="D536" s="57">
        <v>22961</v>
      </c>
      <c r="E536" s="55">
        <v>4783</v>
      </c>
      <c r="F536" s="55">
        <v>283</v>
      </c>
      <c r="G536" s="55">
        <v>6</v>
      </c>
      <c r="H536" s="55">
        <v>1</v>
      </c>
      <c r="I536" s="55">
        <v>0</v>
      </c>
      <c r="J536" s="55">
        <v>0</v>
      </c>
    </row>
    <row r="537" spans="1:10" ht="15" x14ac:dyDescent="0.4">
      <c r="A537" s="54">
        <v>45943</v>
      </c>
      <c r="B537" s="55" t="s">
        <v>59</v>
      </c>
      <c r="C537" s="55" t="s">
        <v>60</v>
      </c>
      <c r="D537" s="57">
        <v>26727</v>
      </c>
      <c r="E537" s="55">
        <v>5139</v>
      </c>
      <c r="F537" s="55">
        <v>31</v>
      </c>
      <c r="G537" s="55">
        <v>5</v>
      </c>
      <c r="H537" s="55">
        <v>2</v>
      </c>
      <c r="I537" s="55">
        <v>1</v>
      </c>
      <c r="J537" s="55">
        <v>0</v>
      </c>
    </row>
    <row r="538" spans="1:10" ht="15" x14ac:dyDescent="0.4">
      <c r="A538" s="54">
        <v>45943</v>
      </c>
      <c r="B538" s="55" t="s">
        <v>55</v>
      </c>
      <c r="C538" s="55" t="s">
        <v>56</v>
      </c>
      <c r="D538" s="57">
        <v>30026</v>
      </c>
      <c r="E538" s="55">
        <v>21447</v>
      </c>
      <c r="F538" s="55">
        <v>209</v>
      </c>
      <c r="G538" s="55">
        <v>6</v>
      </c>
      <c r="H538" s="55">
        <v>1</v>
      </c>
      <c r="I538" s="55">
        <v>2</v>
      </c>
      <c r="J538" s="55">
        <v>0</v>
      </c>
    </row>
    <row r="539" spans="1:10" ht="15" x14ac:dyDescent="0.4">
      <c r="A539" s="54">
        <v>45943</v>
      </c>
      <c r="B539" s="55" t="s">
        <v>62</v>
      </c>
      <c r="C539" s="55" t="s">
        <v>56</v>
      </c>
      <c r="D539" s="57">
        <v>8832</v>
      </c>
      <c r="E539" s="55">
        <v>6308</v>
      </c>
      <c r="F539" s="55">
        <v>62</v>
      </c>
      <c r="G539" s="55">
        <v>2</v>
      </c>
      <c r="H539" s="55">
        <v>0</v>
      </c>
      <c r="I539" s="55">
        <v>1</v>
      </c>
      <c r="J539" s="55">
        <v>0</v>
      </c>
    </row>
    <row r="540" spans="1:10" ht="15" x14ac:dyDescent="0.4">
      <c r="A540" s="54">
        <v>45944</v>
      </c>
      <c r="B540" s="55" t="s">
        <v>61</v>
      </c>
      <c r="C540" s="55" t="s">
        <v>56</v>
      </c>
      <c r="D540" s="57">
        <v>18035</v>
      </c>
      <c r="E540" s="55">
        <v>12882</v>
      </c>
      <c r="F540" s="55">
        <v>139</v>
      </c>
      <c r="G540" s="55">
        <v>6</v>
      </c>
      <c r="H540" s="55">
        <v>1</v>
      </c>
      <c r="I540" s="55">
        <v>1</v>
      </c>
      <c r="J540" s="55">
        <v>0</v>
      </c>
    </row>
    <row r="541" spans="1:10" ht="15" x14ac:dyDescent="0.4">
      <c r="A541" s="54">
        <v>45944</v>
      </c>
      <c r="B541" s="55" t="s">
        <v>63</v>
      </c>
      <c r="C541" s="55" t="s">
        <v>58</v>
      </c>
      <c r="D541" s="57">
        <v>6844</v>
      </c>
      <c r="E541" s="55">
        <v>1425</v>
      </c>
      <c r="F541" s="55">
        <v>80</v>
      </c>
      <c r="G541" s="55">
        <v>5</v>
      </c>
      <c r="H541" s="55">
        <v>2</v>
      </c>
      <c r="I541" s="55">
        <v>0</v>
      </c>
      <c r="J541" s="55">
        <v>0</v>
      </c>
    </row>
    <row r="542" spans="1:10" ht="15" x14ac:dyDescent="0.4">
      <c r="A542" s="54">
        <v>45944</v>
      </c>
      <c r="B542" s="55" t="s">
        <v>57</v>
      </c>
      <c r="C542" s="55" t="s">
        <v>58</v>
      </c>
      <c r="D542" s="57">
        <v>20602</v>
      </c>
      <c r="E542" s="55">
        <v>4292</v>
      </c>
      <c r="F542" s="55">
        <v>211</v>
      </c>
      <c r="G542" s="55">
        <v>0</v>
      </c>
      <c r="H542" s="55">
        <v>2</v>
      </c>
      <c r="I542" s="55">
        <v>1</v>
      </c>
      <c r="J542" s="55">
        <v>0</v>
      </c>
    </row>
    <row r="543" spans="1:10" ht="15" x14ac:dyDescent="0.4">
      <c r="A543" s="54">
        <v>45944</v>
      </c>
      <c r="B543" s="55" t="s">
        <v>59</v>
      </c>
      <c r="C543" s="55" t="s">
        <v>60</v>
      </c>
      <c r="D543" s="57">
        <v>23391</v>
      </c>
      <c r="E543" s="55">
        <v>4498</v>
      </c>
      <c r="F543" s="55">
        <v>31</v>
      </c>
      <c r="G543" s="55">
        <v>0</v>
      </c>
      <c r="H543" s="55">
        <v>2</v>
      </c>
      <c r="I543" s="55">
        <v>1</v>
      </c>
      <c r="J543" s="55">
        <v>0</v>
      </c>
    </row>
    <row r="544" spans="1:10" ht="15" x14ac:dyDescent="0.4">
      <c r="A544" s="54">
        <v>45944</v>
      </c>
      <c r="B544" s="55" t="s">
        <v>55</v>
      </c>
      <c r="C544" s="55" t="s">
        <v>56</v>
      </c>
      <c r="D544" s="57">
        <v>32919</v>
      </c>
      <c r="E544" s="55">
        <v>23513</v>
      </c>
      <c r="F544" s="55">
        <v>256</v>
      </c>
      <c r="G544" s="55">
        <v>8</v>
      </c>
      <c r="H544" s="55">
        <v>1</v>
      </c>
      <c r="I544" s="55">
        <v>0</v>
      </c>
      <c r="J544" s="55">
        <v>0</v>
      </c>
    </row>
    <row r="545" spans="1:10" ht="15" x14ac:dyDescent="0.4">
      <c r="A545" s="54">
        <v>45944</v>
      </c>
      <c r="B545" s="55" t="s">
        <v>62</v>
      </c>
      <c r="C545" s="55" t="s">
        <v>56</v>
      </c>
      <c r="D545" s="57">
        <v>9462</v>
      </c>
      <c r="E545" s="55">
        <v>6758</v>
      </c>
      <c r="F545" s="55">
        <v>72</v>
      </c>
      <c r="G545" s="55">
        <v>3</v>
      </c>
      <c r="H545" s="55">
        <v>2</v>
      </c>
      <c r="I545" s="55">
        <v>0</v>
      </c>
      <c r="J545" s="55">
        <v>0</v>
      </c>
    </row>
    <row r="546" spans="1:10" ht="15" x14ac:dyDescent="0.4">
      <c r="A546" s="54">
        <v>45945</v>
      </c>
      <c r="B546" s="55" t="s">
        <v>61</v>
      </c>
      <c r="C546" s="55" t="s">
        <v>56</v>
      </c>
      <c r="D546" s="57">
        <v>15830</v>
      </c>
      <c r="E546" s="55">
        <v>11307</v>
      </c>
      <c r="F546" s="55">
        <v>138</v>
      </c>
      <c r="G546" s="55">
        <v>8</v>
      </c>
      <c r="H546" s="55">
        <v>2</v>
      </c>
      <c r="I546" s="55">
        <v>0</v>
      </c>
      <c r="J546" s="55">
        <v>0</v>
      </c>
    </row>
    <row r="547" spans="1:10" ht="15" x14ac:dyDescent="0.4">
      <c r="A547" s="54">
        <v>45945</v>
      </c>
      <c r="B547" s="55" t="s">
        <v>63</v>
      </c>
      <c r="C547" s="55" t="s">
        <v>58</v>
      </c>
      <c r="D547" s="57">
        <v>6819</v>
      </c>
      <c r="E547" s="55">
        <v>1420</v>
      </c>
      <c r="F547" s="55">
        <v>81</v>
      </c>
      <c r="G547" s="55">
        <v>7</v>
      </c>
      <c r="H547" s="55">
        <v>1</v>
      </c>
      <c r="I547" s="55">
        <v>0</v>
      </c>
      <c r="J547" s="55">
        <v>0</v>
      </c>
    </row>
    <row r="548" spans="1:10" ht="15" x14ac:dyDescent="0.4">
      <c r="A548" s="54">
        <v>45945</v>
      </c>
      <c r="B548" s="55" t="s">
        <v>57</v>
      </c>
      <c r="C548" s="55" t="s">
        <v>58</v>
      </c>
      <c r="D548" s="57">
        <v>21594</v>
      </c>
      <c r="E548" s="55">
        <v>4498</v>
      </c>
      <c r="F548" s="55">
        <v>215</v>
      </c>
      <c r="G548" s="55">
        <v>0</v>
      </c>
      <c r="H548" s="55">
        <v>2</v>
      </c>
      <c r="I548" s="55">
        <v>0</v>
      </c>
      <c r="J548" s="55">
        <v>0</v>
      </c>
    </row>
    <row r="549" spans="1:10" ht="15" x14ac:dyDescent="0.4">
      <c r="A549" s="54">
        <v>45945</v>
      </c>
      <c r="B549" s="55" t="s">
        <v>59</v>
      </c>
      <c r="C549" s="55" t="s">
        <v>60</v>
      </c>
      <c r="D549" s="57">
        <v>23418</v>
      </c>
      <c r="E549" s="55">
        <v>4503</v>
      </c>
      <c r="F549" s="55">
        <v>32</v>
      </c>
      <c r="G549" s="55">
        <v>1</v>
      </c>
      <c r="H549" s="55">
        <v>0</v>
      </c>
      <c r="I549" s="55">
        <v>2</v>
      </c>
      <c r="J549" s="55">
        <v>0</v>
      </c>
    </row>
    <row r="550" spans="1:10" ht="15" x14ac:dyDescent="0.4">
      <c r="A550" s="54">
        <v>45945</v>
      </c>
      <c r="B550" s="55" t="s">
        <v>55</v>
      </c>
      <c r="C550" s="55" t="s">
        <v>56</v>
      </c>
      <c r="D550" s="57">
        <v>35283</v>
      </c>
      <c r="E550" s="55">
        <v>25202</v>
      </c>
      <c r="F550" s="55">
        <v>296</v>
      </c>
      <c r="G550" s="55">
        <v>6</v>
      </c>
      <c r="H550" s="55">
        <v>2</v>
      </c>
      <c r="I550" s="55">
        <v>0</v>
      </c>
      <c r="J550" s="55">
        <v>0</v>
      </c>
    </row>
    <row r="551" spans="1:10" ht="15" x14ac:dyDescent="0.4">
      <c r="A551" s="54">
        <v>45945</v>
      </c>
      <c r="B551" s="55" t="s">
        <v>62</v>
      </c>
      <c r="C551" s="55" t="s">
        <v>56</v>
      </c>
      <c r="D551" s="57">
        <v>10081</v>
      </c>
      <c r="E551" s="55">
        <v>7200</v>
      </c>
      <c r="F551" s="55">
        <v>82</v>
      </c>
      <c r="G551" s="55">
        <v>5</v>
      </c>
      <c r="H551" s="55">
        <v>0</v>
      </c>
      <c r="I551" s="55">
        <v>0</v>
      </c>
      <c r="J551" s="55">
        <v>0</v>
      </c>
    </row>
    <row r="552" spans="1:10" ht="15" x14ac:dyDescent="0.4">
      <c r="A552" s="54">
        <v>45946</v>
      </c>
      <c r="B552" s="55" t="s">
        <v>61</v>
      </c>
      <c r="C552" s="55" t="s">
        <v>56</v>
      </c>
      <c r="D552" s="57">
        <v>15858</v>
      </c>
      <c r="E552" s="55">
        <v>11327</v>
      </c>
      <c r="F552" s="55">
        <v>125</v>
      </c>
      <c r="G552" s="55">
        <v>0</v>
      </c>
      <c r="H552" s="55">
        <v>3</v>
      </c>
      <c r="I552" s="55">
        <v>1</v>
      </c>
      <c r="J552" s="55">
        <v>0</v>
      </c>
    </row>
    <row r="553" spans="1:10" ht="15" x14ac:dyDescent="0.4">
      <c r="A553" s="54">
        <v>45946</v>
      </c>
      <c r="B553" s="55" t="s">
        <v>63</v>
      </c>
      <c r="C553" s="55" t="s">
        <v>58</v>
      </c>
      <c r="D553" s="57">
        <v>6697</v>
      </c>
      <c r="E553" s="55">
        <v>1395</v>
      </c>
      <c r="F553" s="55">
        <v>80</v>
      </c>
      <c r="G553" s="55">
        <v>4</v>
      </c>
      <c r="H553" s="55">
        <v>5</v>
      </c>
      <c r="I553" s="55">
        <v>0</v>
      </c>
      <c r="J553" s="55">
        <v>0</v>
      </c>
    </row>
    <row r="554" spans="1:10" ht="15" x14ac:dyDescent="0.4">
      <c r="A554" s="54">
        <v>45946</v>
      </c>
      <c r="B554" s="55" t="s">
        <v>57</v>
      </c>
      <c r="C554" s="55" t="s">
        <v>58</v>
      </c>
      <c r="D554" s="57">
        <v>24406</v>
      </c>
      <c r="E554" s="55">
        <v>5084</v>
      </c>
      <c r="F554" s="55">
        <v>289</v>
      </c>
      <c r="G554" s="55">
        <v>2</v>
      </c>
      <c r="H554" s="55">
        <v>0</v>
      </c>
      <c r="I554" s="55">
        <v>0</v>
      </c>
      <c r="J554" s="55">
        <v>0</v>
      </c>
    </row>
    <row r="555" spans="1:10" ht="15" x14ac:dyDescent="0.4">
      <c r="A555" s="54">
        <v>45946</v>
      </c>
      <c r="B555" s="55" t="s">
        <v>59</v>
      </c>
      <c r="C555" s="55" t="s">
        <v>60</v>
      </c>
      <c r="D555" s="57">
        <v>23021</v>
      </c>
      <c r="E555" s="55">
        <v>4427</v>
      </c>
      <c r="F555" s="55">
        <v>30</v>
      </c>
      <c r="G555" s="55">
        <v>0</v>
      </c>
      <c r="H555" s="55">
        <v>0</v>
      </c>
      <c r="I555" s="55">
        <v>0</v>
      </c>
      <c r="J555" s="55">
        <v>0</v>
      </c>
    </row>
    <row r="556" spans="1:10" ht="15" x14ac:dyDescent="0.4">
      <c r="A556" s="54">
        <v>45946</v>
      </c>
      <c r="B556" s="55" t="s">
        <v>55</v>
      </c>
      <c r="C556" s="55" t="s">
        <v>56</v>
      </c>
      <c r="D556" s="57">
        <v>34576</v>
      </c>
      <c r="E556" s="55">
        <v>24697</v>
      </c>
      <c r="F556" s="55">
        <v>311</v>
      </c>
      <c r="G556" s="55">
        <v>10</v>
      </c>
      <c r="H556" s="55">
        <v>4</v>
      </c>
      <c r="I556" s="55">
        <v>1</v>
      </c>
      <c r="J556" s="55">
        <v>0</v>
      </c>
    </row>
    <row r="557" spans="1:10" ht="15" x14ac:dyDescent="0.4">
      <c r="A557" s="54">
        <v>45946</v>
      </c>
      <c r="B557" s="55" t="s">
        <v>62</v>
      </c>
      <c r="C557" s="55" t="s">
        <v>56</v>
      </c>
      <c r="D557" s="57">
        <v>8911</v>
      </c>
      <c r="E557" s="55">
        <v>6365</v>
      </c>
      <c r="F557" s="55">
        <v>62</v>
      </c>
      <c r="G557" s="55">
        <v>0</v>
      </c>
      <c r="H557" s="55">
        <v>1</v>
      </c>
      <c r="I557" s="55">
        <v>1</v>
      </c>
      <c r="J557" s="55">
        <v>0</v>
      </c>
    </row>
    <row r="558" spans="1:10" ht="15" x14ac:dyDescent="0.4">
      <c r="A558" s="54">
        <v>45947</v>
      </c>
      <c r="B558" s="55" t="s">
        <v>61</v>
      </c>
      <c r="C558" s="55" t="s">
        <v>56</v>
      </c>
      <c r="D558" s="57">
        <v>17934</v>
      </c>
      <c r="E558" s="55">
        <v>12810</v>
      </c>
      <c r="F558" s="55">
        <v>137</v>
      </c>
      <c r="G558" s="55">
        <v>8</v>
      </c>
      <c r="H558" s="55">
        <v>0</v>
      </c>
      <c r="I558" s="55">
        <v>1</v>
      </c>
      <c r="J558" s="55">
        <v>0</v>
      </c>
    </row>
    <row r="559" spans="1:10" ht="15" x14ac:dyDescent="0.4">
      <c r="A559" s="54">
        <v>45947</v>
      </c>
      <c r="B559" s="55" t="s">
        <v>63</v>
      </c>
      <c r="C559" s="55" t="s">
        <v>58</v>
      </c>
      <c r="D559" s="57">
        <v>6235</v>
      </c>
      <c r="E559" s="55">
        <v>1298</v>
      </c>
      <c r="F559" s="55">
        <v>68</v>
      </c>
      <c r="G559" s="55">
        <v>0</v>
      </c>
      <c r="H559" s="55">
        <v>1</v>
      </c>
      <c r="I559" s="55">
        <v>2</v>
      </c>
      <c r="J559" s="55">
        <v>0</v>
      </c>
    </row>
    <row r="560" spans="1:10" ht="15" x14ac:dyDescent="0.4">
      <c r="A560" s="54">
        <v>45947</v>
      </c>
      <c r="B560" s="55" t="s">
        <v>57</v>
      </c>
      <c r="C560" s="55" t="s">
        <v>58</v>
      </c>
      <c r="D560" s="57">
        <v>21269</v>
      </c>
      <c r="E560" s="55">
        <v>4431</v>
      </c>
      <c r="F560" s="55">
        <v>252</v>
      </c>
      <c r="G560" s="55">
        <v>6</v>
      </c>
      <c r="H560" s="55">
        <v>0</v>
      </c>
      <c r="I560" s="55">
        <v>1</v>
      </c>
      <c r="J560" s="55">
        <v>0</v>
      </c>
    </row>
    <row r="561" spans="1:10" ht="15" x14ac:dyDescent="0.4">
      <c r="A561" s="54">
        <v>45947</v>
      </c>
      <c r="B561" s="55" t="s">
        <v>59</v>
      </c>
      <c r="C561" s="55" t="s">
        <v>60</v>
      </c>
      <c r="D561" s="57">
        <v>25851</v>
      </c>
      <c r="E561" s="55">
        <v>4971</v>
      </c>
      <c r="F561" s="55">
        <v>34</v>
      </c>
      <c r="G561" s="55">
        <v>1</v>
      </c>
      <c r="H561" s="55">
        <v>0</v>
      </c>
      <c r="I561" s="55">
        <v>0</v>
      </c>
      <c r="J561" s="55">
        <v>0</v>
      </c>
    </row>
    <row r="562" spans="1:10" ht="15" x14ac:dyDescent="0.4">
      <c r="A562" s="54">
        <v>45947</v>
      </c>
      <c r="B562" s="55" t="s">
        <v>55</v>
      </c>
      <c r="C562" s="55" t="s">
        <v>56</v>
      </c>
      <c r="D562" s="57">
        <v>34993</v>
      </c>
      <c r="E562" s="55">
        <v>24995</v>
      </c>
      <c r="F562" s="55">
        <v>276</v>
      </c>
      <c r="G562" s="55">
        <v>10</v>
      </c>
      <c r="H562" s="55">
        <v>2</v>
      </c>
      <c r="I562" s="55">
        <v>2</v>
      </c>
      <c r="J562" s="55">
        <v>0</v>
      </c>
    </row>
    <row r="563" spans="1:10" ht="15" x14ac:dyDescent="0.4">
      <c r="A563" s="54">
        <v>45947</v>
      </c>
      <c r="B563" s="55" t="s">
        <v>62</v>
      </c>
      <c r="C563" s="55" t="s">
        <v>56</v>
      </c>
      <c r="D563" s="57">
        <v>9415</v>
      </c>
      <c r="E563" s="55">
        <v>6725</v>
      </c>
      <c r="F563" s="55">
        <v>71</v>
      </c>
      <c r="G563" s="55">
        <v>3</v>
      </c>
      <c r="H563" s="55">
        <v>0</v>
      </c>
      <c r="I563" s="55">
        <v>0</v>
      </c>
      <c r="J563" s="55">
        <v>0</v>
      </c>
    </row>
    <row r="564" spans="1:10" ht="15" x14ac:dyDescent="0.4">
      <c r="A564" s="54">
        <v>45948</v>
      </c>
      <c r="B564" s="55" t="s">
        <v>61</v>
      </c>
      <c r="C564" s="55" t="s">
        <v>56</v>
      </c>
      <c r="D564" s="57">
        <v>16903</v>
      </c>
      <c r="E564" s="55">
        <v>12073</v>
      </c>
      <c r="F564" s="55">
        <v>125</v>
      </c>
      <c r="G564" s="55">
        <v>1</v>
      </c>
      <c r="H564" s="55">
        <v>0</v>
      </c>
      <c r="I564" s="55">
        <v>0</v>
      </c>
      <c r="J564" s="55">
        <v>0</v>
      </c>
    </row>
    <row r="565" spans="1:10" ht="15" x14ac:dyDescent="0.4">
      <c r="A565" s="54">
        <v>45948</v>
      </c>
      <c r="B565" s="55" t="s">
        <v>63</v>
      </c>
      <c r="C565" s="55" t="s">
        <v>58</v>
      </c>
      <c r="D565" s="57">
        <v>6511</v>
      </c>
      <c r="E565" s="55">
        <v>1356</v>
      </c>
      <c r="F565" s="55">
        <v>62</v>
      </c>
      <c r="G565" s="55">
        <v>6</v>
      </c>
      <c r="H565" s="55">
        <v>2</v>
      </c>
      <c r="I565" s="55">
        <v>1</v>
      </c>
      <c r="J565" s="55">
        <v>0</v>
      </c>
    </row>
    <row r="566" spans="1:10" ht="15" x14ac:dyDescent="0.4">
      <c r="A566" s="54">
        <v>45948</v>
      </c>
      <c r="B566" s="55" t="s">
        <v>57</v>
      </c>
      <c r="C566" s="55" t="s">
        <v>58</v>
      </c>
      <c r="D566" s="57">
        <v>24545</v>
      </c>
      <c r="E566" s="55">
        <v>5113</v>
      </c>
      <c r="F566" s="55">
        <v>274</v>
      </c>
      <c r="G566" s="55">
        <v>4</v>
      </c>
      <c r="H566" s="55">
        <v>1</v>
      </c>
      <c r="I566" s="55">
        <v>0</v>
      </c>
      <c r="J566" s="55">
        <v>0</v>
      </c>
    </row>
    <row r="567" spans="1:10" ht="15" x14ac:dyDescent="0.4">
      <c r="A567" s="54">
        <v>45948</v>
      </c>
      <c r="B567" s="55" t="s">
        <v>59</v>
      </c>
      <c r="C567" s="55" t="s">
        <v>60</v>
      </c>
      <c r="D567" s="57">
        <v>23375</v>
      </c>
      <c r="E567" s="55">
        <v>4495</v>
      </c>
      <c r="F567" s="55">
        <v>31</v>
      </c>
      <c r="G567" s="55">
        <v>1</v>
      </c>
      <c r="H567" s="55">
        <v>0</v>
      </c>
      <c r="I567" s="55">
        <v>0</v>
      </c>
      <c r="J567" s="55">
        <v>0</v>
      </c>
    </row>
    <row r="568" spans="1:10" ht="15" x14ac:dyDescent="0.4">
      <c r="A568" s="54">
        <v>45948</v>
      </c>
      <c r="B568" s="55" t="s">
        <v>55</v>
      </c>
      <c r="C568" s="55" t="s">
        <v>56</v>
      </c>
      <c r="D568" s="57">
        <v>33772</v>
      </c>
      <c r="E568" s="55">
        <v>24122</v>
      </c>
      <c r="F568" s="55">
        <v>303</v>
      </c>
      <c r="G568" s="55">
        <v>4</v>
      </c>
      <c r="H568" s="55">
        <v>2</v>
      </c>
      <c r="I568" s="55">
        <v>0</v>
      </c>
      <c r="J568" s="55">
        <v>0</v>
      </c>
    </row>
    <row r="569" spans="1:10" ht="15" x14ac:dyDescent="0.4">
      <c r="A569" s="54">
        <v>45948</v>
      </c>
      <c r="B569" s="55" t="s">
        <v>62</v>
      </c>
      <c r="C569" s="55" t="s">
        <v>56</v>
      </c>
      <c r="D569" s="57">
        <v>9985</v>
      </c>
      <c r="E569" s="55">
        <v>7132</v>
      </c>
      <c r="F569" s="55">
        <v>80</v>
      </c>
      <c r="G569" s="55">
        <v>3</v>
      </c>
      <c r="H569" s="55">
        <v>0</v>
      </c>
      <c r="I569" s="55">
        <v>0</v>
      </c>
      <c r="J569" s="55">
        <v>0</v>
      </c>
    </row>
    <row r="570" spans="1:10" ht="15" x14ac:dyDescent="0.4">
      <c r="A570" s="54">
        <v>45949</v>
      </c>
      <c r="B570" s="55" t="s">
        <v>61</v>
      </c>
      <c r="C570" s="55" t="s">
        <v>56</v>
      </c>
      <c r="D570" s="57">
        <v>15982</v>
      </c>
      <c r="E570" s="55">
        <v>11415</v>
      </c>
      <c r="F570" s="55">
        <v>140</v>
      </c>
      <c r="G570" s="55">
        <v>5</v>
      </c>
      <c r="H570" s="55">
        <v>0</v>
      </c>
      <c r="I570" s="55">
        <v>1</v>
      </c>
      <c r="J570" s="55">
        <v>0</v>
      </c>
    </row>
    <row r="571" spans="1:10" ht="15" x14ac:dyDescent="0.4">
      <c r="A571" s="54">
        <v>45949</v>
      </c>
      <c r="B571" s="55" t="s">
        <v>63</v>
      </c>
      <c r="C571" s="55" t="s">
        <v>58</v>
      </c>
      <c r="D571" s="57">
        <v>7171</v>
      </c>
      <c r="E571" s="55">
        <v>1493</v>
      </c>
      <c r="F571" s="55">
        <v>86</v>
      </c>
      <c r="G571" s="55">
        <v>2</v>
      </c>
      <c r="H571" s="55">
        <v>1</v>
      </c>
      <c r="I571" s="55">
        <v>0</v>
      </c>
      <c r="J571" s="55">
        <v>0</v>
      </c>
    </row>
    <row r="572" spans="1:10" ht="15" x14ac:dyDescent="0.4">
      <c r="A572" s="54">
        <v>45949</v>
      </c>
      <c r="B572" s="55" t="s">
        <v>57</v>
      </c>
      <c r="C572" s="55" t="s">
        <v>58</v>
      </c>
      <c r="D572" s="57">
        <v>20769</v>
      </c>
      <c r="E572" s="55">
        <v>4326</v>
      </c>
      <c r="F572" s="55">
        <v>252</v>
      </c>
      <c r="G572" s="55">
        <v>3</v>
      </c>
      <c r="H572" s="55">
        <v>1</v>
      </c>
      <c r="I572" s="55">
        <v>0</v>
      </c>
      <c r="J572" s="55">
        <v>0</v>
      </c>
    </row>
    <row r="573" spans="1:10" ht="15" x14ac:dyDescent="0.4">
      <c r="A573" s="54">
        <v>45949</v>
      </c>
      <c r="B573" s="55" t="s">
        <v>59</v>
      </c>
      <c r="C573" s="55" t="s">
        <v>60</v>
      </c>
      <c r="D573" s="57">
        <v>26103</v>
      </c>
      <c r="E573" s="55">
        <v>5019</v>
      </c>
      <c r="F573" s="55">
        <v>30</v>
      </c>
      <c r="G573" s="55">
        <v>2</v>
      </c>
      <c r="H573" s="55">
        <v>0</v>
      </c>
      <c r="I573" s="55">
        <v>0</v>
      </c>
      <c r="J573" s="55">
        <v>0</v>
      </c>
    </row>
    <row r="574" spans="1:10" ht="15" x14ac:dyDescent="0.4">
      <c r="A574" s="54">
        <v>45949</v>
      </c>
      <c r="B574" s="55" t="s">
        <v>55</v>
      </c>
      <c r="C574" s="55" t="s">
        <v>56</v>
      </c>
      <c r="D574" s="57">
        <v>35003</v>
      </c>
      <c r="E574" s="55">
        <v>25002</v>
      </c>
      <c r="F574" s="55">
        <v>262</v>
      </c>
      <c r="G574" s="55">
        <v>5</v>
      </c>
      <c r="H574" s="55">
        <v>4</v>
      </c>
      <c r="I574" s="55">
        <v>3</v>
      </c>
      <c r="J574" s="55">
        <v>0</v>
      </c>
    </row>
    <row r="575" spans="1:10" ht="15" x14ac:dyDescent="0.4">
      <c r="A575" s="54">
        <v>45949</v>
      </c>
      <c r="B575" s="55" t="s">
        <v>62</v>
      </c>
      <c r="C575" s="55" t="s">
        <v>56</v>
      </c>
      <c r="D575" s="57">
        <v>8434</v>
      </c>
      <c r="E575" s="55">
        <v>6024</v>
      </c>
      <c r="F575" s="55">
        <v>66</v>
      </c>
      <c r="G575" s="55">
        <v>2</v>
      </c>
      <c r="H575" s="55">
        <v>0</v>
      </c>
      <c r="I575" s="55">
        <v>0</v>
      </c>
      <c r="J575" s="55">
        <v>0</v>
      </c>
    </row>
    <row r="576" spans="1:10" ht="15" x14ac:dyDescent="0.4">
      <c r="A576" s="54">
        <v>45950</v>
      </c>
      <c r="B576" s="55" t="s">
        <v>61</v>
      </c>
      <c r="C576" s="55" t="s">
        <v>56</v>
      </c>
      <c r="D576" s="57">
        <v>16390</v>
      </c>
      <c r="E576" s="55">
        <v>11707</v>
      </c>
      <c r="F576" s="55">
        <v>145</v>
      </c>
      <c r="G576" s="55">
        <v>1</v>
      </c>
      <c r="H576" s="55">
        <v>0</v>
      </c>
      <c r="I576" s="55">
        <v>0</v>
      </c>
      <c r="J576" s="55">
        <v>0</v>
      </c>
    </row>
    <row r="577" spans="1:10" ht="15" x14ac:dyDescent="0.4">
      <c r="A577" s="54">
        <v>45950</v>
      </c>
      <c r="B577" s="55" t="s">
        <v>63</v>
      </c>
      <c r="C577" s="55" t="s">
        <v>58</v>
      </c>
      <c r="D577" s="57">
        <v>7036</v>
      </c>
      <c r="E577" s="55">
        <v>1465</v>
      </c>
      <c r="F577" s="55">
        <v>70</v>
      </c>
      <c r="G577" s="55">
        <v>5</v>
      </c>
      <c r="H577" s="55">
        <v>2</v>
      </c>
      <c r="I577" s="55">
        <v>1</v>
      </c>
      <c r="J577" s="55">
        <v>0</v>
      </c>
    </row>
    <row r="578" spans="1:10" ht="15" x14ac:dyDescent="0.4">
      <c r="A578" s="54">
        <v>45950</v>
      </c>
      <c r="B578" s="55" t="s">
        <v>57</v>
      </c>
      <c r="C578" s="55" t="s">
        <v>58</v>
      </c>
      <c r="D578" s="57">
        <v>22598</v>
      </c>
      <c r="E578" s="55">
        <v>4707</v>
      </c>
      <c r="F578" s="55">
        <v>257</v>
      </c>
      <c r="G578" s="55">
        <v>3</v>
      </c>
      <c r="H578" s="55">
        <v>3</v>
      </c>
      <c r="I578" s="55">
        <v>0</v>
      </c>
      <c r="J578" s="55">
        <v>0</v>
      </c>
    </row>
    <row r="579" spans="1:10" ht="15" x14ac:dyDescent="0.4">
      <c r="A579" s="54">
        <v>45950</v>
      </c>
      <c r="B579" s="55" t="s">
        <v>59</v>
      </c>
      <c r="C579" s="55" t="s">
        <v>60</v>
      </c>
      <c r="D579" s="57">
        <v>26937</v>
      </c>
      <c r="E579" s="55">
        <v>5180</v>
      </c>
      <c r="F579" s="55">
        <v>29</v>
      </c>
      <c r="G579" s="55">
        <v>3</v>
      </c>
      <c r="H579" s="55">
        <v>0</v>
      </c>
      <c r="I579" s="55">
        <v>0</v>
      </c>
      <c r="J579" s="55">
        <v>1</v>
      </c>
    </row>
    <row r="580" spans="1:10" ht="15" x14ac:dyDescent="0.4">
      <c r="A580" s="54">
        <v>45950</v>
      </c>
      <c r="B580" s="55" t="s">
        <v>55</v>
      </c>
      <c r="C580" s="55" t="s">
        <v>56</v>
      </c>
      <c r="D580" s="57">
        <v>30855</v>
      </c>
      <c r="E580" s="55">
        <v>22039</v>
      </c>
      <c r="F580" s="55">
        <v>256</v>
      </c>
      <c r="G580" s="55">
        <v>3</v>
      </c>
      <c r="H580" s="55">
        <v>2</v>
      </c>
      <c r="I580" s="55">
        <v>0</v>
      </c>
      <c r="J580" s="55">
        <v>0</v>
      </c>
    </row>
    <row r="581" spans="1:10" ht="15" x14ac:dyDescent="0.4">
      <c r="A581" s="54">
        <v>45950</v>
      </c>
      <c r="B581" s="55" t="s">
        <v>62</v>
      </c>
      <c r="C581" s="55" t="s">
        <v>56</v>
      </c>
      <c r="D581" s="57">
        <v>9517</v>
      </c>
      <c r="E581" s="55">
        <v>6797</v>
      </c>
      <c r="F581" s="55">
        <v>75</v>
      </c>
      <c r="G581" s="55">
        <v>4</v>
      </c>
      <c r="H581" s="55">
        <v>0</v>
      </c>
      <c r="I581" s="55">
        <v>0</v>
      </c>
      <c r="J581" s="55">
        <v>0</v>
      </c>
    </row>
    <row r="582" spans="1:10" ht="15" x14ac:dyDescent="0.4">
      <c r="A582" s="54">
        <v>45951</v>
      </c>
      <c r="B582" s="55" t="s">
        <v>61</v>
      </c>
      <c r="C582" s="55" t="s">
        <v>56</v>
      </c>
      <c r="D582" s="57">
        <v>17563</v>
      </c>
      <c r="E582" s="55">
        <v>12545</v>
      </c>
      <c r="F582" s="55">
        <v>148</v>
      </c>
      <c r="G582" s="55">
        <v>11</v>
      </c>
      <c r="H582" s="55">
        <v>0</v>
      </c>
      <c r="I582" s="55">
        <v>0</v>
      </c>
      <c r="J582" s="55">
        <v>0</v>
      </c>
    </row>
    <row r="583" spans="1:10" ht="15" x14ac:dyDescent="0.4">
      <c r="A583" s="54">
        <v>45951</v>
      </c>
      <c r="B583" s="55" t="s">
        <v>63</v>
      </c>
      <c r="C583" s="55" t="s">
        <v>58</v>
      </c>
      <c r="D583" s="57">
        <v>6888</v>
      </c>
      <c r="E583" s="55">
        <v>1434</v>
      </c>
      <c r="F583" s="55">
        <v>83</v>
      </c>
      <c r="G583" s="55">
        <v>0</v>
      </c>
      <c r="H583" s="55">
        <v>0</v>
      </c>
      <c r="I583" s="55">
        <v>0</v>
      </c>
      <c r="J583" s="55">
        <v>0</v>
      </c>
    </row>
    <row r="584" spans="1:10" ht="15" x14ac:dyDescent="0.4">
      <c r="A584" s="54">
        <v>45951</v>
      </c>
      <c r="B584" s="55" t="s">
        <v>57</v>
      </c>
      <c r="C584" s="55" t="s">
        <v>58</v>
      </c>
      <c r="D584" s="57">
        <v>20585</v>
      </c>
      <c r="E584" s="55">
        <v>4288</v>
      </c>
      <c r="F584" s="55">
        <v>200</v>
      </c>
      <c r="G584" s="55">
        <v>1</v>
      </c>
      <c r="H584" s="55">
        <v>0</v>
      </c>
      <c r="I584" s="55">
        <v>0</v>
      </c>
      <c r="J584" s="55">
        <v>0</v>
      </c>
    </row>
    <row r="585" spans="1:10" ht="15" x14ac:dyDescent="0.4">
      <c r="A585" s="54">
        <v>45951</v>
      </c>
      <c r="B585" s="55" t="s">
        <v>59</v>
      </c>
      <c r="C585" s="55" t="s">
        <v>60</v>
      </c>
      <c r="D585" s="57">
        <v>25174</v>
      </c>
      <c r="E585" s="55">
        <v>4841</v>
      </c>
      <c r="F585" s="55">
        <v>31</v>
      </c>
      <c r="G585" s="55">
        <v>2</v>
      </c>
      <c r="H585" s="55">
        <v>2</v>
      </c>
      <c r="I585" s="55">
        <v>0</v>
      </c>
      <c r="J585" s="55">
        <v>0</v>
      </c>
    </row>
    <row r="586" spans="1:10" ht="15" x14ac:dyDescent="0.4">
      <c r="A586" s="54">
        <v>45951</v>
      </c>
      <c r="B586" s="55" t="s">
        <v>55</v>
      </c>
      <c r="C586" s="55" t="s">
        <v>56</v>
      </c>
      <c r="D586" s="57">
        <v>31850</v>
      </c>
      <c r="E586" s="55">
        <v>22750</v>
      </c>
      <c r="F586" s="55">
        <v>249</v>
      </c>
      <c r="G586" s="55">
        <v>8</v>
      </c>
      <c r="H586" s="55">
        <v>2</v>
      </c>
      <c r="I586" s="55">
        <v>1</v>
      </c>
      <c r="J586" s="55">
        <v>0</v>
      </c>
    </row>
    <row r="587" spans="1:10" ht="15" x14ac:dyDescent="0.4">
      <c r="A587" s="54">
        <v>45951</v>
      </c>
      <c r="B587" s="55" t="s">
        <v>62</v>
      </c>
      <c r="C587" s="55" t="s">
        <v>56</v>
      </c>
      <c r="D587" s="57">
        <v>9470</v>
      </c>
      <c r="E587" s="55">
        <v>6764</v>
      </c>
      <c r="F587" s="55">
        <v>82</v>
      </c>
      <c r="G587" s="55">
        <v>3</v>
      </c>
      <c r="H587" s="55">
        <v>1</v>
      </c>
      <c r="I587" s="55">
        <v>1</v>
      </c>
      <c r="J587" s="55">
        <v>0</v>
      </c>
    </row>
    <row r="588" spans="1:10" ht="15" x14ac:dyDescent="0.4">
      <c r="A588" s="54">
        <v>45952</v>
      </c>
      <c r="B588" s="55" t="s">
        <v>61</v>
      </c>
      <c r="C588" s="55" t="s">
        <v>56</v>
      </c>
      <c r="D588" s="57">
        <v>18286</v>
      </c>
      <c r="E588" s="55">
        <v>13061</v>
      </c>
      <c r="F588" s="55">
        <v>139</v>
      </c>
      <c r="G588" s="55">
        <v>6</v>
      </c>
      <c r="H588" s="55">
        <v>1</v>
      </c>
      <c r="I588" s="55">
        <v>0</v>
      </c>
      <c r="J588" s="55">
        <v>0</v>
      </c>
    </row>
    <row r="589" spans="1:10" ht="15" x14ac:dyDescent="0.4">
      <c r="A589" s="54">
        <v>45952</v>
      </c>
      <c r="B589" s="55" t="s">
        <v>63</v>
      </c>
      <c r="C589" s="55" t="s">
        <v>58</v>
      </c>
      <c r="D589" s="57">
        <v>7435</v>
      </c>
      <c r="E589" s="55">
        <v>1548</v>
      </c>
      <c r="F589" s="55">
        <v>74</v>
      </c>
      <c r="G589" s="55">
        <v>2</v>
      </c>
      <c r="H589" s="55">
        <v>0</v>
      </c>
      <c r="I589" s="55">
        <v>2</v>
      </c>
      <c r="J589" s="55">
        <v>0</v>
      </c>
    </row>
    <row r="590" spans="1:10" ht="15" x14ac:dyDescent="0.4">
      <c r="A590" s="54">
        <v>45952</v>
      </c>
      <c r="B590" s="55" t="s">
        <v>57</v>
      </c>
      <c r="C590" s="55" t="s">
        <v>58</v>
      </c>
      <c r="D590" s="57">
        <v>22595</v>
      </c>
      <c r="E590" s="55">
        <v>4707</v>
      </c>
      <c r="F590" s="55">
        <v>223</v>
      </c>
      <c r="G590" s="55">
        <v>5</v>
      </c>
      <c r="H590" s="55">
        <v>1</v>
      </c>
      <c r="I590" s="55">
        <v>0</v>
      </c>
      <c r="J590" s="55">
        <v>0</v>
      </c>
    </row>
    <row r="591" spans="1:10" ht="15" x14ac:dyDescent="0.4">
      <c r="A591" s="54">
        <v>45952</v>
      </c>
      <c r="B591" s="55" t="s">
        <v>59</v>
      </c>
      <c r="C591" s="55" t="s">
        <v>60</v>
      </c>
      <c r="D591" s="57">
        <v>23665</v>
      </c>
      <c r="E591" s="55">
        <v>4550</v>
      </c>
      <c r="F591" s="55">
        <v>26</v>
      </c>
      <c r="G591" s="55">
        <v>3</v>
      </c>
      <c r="H591" s="55">
        <v>0</v>
      </c>
      <c r="I591" s="55">
        <v>0</v>
      </c>
      <c r="J591" s="55">
        <v>0</v>
      </c>
    </row>
    <row r="592" spans="1:10" ht="15" x14ac:dyDescent="0.4">
      <c r="A592" s="54">
        <v>45952</v>
      </c>
      <c r="B592" s="55" t="s">
        <v>55</v>
      </c>
      <c r="C592" s="55" t="s">
        <v>56</v>
      </c>
      <c r="D592" s="57">
        <v>31107</v>
      </c>
      <c r="E592" s="55">
        <v>22219</v>
      </c>
      <c r="F592" s="55">
        <v>259</v>
      </c>
      <c r="G592" s="55">
        <v>6</v>
      </c>
      <c r="H592" s="55">
        <v>1</v>
      </c>
      <c r="I592" s="55">
        <v>3</v>
      </c>
      <c r="J592" s="55">
        <v>1</v>
      </c>
    </row>
    <row r="593" spans="1:10" ht="15" x14ac:dyDescent="0.4">
      <c r="A593" s="54">
        <v>45952</v>
      </c>
      <c r="B593" s="55" t="s">
        <v>62</v>
      </c>
      <c r="C593" s="55" t="s">
        <v>56</v>
      </c>
      <c r="D593" s="57">
        <v>10193</v>
      </c>
      <c r="E593" s="55">
        <v>7280</v>
      </c>
      <c r="F593" s="55">
        <v>74</v>
      </c>
      <c r="G593" s="55">
        <v>4</v>
      </c>
      <c r="H593" s="55">
        <v>0</v>
      </c>
      <c r="I593" s="55">
        <v>0</v>
      </c>
      <c r="J593" s="55">
        <v>0</v>
      </c>
    </row>
    <row r="594" spans="1:10" ht="15" x14ac:dyDescent="0.4">
      <c r="A594" s="54">
        <v>45953</v>
      </c>
      <c r="B594" s="55" t="s">
        <v>61</v>
      </c>
      <c r="C594" s="55" t="s">
        <v>56</v>
      </c>
      <c r="D594" s="57">
        <v>17507</v>
      </c>
      <c r="E594" s="55">
        <v>12504</v>
      </c>
      <c r="F594" s="55">
        <v>123</v>
      </c>
      <c r="G594" s="55">
        <v>6</v>
      </c>
      <c r="H594" s="55">
        <v>2</v>
      </c>
      <c r="I594" s="55">
        <v>0</v>
      </c>
      <c r="J594" s="55">
        <v>0</v>
      </c>
    </row>
    <row r="595" spans="1:10" ht="15" x14ac:dyDescent="0.4">
      <c r="A595" s="54">
        <v>45953</v>
      </c>
      <c r="B595" s="55" t="s">
        <v>63</v>
      </c>
      <c r="C595" s="55" t="s">
        <v>58</v>
      </c>
      <c r="D595" s="57">
        <v>7015</v>
      </c>
      <c r="E595" s="55">
        <v>1461</v>
      </c>
      <c r="F595" s="55">
        <v>79</v>
      </c>
      <c r="G595" s="55">
        <v>1</v>
      </c>
      <c r="H595" s="55">
        <v>1</v>
      </c>
      <c r="I595" s="55">
        <v>1</v>
      </c>
      <c r="J595" s="55">
        <v>0</v>
      </c>
    </row>
    <row r="596" spans="1:10" ht="15" x14ac:dyDescent="0.4">
      <c r="A596" s="54">
        <v>45953</v>
      </c>
      <c r="B596" s="55" t="s">
        <v>57</v>
      </c>
      <c r="C596" s="55" t="s">
        <v>58</v>
      </c>
      <c r="D596" s="57">
        <v>22718</v>
      </c>
      <c r="E596" s="55">
        <v>4732</v>
      </c>
      <c r="F596" s="55">
        <v>266</v>
      </c>
      <c r="G596" s="55">
        <v>2</v>
      </c>
      <c r="H596" s="55">
        <v>0</v>
      </c>
      <c r="I596" s="55">
        <v>0</v>
      </c>
      <c r="J596" s="55">
        <v>0</v>
      </c>
    </row>
    <row r="597" spans="1:10" ht="15" x14ac:dyDescent="0.4">
      <c r="A597" s="54">
        <v>45953</v>
      </c>
      <c r="B597" s="55" t="s">
        <v>59</v>
      </c>
      <c r="C597" s="55" t="s">
        <v>60</v>
      </c>
      <c r="D597" s="57">
        <v>27385</v>
      </c>
      <c r="E597" s="55">
        <v>5266</v>
      </c>
      <c r="F597" s="55">
        <v>31</v>
      </c>
      <c r="G597" s="55">
        <v>3</v>
      </c>
      <c r="H597" s="55">
        <v>1</v>
      </c>
      <c r="I597" s="55">
        <v>0</v>
      </c>
      <c r="J597" s="55">
        <v>0</v>
      </c>
    </row>
    <row r="598" spans="1:10" ht="15" x14ac:dyDescent="0.4">
      <c r="A598" s="54">
        <v>45953</v>
      </c>
      <c r="B598" s="55" t="s">
        <v>55</v>
      </c>
      <c r="C598" s="55" t="s">
        <v>56</v>
      </c>
      <c r="D598" s="57">
        <v>31802</v>
      </c>
      <c r="E598" s="55">
        <v>22715</v>
      </c>
      <c r="F598" s="55">
        <v>222</v>
      </c>
      <c r="G598" s="55">
        <v>8</v>
      </c>
      <c r="H598" s="55">
        <v>3</v>
      </c>
      <c r="I598" s="55">
        <v>0</v>
      </c>
      <c r="J598" s="55">
        <v>1</v>
      </c>
    </row>
    <row r="599" spans="1:10" ht="15" x14ac:dyDescent="0.4">
      <c r="A599" s="54">
        <v>45953</v>
      </c>
      <c r="B599" s="55" t="s">
        <v>62</v>
      </c>
      <c r="C599" s="55" t="s">
        <v>56</v>
      </c>
      <c r="D599" s="57">
        <v>9021</v>
      </c>
      <c r="E599" s="55">
        <v>6443</v>
      </c>
      <c r="F599" s="55">
        <v>72</v>
      </c>
      <c r="G599" s="55">
        <v>0</v>
      </c>
      <c r="H599" s="55">
        <v>4</v>
      </c>
      <c r="I599" s="55">
        <v>0</v>
      </c>
      <c r="J599" s="55">
        <v>0</v>
      </c>
    </row>
    <row r="600" spans="1:10" ht="15" x14ac:dyDescent="0.4">
      <c r="A600" s="54">
        <v>45954</v>
      </c>
      <c r="B600" s="55" t="s">
        <v>61</v>
      </c>
      <c r="C600" s="55" t="s">
        <v>56</v>
      </c>
      <c r="D600" s="57">
        <v>15800</v>
      </c>
      <c r="E600" s="55">
        <v>11285</v>
      </c>
      <c r="F600" s="55">
        <v>115</v>
      </c>
      <c r="G600" s="55">
        <v>1</v>
      </c>
      <c r="H600" s="55">
        <v>2</v>
      </c>
      <c r="I600" s="55">
        <v>0</v>
      </c>
      <c r="J600" s="55">
        <v>0</v>
      </c>
    </row>
    <row r="601" spans="1:10" ht="15" x14ac:dyDescent="0.4">
      <c r="A601" s="54">
        <v>45954</v>
      </c>
      <c r="B601" s="55" t="s">
        <v>63</v>
      </c>
      <c r="C601" s="55" t="s">
        <v>58</v>
      </c>
      <c r="D601" s="57">
        <v>7089</v>
      </c>
      <c r="E601" s="55">
        <v>1476</v>
      </c>
      <c r="F601" s="55">
        <v>77</v>
      </c>
      <c r="G601" s="55">
        <v>3</v>
      </c>
      <c r="H601" s="55">
        <v>2</v>
      </c>
      <c r="I601" s="55">
        <v>1</v>
      </c>
      <c r="J601" s="55">
        <v>0</v>
      </c>
    </row>
    <row r="602" spans="1:10" ht="15" x14ac:dyDescent="0.4">
      <c r="A602" s="54">
        <v>45954</v>
      </c>
      <c r="B602" s="55" t="s">
        <v>57</v>
      </c>
      <c r="C602" s="55" t="s">
        <v>58</v>
      </c>
      <c r="D602" s="57">
        <v>24342</v>
      </c>
      <c r="E602" s="55">
        <v>5071</v>
      </c>
      <c r="F602" s="55">
        <v>262</v>
      </c>
      <c r="G602" s="55">
        <v>1</v>
      </c>
      <c r="H602" s="55">
        <v>0</v>
      </c>
      <c r="I602" s="55">
        <v>1</v>
      </c>
      <c r="J602" s="55">
        <v>0</v>
      </c>
    </row>
    <row r="603" spans="1:10" ht="15" x14ac:dyDescent="0.4">
      <c r="A603" s="54">
        <v>45954</v>
      </c>
      <c r="B603" s="55" t="s">
        <v>59</v>
      </c>
      <c r="C603" s="55" t="s">
        <v>60</v>
      </c>
      <c r="D603" s="57">
        <v>26191</v>
      </c>
      <c r="E603" s="55">
        <v>5036</v>
      </c>
      <c r="F603" s="55">
        <v>35</v>
      </c>
      <c r="G603" s="55">
        <v>4</v>
      </c>
      <c r="H603" s="55">
        <v>1</v>
      </c>
      <c r="I603" s="55">
        <v>1</v>
      </c>
      <c r="J603" s="55">
        <v>2</v>
      </c>
    </row>
    <row r="604" spans="1:10" ht="15" x14ac:dyDescent="0.4">
      <c r="A604" s="54">
        <v>45954</v>
      </c>
      <c r="B604" s="55" t="s">
        <v>55</v>
      </c>
      <c r="C604" s="55" t="s">
        <v>56</v>
      </c>
      <c r="D604" s="57">
        <v>33624</v>
      </c>
      <c r="E604" s="55">
        <v>24017</v>
      </c>
      <c r="F604" s="55">
        <v>252</v>
      </c>
      <c r="G604" s="55">
        <v>8</v>
      </c>
      <c r="H604" s="55">
        <v>2</v>
      </c>
      <c r="I604" s="55">
        <v>1</v>
      </c>
      <c r="J604" s="55">
        <v>0</v>
      </c>
    </row>
    <row r="605" spans="1:10" ht="15" x14ac:dyDescent="0.4">
      <c r="A605" s="54">
        <v>45954</v>
      </c>
      <c r="B605" s="55" t="s">
        <v>62</v>
      </c>
      <c r="C605" s="55" t="s">
        <v>56</v>
      </c>
      <c r="D605" s="57">
        <v>9956</v>
      </c>
      <c r="E605" s="55">
        <v>7111</v>
      </c>
      <c r="F605" s="55">
        <v>78</v>
      </c>
      <c r="G605" s="55">
        <v>3</v>
      </c>
      <c r="H605" s="55">
        <v>2</v>
      </c>
      <c r="I605" s="55">
        <v>0</v>
      </c>
      <c r="J605" s="55">
        <v>0</v>
      </c>
    </row>
    <row r="606" spans="1:10" ht="15" x14ac:dyDescent="0.4">
      <c r="A606" s="54">
        <v>45955</v>
      </c>
      <c r="B606" s="55" t="s">
        <v>61</v>
      </c>
      <c r="C606" s="55" t="s">
        <v>56</v>
      </c>
      <c r="D606" s="57">
        <v>17985</v>
      </c>
      <c r="E606" s="55">
        <v>12846</v>
      </c>
      <c r="F606" s="55">
        <v>137</v>
      </c>
      <c r="G606" s="55">
        <v>5</v>
      </c>
      <c r="H606" s="55">
        <v>2</v>
      </c>
      <c r="I606" s="55">
        <v>1</v>
      </c>
      <c r="J606" s="55">
        <v>0</v>
      </c>
    </row>
    <row r="607" spans="1:10" ht="15" x14ac:dyDescent="0.4">
      <c r="A607" s="54">
        <v>45955</v>
      </c>
      <c r="B607" s="55" t="s">
        <v>63</v>
      </c>
      <c r="C607" s="55" t="s">
        <v>58</v>
      </c>
      <c r="D607" s="57">
        <v>6310</v>
      </c>
      <c r="E607" s="55">
        <v>1314</v>
      </c>
      <c r="F607" s="55">
        <v>71</v>
      </c>
      <c r="G607" s="55">
        <v>3</v>
      </c>
      <c r="H607" s="55">
        <v>1</v>
      </c>
      <c r="I607" s="55">
        <v>0</v>
      </c>
      <c r="J607" s="55">
        <v>1</v>
      </c>
    </row>
    <row r="608" spans="1:10" ht="15" x14ac:dyDescent="0.4">
      <c r="A608" s="54">
        <v>45955</v>
      </c>
      <c r="B608" s="55" t="s">
        <v>57</v>
      </c>
      <c r="C608" s="55" t="s">
        <v>58</v>
      </c>
      <c r="D608" s="57">
        <v>21609</v>
      </c>
      <c r="E608" s="55">
        <v>4501</v>
      </c>
      <c r="F608" s="55">
        <v>229</v>
      </c>
      <c r="G608" s="55">
        <v>0</v>
      </c>
      <c r="H608" s="55">
        <v>0</v>
      </c>
      <c r="I608" s="55">
        <v>1</v>
      </c>
      <c r="J608" s="55">
        <v>0</v>
      </c>
    </row>
    <row r="609" spans="1:10" ht="15" x14ac:dyDescent="0.4">
      <c r="A609" s="54">
        <v>45955</v>
      </c>
      <c r="B609" s="55" t="s">
        <v>59</v>
      </c>
      <c r="C609" s="55" t="s">
        <v>60</v>
      </c>
      <c r="D609" s="57">
        <v>27136</v>
      </c>
      <c r="E609" s="55">
        <v>5218</v>
      </c>
      <c r="F609" s="55">
        <v>38</v>
      </c>
      <c r="G609" s="55">
        <v>0</v>
      </c>
      <c r="H609" s="55">
        <v>0</v>
      </c>
      <c r="I609" s="55">
        <v>0</v>
      </c>
      <c r="J609" s="55">
        <v>0</v>
      </c>
    </row>
    <row r="610" spans="1:10" ht="15" x14ac:dyDescent="0.4">
      <c r="A610" s="54">
        <v>45955</v>
      </c>
      <c r="B610" s="55" t="s">
        <v>55</v>
      </c>
      <c r="C610" s="55" t="s">
        <v>56</v>
      </c>
      <c r="D610" s="57">
        <v>35586</v>
      </c>
      <c r="E610" s="55">
        <v>25418</v>
      </c>
      <c r="F610" s="55">
        <v>280</v>
      </c>
      <c r="G610" s="55">
        <v>11</v>
      </c>
      <c r="H610" s="55">
        <v>0</v>
      </c>
      <c r="I610" s="55">
        <v>1</v>
      </c>
      <c r="J610" s="55">
        <v>1</v>
      </c>
    </row>
    <row r="611" spans="1:10" ht="15" x14ac:dyDescent="0.4">
      <c r="A611" s="54">
        <v>45955</v>
      </c>
      <c r="B611" s="55" t="s">
        <v>62</v>
      </c>
      <c r="C611" s="55" t="s">
        <v>56</v>
      </c>
      <c r="D611" s="57">
        <v>9052</v>
      </c>
      <c r="E611" s="55">
        <v>6465</v>
      </c>
      <c r="F611" s="55">
        <v>75</v>
      </c>
      <c r="G611" s="55">
        <v>1</v>
      </c>
      <c r="H611" s="55">
        <v>0</v>
      </c>
      <c r="I611" s="55">
        <v>0</v>
      </c>
      <c r="J611" s="55">
        <v>0</v>
      </c>
    </row>
    <row r="612" spans="1:10" ht="15" x14ac:dyDescent="0.4">
      <c r="A612" s="54">
        <v>45956</v>
      </c>
      <c r="B612" s="55" t="s">
        <v>61</v>
      </c>
      <c r="C612" s="55" t="s">
        <v>56</v>
      </c>
      <c r="D612" s="57">
        <v>15967</v>
      </c>
      <c r="E612" s="55">
        <v>11405</v>
      </c>
      <c r="F612" s="55">
        <v>143</v>
      </c>
      <c r="G612" s="55">
        <v>3</v>
      </c>
      <c r="H612" s="55">
        <v>2</v>
      </c>
      <c r="I612" s="55">
        <v>0</v>
      </c>
      <c r="J612" s="55">
        <v>0</v>
      </c>
    </row>
    <row r="613" spans="1:10" ht="15" x14ac:dyDescent="0.4">
      <c r="A613" s="54">
        <v>45956</v>
      </c>
      <c r="B613" s="55" t="s">
        <v>63</v>
      </c>
      <c r="C613" s="55" t="s">
        <v>58</v>
      </c>
      <c r="D613" s="57">
        <v>6268</v>
      </c>
      <c r="E613" s="55">
        <v>1305</v>
      </c>
      <c r="F613" s="55">
        <v>61</v>
      </c>
      <c r="G613" s="55">
        <v>1</v>
      </c>
      <c r="H613" s="55">
        <v>4</v>
      </c>
      <c r="I613" s="55">
        <v>1</v>
      </c>
      <c r="J613" s="55">
        <v>0</v>
      </c>
    </row>
    <row r="614" spans="1:10" ht="15" x14ac:dyDescent="0.4">
      <c r="A614" s="54">
        <v>45956</v>
      </c>
      <c r="B614" s="55" t="s">
        <v>57</v>
      </c>
      <c r="C614" s="55" t="s">
        <v>58</v>
      </c>
      <c r="D614" s="57">
        <v>23795</v>
      </c>
      <c r="E614" s="55">
        <v>4957</v>
      </c>
      <c r="F614" s="55">
        <v>282</v>
      </c>
      <c r="G614" s="55">
        <v>2</v>
      </c>
      <c r="H614" s="55">
        <v>0</v>
      </c>
      <c r="I614" s="55">
        <v>0</v>
      </c>
      <c r="J614" s="55">
        <v>0</v>
      </c>
    </row>
    <row r="615" spans="1:10" ht="15" x14ac:dyDescent="0.4">
      <c r="A615" s="54">
        <v>45956</v>
      </c>
      <c r="B615" s="55" t="s">
        <v>59</v>
      </c>
      <c r="C615" s="55" t="s">
        <v>60</v>
      </c>
      <c r="D615" s="57">
        <v>25022</v>
      </c>
      <c r="E615" s="55">
        <v>4811</v>
      </c>
      <c r="F615" s="55">
        <v>27</v>
      </c>
      <c r="G615" s="55">
        <v>0</v>
      </c>
      <c r="H615" s="55">
        <v>2</v>
      </c>
      <c r="I615" s="55">
        <v>1</v>
      </c>
      <c r="J615" s="55">
        <v>0</v>
      </c>
    </row>
    <row r="616" spans="1:10" ht="15" x14ac:dyDescent="0.4">
      <c r="A616" s="54">
        <v>45956</v>
      </c>
      <c r="B616" s="55" t="s">
        <v>55</v>
      </c>
      <c r="C616" s="55" t="s">
        <v>56</v>
      </c>
      <c r="D616" s="57">
        <v>35172</v>
      </c>
      <c r="E616" s="55">
        <v>25122</v>
      </c>
      <c r="F616" s="55">
        <v>288</v>
      </c>
      <c r="G616" s="55">
        <v>4</v>
      </c>
      <c r="H616" s="55">
        <v>0</v>
      </c>
      <c r="I616" s="55">
        <v>3</v>
      </c>
      <c r="J616" s="55">
        <v>0</v>
      </c>
    </row>
    <row r="617" spans="1:10" ht="15" x14ac:dyDescent="0.4">
      <c r="A617" s="54">
        <v>45956</v>
      </c>
      <c r="B617" s="55" t="s">
        <v>62</v>
      </c>
      <c r="C617" s="55" t="s">
        <v>56</v>
      </c>
      <c r="D617" s="57">
        <v>9873</v>
      </c>
      <c r="E617" s="55">
        <v>7052</v>
      </c>
      <c r="F617" s="55">
        <v>68</v>
      </c>
      <c r="G617" s="55">
        <v>3</v>
      </c>
      <c r="H617" s="55">
        <v>0</v>
      </c>
      <c r="I617" s="55">
        <v>1</v>
      </c>
      <c r="J617" s="55">
        <v>0</v>
      </c>
    </row>
    <row r="618" spans="1:10" ht="15" x14ac:dyDescent="0.4">
      <c r="A618" s="54">
        <v>45957</v>
      </c>
      <c r="B618" s="55" t="s">
        <v>61</v>
      </c>
      <c r="C618" s="55" t="s">
        <v>56</v>
      </c>
      <c r="D618" s="57">
        <v>15840</v>
      </c>
      <c r="E618" s="55">
        <v>11314</v>
      </c>
      <c r="F618" s="55">
        <v>121</v>
      </c>
      <c r="G618" s="55">
        <v>6</v>
      </c>
      <c r="H618" s="55">
        <v>0</v>
      </c>
      <c r="I618" s="55">
        <v>0</v>
      </c>
      <c r="J618" s="55">
        <v>0</v>
      </c>
    </row>
    <row r="619" spans="1:10" ht="15" x14ac:dyDescent="0.4">
      <c r="A619" s="54">
        <v>45957</v>
      </c>
      <c r="B619" s="55" t="s">
        <v>63</v>
      </c>
      <c r="C619" s="55" t="s">
        <v>58</v>
      </c>
      <c r="D619" s="57">
        <v>7460</v>
      </c>
      <c r="E619" s="55">
        <v>1554</v>
      </c>
      <c r="F619" s="55">
        <v>79</v>
      </c>
      <c r="G619" s="55">
        <v>2</v>
      </c>
      <c r="H619" s="55">
        <v>2</v>
      </c>
      <c r="I619" s="55">
        <v>1</v>
      </c>
      <c r="J619" s="55">
        <v>0</v>
      </c>
    </row>
    <row r="620" spans="1:10" ht="15" x14ac:dyDescent="0.4">
      <c r="A620" s="54">
        <v>45957</v>
      </c>
      <c r="B620" s="55" t="s">
        <v>57</v>
      </c>
      <c r="C620" s="55" t="s">
        <v>58</v>
      </c>
      <c r="D620" s="57">
        <v>20814</v>
      </c>
      <c r="E620" s="55">
        <v>4336</v>
      </c>
      <c r="F620" s="55">
        <v>205</v>
      </c>
      <c r="G620" s="55">
        <v>1</v>
      </c>
      <c r="H620" s="55">
        <v>1</v>
      </c>
      <c r="I620" s="55">
        <v>0</v>
      </c>
      <c r="J620" s="55">
        <v>0</v>
      </c>
    </row>
    <row r="621" spans="1:10" ht="15" x14ac:dyDescent="0.4">
      <c r="A621" s="54">
        <v>45957</v>
      </c>
      <c r="B621" s="55" t="s">
        <v>59</v>
      </c>
      <c r="C621" s="55" t="s">
        <v>60</v>
      </c>
      <c r="D621" s="57">
        <v>27464</v>
      </c>
      <c r="E621" s="55">
        <v>5281</v>
      </c>
      <c r="F621" s="55">
        <v>29</v>
      </c>
      <c r="G621" s="55">
        <v>2</v>
      </c>
      <c r="H621" s="55">
        <v>0</v>
      </c>
      <c r="I621" s="55">
        <v>0</v>
      </c>
      <c r="J621" s="55">
        <v>0</v>
      </c>
    </row>
    <row r="622" spans="1:10" ht="15" x14ac:dyDescent="0.4">
      <c r="A622" s="54">
        <v>45957</v>
      </c>
      <c r="B622" s="55" t="s">
        <v>55</v>
      </c>
      <c r="C622" s="55" t="s">
        <v>56</v>
      </c>
      <c r="D622" s="57">
        <v>33063</v>
      </c>
      <c r="E622" s="55">
        <v>23616</v>
      </c>
      <c r="F622" s="55">
        <v>274</v>
      </c>
      <c r="G622" s="55">
        <v>10</v>
      </c>
      <c r="H622" s="55">
        <v>0</v>
      </c>
      <c r="I622" s="55">
        <v>1</v>
      </c>
      <c r="J622" s="55">
        <v>0</v>
      </c>
    </row>
    <row r="623" spans="1:10" ht="15" x14ac:dyDescent="0.4">
      <c r="A623" s="54">
        <v>45957</v>
      </c>
      <c r="B623" s="55" t="s">
        <v>62</v>
      </c>
      <c r="C623" s="55" t="s">
        <v>56</v>
      </c>
      <c r="D623" s="57">
        <v>9428</v>
      </c>
      <c r="E623" s="55">
        <v>6734</v>
      </c>
      <c r="F623" s="55">
        <v>79</v>
      </c>
      <c r="G623" s="55">
        <v>3</v>
      </c>
      <c r="H623" s="55">
        <v>1</v>
      </c>
      <c r="I623" s="55">
        <v>1</v>
      </c>
      <c r="J623" s="55">
        <v>0</v>
      </c>
    </row>
    <row r="624" spans="1:10" ht="15" x14ac:dyDescent="0.4">
      <c r="A624" s="54">
        <v>45958</v>
      </c>
      <c r="B624" s="55" t="s">
        <v>61</v>
      </c>
      <c r="C624" s="55" t="s">
        <v>56</v>
      </c>
      <c r="D624" s="57">
        <v>17633</v>
      </c>
      <c r="E624" s="55">
        <v>12595</v>
      </c>
      <c r="F624" s="55">
        <v>119</v>
      </c>
      <c r="G624" s="55">
        <v>2</v>
      </c>
      <c r="H624" s="55">
        <v>2</v>
      </c>
      <c r="I624" s="55">
        <v>1</v>
      </c>
      <c r="J624" s="55">
        <v>0</v>
      </c>
    </row>
    <row r="625" spans="1:10" ht="15" x14ac:dyDescent="0.4">
      <c r="A625" s="54">
        <v>45958</v>
      </c>
      <c r="B625" s="55" t="s">
        <v>63</v>
      </c>
      <c r="C625" s="55" t="s">
        <v>58</v>
      </c>
      <c r="D625" s="57">
        <v>7161</v>
      </c>
      <c r="E625" s="55">
        <v>1491</v>
      </c>
      <c r="F625" s="55">
        <v>84</v>
      </c>
      <c r="G625" s="55">
        <v>5</v>
      </c>
      <c r="H625" s="55">
        <v>1</v>
      </c>
      <c r="I625" s="55">
        <v>0</v>
      </c>
      <c r="J625" s="55">
        <v>0</v>
      </c>
    </row>
    <row r="626" spans="1:10" ht="15" x14ac:dyDescent="0.4">
      <c r="A626" s="54">
        <v>45958</v>
      </c>
      <c r="B626" s="55" t="s">
        <v>57</v>
      </c>
      <c r="C626" s="55" t="s">
        <v>58</v>
      </c>
      <c r="D626" s="57">
        <v>24580</v>
      </c>
      <c r="E626" s="55">
        <v>5120</v>
      </c>
      <c r="F626" s="55">
        <v>256</v>
      </c>
      <c r="G626" s="55">
        <v>5</v>
      </c>
      <c r="H626" s="55">
        <v>0</v>
      </c>
      <c r="I626" s="55">
        <v>0</v>
      </c>
      <c r="J626" s="55">
        <v>0</v>
      </c>
    </row>
    <row r="627" spans="1:10" ht="15" x14ac:dyDescent="0.4">
      <c r="A627" s="54">
        <v>45958</v>
      </c>
      <c r="B627" s="55" t="s">
        <v>59</v>
      </c>
      <c r="C627" s="55" t="s">
        <v>60</v>
      </c>
      <c r="D627" s="57">
        <v>23781</v>
      </c>
      <c r="E627" s="55">
        <v>4573</v>
      </c>
      <c r="F627" s="55">
        <v>33</v>
      </c>
      <c r="G627" s="55">
        <v>2</v>
      </c>
      <c r="H627" s="55">
        <v>2</v>
      </c>
      <c r="I627" s="55">
        <v>1</v>
      </c>
      <c r="J627" s="55">
        <v>0</v>
      </c>
    </row>
    <row r="628" spans="1:10" ht="15" x14ac:dyDescent="0.4">
      <c r="A628" s="54">
        <v>45958</v>
      </c>
      <c r="B628" s="55" t="s">
        <v>55</v>
      </c>
      <c r="C628" s="55" t="s">
        <v>56</v>
      </c>
      <c r="D628" s="57">
        <v>34097</v>
      </c>
      <c r="E628" s="55">
        <v>24355</v>
      </c>
      <c r="F628" s="55">
        <v>237</v>
      </c>
      <c r="G628" s="55">
        <v>10</v>
      </c>
      <c r="H628" s="55">
        <v>5</v>
      </c>
      <c r="I628" s="55">
        <v>1</v>
      </c>
      <c r="J628" s="55">
        <v>0</v>
      </c>
    </row>
    <row r="629" spans="1:10" ht="15" x14ac:dyDescent="0.4">
      <c r="A629" s="54">
        <v>45958</v>
      </c>
      <c r="B629" s="55" t="s">
        <v>62</v>
      </c>
      <c r="C629" s="55" t="s">
        <v>56</v>
      </c>
      <c r="D629" s="57">
        <v>8911</v>
      </c>
      <c r="E629" s="55">
        <v>6365</v>
      </c>
      <c r="F629" s="55">
        <v>76</v>
      </c>
      <c r="G629" s="55">
        <v>3</v>
      </c>
      <c r="H629" s="55">
        <v>0</v>
      </c>
      <c r="I629" s="55">
        <v>1</v>
      </c>
      <c r="J629" s="55">
        <v>0</v>
      </c>
    </row>
    <row r="630" spans="1:10" ht="15" x14ac:dyDescent="0.4">
      <c r="A630" s="54">
        <v>45959</v>
      </c>
      <c r="B630" s="55" t="s">
        <v>61</v>
      </c>
      <c r="C630" s="55" t="s">
        <v>56</v>
      </c>
      <c r="D630" s="57">
        <v>15585</v>
      </c>
      <c r="E630" s="55">
        <v>11132</v>
      </c>
      <c r="F630" s="55">
        <v>120</v>
      </c>
      <c r="G630" s="55">
        <v>4</v>
      </c>
      <c r="H630" s="55">
        <v>2</v>
      </c>
      <c r="I630" s="55">
        <v>1</v>
      </c>
      <c r="J630" s="55">
        <v>1</v>
      </c>
    </row>
    <row r="631" spans="1:10" ht="15" x14ac:dyDescent="0.4">
      <c r="A631" s="54">
        <v>45959</v>
      </c>
      <c r="B631" s="55" t="s">
        <v>63</v>
      </c>
      <c r="C631" s="55" t="s">
        <v>58</v>
      </c>
      <c r="D631" s="57">
        <v>7112</v>
      </c>
      <c r="E631" s="55">
        <v>1481</v>
      </c>
      <c r="F631" s="55">
        <v>76</v>
      </c>
      <c r="G631" s="55">
        <v>2</v>
      </c>
      <c r="H631" s="55">
        <v>1</v>
      </c>
      <c r="I631" s="55">
        <v>1</v>
      </c>
      <c r="J631" s="55">
        <v>1</v>
      </c>
    </row>
    <row r="632" spans="1:10" ht="15" x14ac:dyDescent="0.4">
      <c r="A632" s="54">
        <v>45959</v>
      </c>
      <c r="B632" s="55" t="s">
        <v>57</v>
      </c>
      <c r="C632" s="55" t="s">
        <v>58</v>
      </c>
      <c r="D632" s="57">
        <v>22227</v>
      </c>
      <c r="E632" s="55">
        <v>4630</v>
      </c>
      <c r="F632" s="55">
        <v>225</v>
      </c>
      <c r="G632" s="55">
        <v>4</v>
      </c>
      <c r="H632" s="55">
        <v>0</v>
      </c>
      <c r="I632" s="55">
        <v>0</v>
      </c>
      <c r="J632" s="55">
        <v>0</v>
      </c>
    </row>
    <row r="633" spans="1:10" ht="15" x14ac:dyDescent="0.4">
      <c r="A633" s="54">
        <v>45959</v>
      </c>
      <c r="B633" s="55" t="s">
        <v>59</v>
      </c>
      <c r="C633" s="55" t="s">
        <v>60</v>
      </c>
      <c r="D633" s="57">
        <v>25194</v>
      </c>
      <c r="E633" s="55">
        <v>4845</v>
      </c>
      <c r="F633" s="55">
        <v>27</v>
      </c>
      <c r="G633" s="55">
        <v>4</v>
      </c>
      <c r="H633" s="55">
        <v>1</v>
      </c>
      <c r="I633" s="55">
        <v>0</v>
      </c>
      <c r="J633" s="55">
        <v>0</v>
      </c>
    </row>
    <row r="634" spans="1:10" ht="15" x14ac:dyDescent="0.4">
      <c r="A634" s="54">
        <v>45959</v>
      </c>
      <c r="B634" s="55" t="s">
        <v>55</v>
      </c>
      <c r="C634" s="55" t="s">
        <v>56</v>
      </c>
      <c r="D634" s="57">
        <v>30381</v>
      </c>
      <c r="E634" s="55">
        <v>21700</v>
      </c>
      <c r="F634" s="55">
        <v>232</v>
      </c>
      <c r="G634" s="55">
        <v>8</v>
      </c>
      <c r="H634" s="55">
        <v>3</v>
      </c>
      <c r="I634" s="55">
        <v>1</v>
      </c>
      <c r="J634" s="55">
        <v>0</v>
      </c>
    </row>
    <row r="635" spans="1:10" ht="15" x14ac:dyDescent="0.4">
      <c r="A635" s="54">
        <v>45959</v>
      </c>
      <c r="B635" s="55" t="s">
        <v>62</v>
      </c>
      <c r="C635" s="55" t="s">
        <v>56</v>
      </c>
      <c r="D635" s="57">
        <v>8434</v>
      </c>
      <c r="E635" s="55">
        <v>6024</v>
      </c>
      <c r="F635" s="55">
        <v>57</v>
      </c>
      <c r="G635" s="55">
        <v>2</v>
      </c>
      <c r="H635" s="55">
        <v>0</v>
      </c>
      <c r="I635" s="55">
        <v>1</v>
      </c>
      <c r="J635" s="55">
        <v>0</v>
      </c>
    </row>
    <row r="636" spans="1:10" ht="15" x14ac:dyDescent="0.4">
      <c r="A636" s="54">
        <v>45960</v>
      </c>
      <c r="B636" s="55" t="s">
        <v>61</v>
      </c>
      <c r="C636" s="55" t="s">
        <v>56</v>
      </c>
      <c r="D636" s="57">
        <v>16892</v>
      </c>
      <c r="E636" s="55">
        <v>12065</v>
      </c>
      <c r="F636" s="55">
        <v>128</v>
      </c>
      <c r="G636" s="55">
        <v>2</v>
      </c>
      <c r="H636" s="55">
        <v>1</v>
      </c>
      <c r="I636" s="55">
        <v>0</v>
      </c>
      <c r="J636" s="55">
        <v>0</v>
      </c>
    </row>
    <row r="637" spans="1:10" ht="15" x14ac:dyDescent="0.4">
      <c r="A637" s="54">
        <v>45960</v>
      </c>
      <c r="B637" s="55" t="s">
        <v>63</v>
      </c>
      <c r="C637" s="55" t="s">
        <v>58</v>
      </c>
      <c r="D637" s="57">
        <v>6281</v>
      </c>
      <c r="E637" s="55">
        <v>1308</v>
      </c>
      <c r="F637" s="55">
        <v>61</v>
      </c>
      <c r="G637" s="55">
        <v>1</v>
      </c>
      <c r="H637" s="55">
        <v>3</v>
      </c>
      <c r="I637" s="55">
        <v>1</v>
      </c>
      <c r="J637" s="55">
        <v>0</v>
      </c>
    </row>
    <row r="638" spans="1:10" ht="15" x14ac:dyDescent="0.4">
      <c r="A638" s="54">
        <v>45960</v>
      </c>
      <c r="B638" s="55" t="s">
        <v>57</v>
      </c>
      <c r="C638" s="55" t="s">
        <v>58</v>
      </c>
      <c r="D638" s="57">
        <v>23972</v>
      </c>
      <c r="E638" s="55">
        <v>4994</v>
      </c>
      <c r="F638" s="55">
        <v>265</v>
      </c>
      <c r="G638" s="55">
        <v>5</v>
      </c>
      <c r="H638" s="55">
        <v>0</v>
      </c>
      <c r="I638" s="55">
        <v>0</v>
      </c>
      <c r="J638" s="55">
        <v>0</v>
      </c>
    </row>
    <row r="639" spans="1:10" ht="15" x14ac:dyDescent="0.4">
      <c r="A639" s="54">
        <v>45960</v>
      </c>
      <c r="B639" s="55" t="s">
        <v>59</v>
      </c>
      <c r="C639" s="55" t="s">
        <v>60</v>
      </c>
      <c r="D639" s="57">
        <v>23985</v>
      </c>
      <c r="E639" s="55">
        <v>4612</v>
      </c>
      <c r="F639" s="55">
        <v>29</v>
      </c>
      <c r="G639" s="55">
        <v>1</v>
      </c>
      <c r="H639" s="55">
        <v>2</v>
      </c>
      <c r="I639" s="55">
        <v>1</v>
      </c>
      <c r="J639" s="55">
        <v>0</v>
      </c>
    </row>
    <row r="640" spans="1:10" ht="15" x14ac:dyDescent="0.4">
      <c r="A640" s="54">
        <v>45960</v>
      </c>
      <c r="B640" s="55" t="s">
        <v>55</v>
      </c>
      <c r="C640" s="55" t="s">
        <v>56</v>
      </c>
      <c r="D640" s="57">
        <v>31969</v>
      </c>
      <c r="E640" s="55">
        <v>22835</v>
      </c>
      <c r="F640" s="55">
        <v>272</v>
      </c>
      <c r="G640" s="55">
        <v>8</v>
      </c>
      <c r="H640" s="55">
        <v>1</v>
      </c>
      <c r="I640" s="55">
        <v>0</v>
      </c>
      <c r="J640" s="55">
        <v>0</v>
      </c>
    </row>
    <row r="641" spans="1:10" ht="15" x14ac:dyDescent="0.4">
      <c r="A641" s="54">
        <v>45960</v>
      </c>
      <c r="B641" s="55" t="s">
        <v>62</v>
      </c>
      <c r="C641" s="55" t="s">
        <v>56</v>
      </c>
      <c r="D641" s="57">
        <v>9194</v>
      </c>
      <c r="E641" s="55">
        <v>6567</v>
      </c>
      <c r="F641" s="55">
        <v>80</v>
      </c>
      <c r="G641" s="55">
        <v>5</v>
      </c>
      <c r="H641" s="55">
        <v>0</v>
      </c>
      <c r="I641" s="55">
        <v>0</v>
      </c>
      <c r="J641" s="55">
        <v>0</v>
      </c>
    </row>
    <row r="642" spans="1:10" ht="15" x14ac:dyDescent="0.4">
      <c r="A642" s="54">
        <v>45961</v>
      </c>
      <c r="B642" s="55" t="s">
        <v>61</v>
      </c>
      <c r="C642" s="55" t="s">
        <v>56</v>
      </c>
      <c r="D642" s="57">
        <v>15561</v>
      </c>
      <c r="E642" s="55">
        <v>11115</v>
      </c>
      <c r="F642" s="55">
        <v>106</v>
      </c>
      <c r="G642" s="55">
        <v>5</v>
      </c>
      <c r="H642" s="55">
        <v>1</v>
      </c>
      <c r="I642" s="55">
        <v>1</v>
      </c>
      <c r="J642" s="55">
        <v>1</v>
      </c>
    </row>
    <row r="643" spans="1:10" ht="15" x14ac:dyDescent="0.4">
      <c r="A643" s="54">
        <v>45961</v>
      </c>
      <c r="B643" s="55" t="s">
        <v>63</v>
      </c>
      <c r="C643" s="55" t="s">
        <v>58</v>
      </c>
      <c r="D643" s="57">
        <v>6605</v>
      </c>
      <c r="E643" s="55">
        <v>1376</v>
      </c>
      <c r="F643" s="55">
        <v>71</v>
      </c>
      <c r="G643" s="55">
        <v>1</v>
      </c>
      <c r="H643" s="55">
        <v>1</v>
      </c>
      <c r="I643" s="55">
        <v>1</v>
      </c>
      <c r="J643" s="55">
        <v>0</v>
      </c>
    </row>
    <row r="644" spans="1:10" ht="15" x14ac:dyDescent="0.4">
      <c r="A644" s="54">
        <v>45961</v>
      </c>
      <c r="B644" s="55" t="s">
        <v>57</v>
      </c>
      <c r="C644" s="55" t="s">
        <v>58</v>
      </c>
      <c r="D644" s="57">
        <v>22909</v>
      </c>
      <c r="E644" s="55">
        <v>4772</v>
      </c>
      <c r="F644" s="55">
        <v>256</v>
      </c>
      <c r="G644" s="55">
        <v>1</v>
      </c>
      <c r="H644" s="55">
        <v>0</v>
      </c>
      <c r="I644" s="55">
        <v>0</v>
      </c>
      <c r="J644" s="55">
        <v>0</v>
      </c>
    </row>
    <row r="645" spans="1:10" ht="15" x14ac:dyDescent="0.4">
      <c r="A645" s="54">
        <v>45961</v>
      </c>
      <c r="B645" s="55" t="s">
        <v>59</v>
      </c>
      <c r="C645" s="55" t="s">
        <v>60</v>
      </c>
      <c r="D645" s="57">
        <v>24090</v>
      </c>
      <c r="E645" s="55">
        <v>4632</v>
      </c>
      <c r="F645" s="55">
        <v>28</v>
      </c>
      <c r="G645" s="55">
        <v>3</v>
      </c>
      <c r="H645" s="55">
        <v>0</v>
      </c>
      <c r="I645" s="55">
        <v>0</v>
      </c>
      <c r="J645" s="55">
        <v>0</v>
      </c>
    </row>
    <row r="646" spans="1:10" ht="15" x14ac:dyDescent="0.4">
      <c r="A646" s="54">
        <v>45961</v>
      </c>
      <c r="B646" s="55" t="s">
        <v>55</v>
      </c>
      <c r="C646" s="55" t="s">
        <v>56</v>
      </c>
      <c r="D646" s="57">
        <v>29231</v>
      </c>
      <c r="E646" s="55">
        <v>20879</v>
      </c>
      <c r="F646" s="55">
        <v>225</v>
      </c>
      <c r="G646" s="55">
        <v>4</v>
      </c>
      <c r="H646" s="55">
        <v>3</v>
      </c>
      <c r="I646" s="55">
        <v>2</v>
      </c>
      <c r="J646" s="55">
        <v>0</v>
      </c>
    </row>
    <row r="647" spans="1:10" ht="15" x14ac:dyDescent="0.4">
      <c r="A647" s="54">
        <v>45961</v>
      </c>
      <c r="B647" s="55" t="s">
        <v>62</v>
      </c>
      <c r="C647" s="55" t="s">
        <v>56</v>
      </c>
      <c r="D647" s="57">
        <v>9709</v>
      </c>
      <c r="E647" s="55">
        <v>6935</v>
      </c>
      <c r="F647" s="55">
        <v>87</v>
      </c>
      <c r="G647" s="55">
        <v>4</v>
      </c>
      <c r="H647" s="55">
        <v>1</v>
      </c>
      <c r="I647" s="55">
        <v>0</v>
      </c>
      <c r="J647" s="55">
        <v>0</v>
      </c>
    </row>
    <row r="648" spans="1:10" ht="15" x14ac:dyDescent="0.4">
      <c r="A648" s="54">
        <v>45962</v>
      </c>
      <c r="B648" s="55" t="s">
        <v>61</v>
      </c>
      <c r="C648" s="55" t="s">
        <v>56</v>
      </c>
      <c r="D648" s="57">
        <v>17491</v>
      </c>
      <c r="E648" s="55">
        <v>12493</v>
      </c>
      <c r="F648" s="55">
        <v>127</v>
      </c>
      <c r="G648" s="55">
        <v>4</v>
      </c>
      <c r="H648" s="55">
        <v>1</v>
      </c>
      <c r="I648" s="55">
        <v>1</v>
      </c>
      <c r="J648" s="55">
        <v>0</v>
      </c>
    </row>
    <row r="649" spans="1:10" ht="15" x14ac:dyDescent="0.4">
      <c r="A649" s="54">
        <v>45962</v>
      </c>
      <c r="B649" s="55" t="s">
        <v>63</v>
      </c>
      <c r="C649" s="55" t="s">
        <v>58</v>
      </c>
      <c r="D649" s="57">
        <v>7358</v>
      </c>
      <c r="E649" s="55">
        <v>1532</v>
      </c>
      <c r="F649" s="55">
        <v>75</v>
      </c>
      <c r="G649" s="55">
        <v>0</v>
      </c>
      <c r="H649" s="55">
        <v>1</v>
      </c>
      <c r="I649" s="55">
        <v>0</v>
      </c>
      <c r="J649" s="55">
        <v>0</v>
      </c>
    </row>
    <row r="650" spans="1:10" ht="15" x14ac:dyDescent="0.4">
      <c r="A650" s="54">
        <v>45962</v>
      </c>
      <c r="B650" s="55" t="s">
        <v>57</v>
      </c>
      <c r="C650" s="55" t="s">
        <v>58</v>
      </c>
      <c r="D650" s="57">
        <v>21197</v>
      </c>
      <c r="E650" s="55">
        <v>4416</v>
      </c>
      <c r="F650" s="55">
        <v>220</v>
      </c>
      <c r="G650" s="55">
        <v>2</v>
      </c>
      <c r="H650" s="55">
        <v>0</v>
      </c>
      <c r="I650" s="55">
        <v>0</v>
      </c>
      <c r="J650" s="55">
        <v>0</v>
      </c>
    </row>
    <row r="651" spans="1:10" ht="15" x14ac:dyDescent="0.4">
      <c r="A651" s="54">
        <v>45962</v>
      </c>
      <c r="B651" s="55" t="s">
        <v>59</v>
      </c>
      <c r="C651" s="55" t="s">
        <v>60</v>
      </c>
      <c r="D651" s="57">
        <v>27687</v>
      </c>
      <c r="E651" s="55">
        <v>5324</v>
      </c>
      <c r="F651" s="55">
        <v>39</v>
      </c>
      <c r="G651" s="55">
        <v>2</v>
      </c>
      <c r="H651" s="55">
        <v>1</v>
      </c>
      <c r="I651" s="55">
        <v>1</v>
      </c>
      <c r="J651" s="55">
        <v>0</v>
      </c>
    </row>
    <row r="652" spans="1:10" ht="15" x14ac:dyDescent="0.4">
      <c r="A652" s="54">
        <v>45962</v>
      </c>
      <c r="B652" s="55" t="s">
        <v>55</v>
      </c>
      <c r="C652" s="55" t="s">
        <v>56</v>
      </c>
      <c r="D652" s="57">
        <v>29086</v>
      </c>
      <c r="E652" s="55">
        <v>20775</v>
      </c>
      <c r="F652" s="55">
        <v>226</v>
      </c>
      <c r="G652" s="55">
        <v>4</v>
      </c>
      <c r="H652" s="55">
        <v>1</v>
      </c>
      <c r="I652" s="55">
        <v>0</v>
      </c>
      <c r="J652" s="55">
        <v>0</v>
      </c>
    </row>
    <row r="653" spans="1:10" ht="15" x14ac:dyDescent="0.4">
      <c r="A653" s="54">
        <v>45962</v>
      </c>
      <c r="B653" s="55" t="s">
        <v>62</v>
      </c>
      <c r="C653" s="55" t="s">
        <v>56</v>
      </c>
      <c r="D653" s="57">
        <v>8673</v>
      </c>
      <c r="E653" s="55">
        <v>6195</v>
      </c>
      <c r="F653" s="55">
        <v>78</v>
      </c>
      <c r="G653" s="55">
        <v>1</v>
      </c>
      <c r="H653" s="55">
        <v>1</v>
      </c>
      <c r="I653" s="55">
        <v>0</v>
      </c>
      <c r="J653" s="55">
        <v>0</v>
      </c>
    </row>
    <row r="654" spans="1:10" ht="15" x14ac:dyDescent="0.4">
      <c r="A654" s="54">
        <v>45963</v>
      </c>
      <c r="B654" s="55" t="s">
        <v>61</v>
      </c>
      <c r="C654" s="55" t="s">
        <v>56</v>
      </c>
      <c r="D654" s="57">
        <v>16555</v>
      </c>
      <c r="E654" s="55">
        <v>11825</v>
      </c>
      <c r="F654" s="55">
        <v>119</v>
      </c>
      <c r="G654" s="55">
        <v>5</v>
      </c>
      <c r="H654" s="55">
        <v>2</v>
      </c>
      <c r="I654" s="55">
        <v>1</v>
      </c>
      <c r="J654" s="55">
        <v>0</v>
      </c>
    </row>
    <row r="655" spans="1:10" ht="15" x14ac:dyDescent="0.4">
      <c r="A655" s="54">
        <v>45963</v>
      </c>
      <c r="B655" s="55" t="s">
        <v>63</v>
      </c>
      <c r="C655" s="55" t="s">
        <v>58</v>
      </c>
      <c r="D655" s="57">
        <v>6310</v>
      </c>
      <c r="E655" s="55">
        <v>1314</v>
      </c>
      <c r="F655" s="55">
        <v>68</v>
      </c>
      <c r="G655" s="55">
        <v>0</v>
      </c>
      <c r="H655" s="55">
        <v>0</v>
      </c>
      <c r="I655" s="55">
        <v>1</v>
      </c>
      <c r="J655" s="55">
        <v>0</v>
      </c>
    </row>
    <row r="656" spans="1:10" ht="15" x14ac:dyDescent="0.4">
      <c r="A656" s="54">
        <v>45963</v>
      </c>
      <c r="B656" s="55" t="s">
        <v>57</v>
      </c>
      <c r="C656" s="55" t="s">
        <v>58</v>
      </c>
      <c r="D656" s="57">
        <v>20712</v>
      </c>
      <c r="E656" s="55">
        <v>4315</v>
      </c>
      <c r="F656" s="55">
        <v>210</v>
      </c>
      <c r="G656" s="55">
        <v>2</v>
      </c>
      <c r="H656" s="55">
        <v>0</v>
      </c>
      <c r="I656" s="55">
        <v>0</v>
      </c>
      <c r="J656" s="55">
        <v>1</v>
      </c>
    </row>
    <row r="657" spans="1:10" ht="15" x14ac:dyDescent="0.4">
      <c r="A657" s="54">
        <v>45963</v>
      </c>
      <c r="B657" s="55" t="s">
        <v>59</v>
      </c>
      <c r="C657" s="55" t="s">
        <v>60</v>
      </c>
      <c r="D657" s="57">
        <v>22984</v>
      </c>
      <c r="E657" s="55">
        <v>4420</v>
      </c>
      <c r="F657" s="55">
        <v>26</v>
      </c>
      <c r="G657" s="55">
        <v>1</v>
      </c>
      <c r="H657" s="55">
        <v>2</v>
      </c>
      <c r="I657" s="55">
        <v>1</v>
      </c>
      <c r="J657" s="55">
        <v>0</v>
      </c>
    </row>
    <row r="658" spans="1:10" ht="15" x14ac:dyDescent="0.4">
      <c r="A658" s="54">
        <v>45963</v>
      </c>
      <c r="B658" s="55" t="s">
        <v>55</v>
      </c>
      <c r="C658" s="55" t="s">
        <v>56</v>
      </c>
      <c r="D658" s="57">
        <v>33526</v>
      </c>
      <c r="E658" s="55">
        <v>23947</v>
      </c>
      <c r="F658" s="55">
        <v>291</v>
      </c>
      <c r="G658" s="55">
        <v>4</v>
      </c>
      <c r="H658" s="55">
        <v>0</v>
      </c>
      <c r="I658" s="55">
        <v>2</v>
      </c>
      <c r="J658" s="55">
        <v>0</v>
      </c>
    </row>
    <row r="659" spans="1:10" ht="15" x14ac:dyDescent="0.4">
      <c r="A659" s="54">
        <v>45963</v>
      </c>
      <c r="B659" s="55" t="s">
        <v>62</v>
      </c>
      <c r="C659" s="55" t="s">
        <v>56</v>
      </c>
      <c r="D659" s="57">
        <v>9689</v>
      </c>
      <c r="E659" s="55">
        <v>6920</v>
      </c>
      <c r="F659" s="55">
        <v>69</v>
      </c>
      <c r="G659" s="55">
        <v>4</v>
      </c>
      <c r="H659" s="55">
        <v>1</v>
      </c>
      <c r="I659" s="55">
        <v>0</v>
      </c>
      <c r="J659" s="55">
        <v>1</v>
      </c>
    </row>
    <row r="660" spans="1:10" ht="15" x14ac:dyDescent="0.4">
      <c r="A660" s="54">
        <v>45964</v>
      </c>
      <c r="B660" s="55" t="s">
        <v>61</v>
      </c>
      <c r="C660" s="55" t="s">
        <v>56</v>
      </c>
      <c r="D660" s="57">
        <v>17053</v>
      </c>
      <c r="E660" s="55">
        <v>12180</v>
      </c>
      <c r="F660" s="55">
        <v>152</v>
      </c>
      <c r="G660" s="55">
        <v>5</v>
      </c>
      <c r="H660" s="55">
        <v>1</v>
      </c>
      <c r="I660" s="55">
        <v>0</v>
      </c>
      <c r="J660" s="55">
        <v>0</v>
      </c>
    </row>
    <row r="661" spans="1:10" ht="15" x14ac:dyDescent="0.4">
      <c r="A661" s="54">
        <v>45964</v>
      </c>
      <c r="B661" s="55" t="s">
        <v>63</v>
      </c>
      <c r="C661" s="55" t="s">
        <v>58</v>
      </c>
      <c r="D661" s="57">
        <v>6679</v>
      </c>
      <c r="E661" s="55">
        <v>1391</v>
      </c>
      <c r="F661" s="55">
        <v>80</v>
      </c>
      <c r="G661" s="55">
        <v>4</v>
      </c>
      <c r="H661" s="55">
        <v>0</v>
      </c>
      <c r="I661" s="55">
        <v>0</v>
      </c>
      <c r="J661" s="55">
        <v>0</v>
      </c>
    </row>
    <row r="662" spans="1:10" ht="15" x14ac:dyDescent="0.4">
      <c r="A662" s="54">
        <v>45964</v>
      </c>
      <c r="B662" s="55" t="s">
        <v>57</v>
      </c>
      <c r="C662" s="55" t="s">
        <v>58</v>
      </c>
      <c r="D662" s="57">
        <v>22705</v>
      </c>
      <c r="E662" s="55">
        <v>4730</v>
      </c>
      <c r="F662" s="55">
        <v>209</v>
      </c>
      <c r="G662" s="55">
        <v>4</v>
      </c>
      <c r="H662" s="55">
        <v>1</v>
      </c>
      <c r="I662" s="55">
        <v>0</v>
      </c>
      <c r="J662" s="55">
        <v>0</v>
      </c>
    </row>
    <row r="663" spans="1:10" ht="15" x14ac:dyDescent="0.4">
      <c r="A663" s="54">
        <v>45964</v>
      </c>
      <c r="B663" s="55" t="s">
        <v>59</v>
      </c>
      <c r="C663" s="55" t="s">
        <v>60</v>
      </c>
      <c r="D663" s="57">
        <v>26970</v>
      </c>
      <c r="E663" s="55">
        <v>5186</v>
      </c>
      <c r="F663" s="55">
        <v>31</v>
      </c>
      <c r="G663" s="55">
        <v>2</v>
      </c>
      <c r="H663" s="55">
        <v>0</v>
      </c>
      <c r="I663" s="55">
        <v>0</v>
      </c>
      <c r="J663" s="55">
        <v>0</v>
      </c>
    </row>
    <row r="664" spans="1:10" ht="15" x14ac:dyDescent="0.4">
      <c r="A664" s="54">
        <v>45964</v>
      </c>
      <c r="B664" s="55" t="s">
        <v>55</v>
      </c>
      <c r="C664" s="55" t="s">
        <v>56</v>
      </c>
      <c r="D664" s="57">
        <v>34715</v>
      </c>
      <c r="E664" s="55">
        <v>24796</v>
      </c>
      <c r="F664" s="55">
        <v>298</v>
      </c>
      <c r="G664" s="55">
        <v>5</v>
      </c>
      <c r="H664" s="55">
        <v>2</v>
      </c>
      <c r="I664" s="55">
        <v>2</v>
      </c>
      <c r="J664" s="55">
        <v>1</v>
      </c>
    </row>
    <row r="665" spans="1:10" ht="15" x14ac:dyDescent="0.4">
      <c r="A665" s="54">
        <v>45964</v>
      </c>
      <c r="B665" s="55" t="s">
        <v>62</v>
      </c>
      <c r="C665" s="55" t="s">
        <v>56</v>
      </c>
      <c r="D665" s="57">
        <v>8533</v>
      </c>
      <c r="E665" s="55">
        <v>6095</v>
      </c>
      <c r="F665" s="55">
        <v>69</v>
      </c>
      <c r="G665" s="55">
        <v>6</v>
      </c>
      <c r="H665" s="55">
        <v>2</v>
      </c>
      <c r="I665" s="55">
        <v>0</v>
      </c>
      <c r="J665" s="55">
        <v>0</v>
      </c>
    </row>
    <row r="666" spans="1:10" ht="15" x14ac:dyDescent="0.4">
      <c r="A666" s="54">
        <v>45965</v>
      </c>
      <c r="B666" s="55" t="s">
        <v>61</v>
      </c>
      <c r="C666" s="55" t="s">
        <v>56</v>
      </c>
      <c r="D666" s="57">
        <v>16660</v>
      </c>
      <c r="E666" s="55">
        <v>11900</v>
      </c>
      <c r="F666" s="55">
        <v>124</v>
      </c>
      <c r="G666" s="55">
        <v>4</v>
      </c>
      <c r="H666" s="55">
        <v>0</v>
      </c>
      <c r="I666" s="55">
        <v>1</v>
      </c>
      <c r="J666" s="55">
        <v>0</v>
      </c>
    </row>
    <row r="667" spans="1:10" ht="15" x14ac:dyDescent="0.4">
      <c r="A667" s="54">
        <v>45965</v>
      </c>
      <c r="B667" s="55" t="s">
        <v>63</v>
      </c>
      <c r="C667" s="55" t="s">
        <v>58</v>
      </c>
      <c r="D667" s="57">
        <v>6632</v>
      </c>
      <c r="E667" s="55">
        <v>1381</v>
      </c>
      <c r="F667" s="55">
        <v>63</v>
      </c>
      <c r="G667" s="55">
        <v>0</v>
      </c>
      <c r="H667" s="55">
        <v>1</v>
      </c>
      <c r="I667" s="55">
        <v>2</v>
      </c>
      <c r="J667" s="55">
        <v>0</v>
      </c>
    </row>
    <row r="668" spans="1:10" ht="15" x14ac:dyDescent="0.4">
      <c r="A668" s="54">
        <v>45965</v>
      </c>
      <c r="B668" s="55" t="s">
        <v>57</v>
      </c>
      <c r="C668" s="55" t="s">
        <v>58</v>
      </c>
      <c r="D668" s="57">
        <v>24738</v>
      </c>
      <c r="E668" s="55">
        <v>5153</v>
      </c>
      <c r="F668" s="55">
        <v>237</v>
      </c>
      <c r="G668" s="55">
        <v>6</v>
      </c>
      <c r="H668" s="55">
        <v>2</v>
      </c>
      <c r="I668" s="55">
        <v>0</v>
      </c>
      <c r="J668" s="55">
        <v>0</v>
      </c>
    </row>
    <row r="669" spans="1:10" ht="15" x14ac:dyDescent="0.4">
      <c r="A669" s="54">
        <v>45965</v>
      </c>
      <c r="B669" s="55" t="s">
        <v>59</v>
      </c>
      <c r="C669" s="55" t="s">
        <v>60</v>
      </c>
      <c r="D669" s="57">
        <v>25214</v>
      </c>
      <c r="E669" s="55">
        <v>4848</v>
      </c>
      <c r="F669" s="55">
        <v>30</v>
      </c>
      <c r="G669" s="55">
        <v>2</v>
      </c>
      <c r="H669" s="55">
        <v>2</v>
      </c>
      <c r="I669" s="55">
        <v>0</v>
      </c>
      <c r="J669" s="55">
        <v>0</v>
      </c>
    </row>
    <row r="670" spans="1:10" ht="15" x14ac:dyDescent="0.4">
      <c r="A670" s="54">
        <v>45965</v>
      </c>
      <c r="B670" s="55" t="s">
        <v>55</v>
      </c>
      <c r="C670" s="55" t="s">
        <v>56</v>
      </c>
      <c r="D670" s="57">
        <v>31203</v>
      </c>
      <c r="E670" s="55">
        <v>22287</v>
      </c>
      <c r="F670" s="55">
        <v>209</v>
      </c>
      <c r="G670" s="55">
        <v>4</v>
      </c>
      <c r="H670" s="55">
        <v>1</v>
      </c>
      <c r="I670" s="55">
        <v>0</v>
      </c>
      <c r="J670" s="55">
        <v>0</v>
      </c>
    </row>
    <row r="671" spans="1:10" ht="15" x14ac:dyDescent="0.4">
      <c r="A671" s="54">
        <v>45965</v>
      </c>
      <c r="B671" s="55" t="s">
        <v>62</v>
      </c>
      <c r="C671" s="55" t="s">
        <v>56</v>
      </c>
      <c r="D671" s="57">
        <v>8996</v>
      </c>
      <c r="E671" s="55">
        <v>6425</v>
      </c>
      <c r="F671" s="55">
        <v>71</v>
      </c>
      <c r="G671" s="55">
        <v>5</v>
      </c>
      <c r="H671" s="55">
        <v>1</v>
      </c>
      <c r="I671" s="55">
        <v>3</v>
      </c>
      <c r="J671" s="55">
        <v>0</v>
      </c>
    </row>
    <row r="672" spans="1:10" ht="15" x14ac:dyDescent="0.4">
      <c r="A672" s="54">
        <v>45966</v>
      </c>
      <c r="B672" s="55" t="s">
        <v>61</v>
      </c>
      <c r="C672" s="55" t="s">
        <v>56</v>
      </c>
      <c r="D672" s="57">
        <v>17824</v>
      </c>
      <c r="E672" s="55">
        <v>12731</v>
      </c>
      <c r="F672" s="55">
        <v>159</v>
      </c>
      <c r="G672" s="55">
        <v>2</v>
      </c>
      <c r="H672" s="55">
        <v>0</v>
      </c>
      <c r="I672" s="55">
        <v>0</v>
      </c>
      <c r="J672" s="55">
        <v>0</v>
      </c>
    </row>
    <row r="673" spans="1:10" ht="15" x14ac:dyDescent="0.4">
      <c r="A673" s="54">
        <v>45966</v>
      </c>
      <c r="B673" s="55" t="s">
        <v>63</v>
      </c>
      <c r="C673" s="55" t="s">
        <v>58</v>
      </c>
      <c r="D673" s="57">
        <v>6791</v>
      </c>
      <c r="E673" s="55">
        <v>1414</v>
      </c>
      <c r="F673" s="55">
        <v>66</v>
      </c>
      <c r="G673" s="55">
        <v>1</v>
      </c>
      <c r="H673" s="55">
        <v>0</v>
      </c>
      <c r="I673" s="55">
        <v>0</v>
      </c>
      <c r="J673" s="55">
        <v>0</v>
      </c>
    </row>
    <row r="674" spans="1:10" ht="15" x14ac:dyDescent="0.4">
      <c r="A674" s="54">
        <v>45966</v>
      </c>
      <c r="B674" s="55" t="s">
        <v>57</v>
      </c>
      <c r="C674" s="55" t="s">
        <v>58</v>
      </c>
      <c r="D674" s="57">
        <v>21389</v>
      </c>
      <c r="E674" s="55">
        <v>4456</v>
      </c>
      <c r="F674" s="55">
        <v>240</v>
      </c>
      <c r="G674" s="55">
        <v>4</v>
      </c>
      <c r="H674" s="55">
        <v>1</v>
      </c>
      <c r="I674" s="55">
        <v>0</v>
      </c>
      <c r="J674" s="55">
        <v>0</v>
      </c>
    </row>
    <row r="675" spans="1:10" ht="15" x14ac:dyDescent="0.4">
      <c r="A675" s="54">
        <v>45966</v>
      </c>
      <c r="B675" s="55" t="s">
        <v>59</v>
      </c>
      <c r="C675" s="55" t="s">
        <v>60</v>
      </c>
      <c r="D675" s="57">
        <v>23813</v>
      </c>
      <c r="E675" s="55">
        <v>4579</v>
      </c>
      <c r="F675" s="55">
        <v>29</v>
      </c>
      <c r="G675" s="55">
        <v>2</v>
      </c>
      <c r="H675" s="55">
        <v>1</v>
      </c>
      <c r="I675" s="55">
        <v>0</v>
      </c>
      <c r="J675" s="55">
        <v>0</v>
      </c>
    </row>
    <row r="676" spans="1:10" ht="15" x14ac:dyDescent="0.4">
      <c r="A676" s="54">
        <v>45966</v>
      </c>
      <c r="B676" s="55" t="s">
        <v>55</v>
      </c>
      <c r="C676" s="55" t="s">
        <v>56</v>
      </c>
      <c r="D676" s="57">
        <v>33073</v>
      </c>
      <c r="E676" s="55">
        <v>23623</v>
      </c>
      <c r="F676" s="55">
        <v>238</v>
      </c>
      <c r="G676" s="55">
        <v>9</v>
      </c>
      <c r="H676" s="55">
        <v>1</v>
      </c>
      <c r="I676" s="55">
        <v>1</v>
      </c>
      <c r="J676" s="55">
        <v>0</v>
      </c>
    </row>
    <row r="677" spans="1:10" ht="15" x14ac:dyDescent="0.4">
      <c r="A677" s="54">
        <v>45966</v>
      </c>
      <c r="B677" s="55" t="s">
        <v>62</v>
      </c>
      <c r="C677" s="55" t="s">
        <v>56</v>
      </c>
      <c r="D677" s="57">
        <v>9095</v>
      </c>
      <c r="E677" s="55">
        <v>6496</v>
      </c>
      <c r="F677" s="55">
        <v>79</v>
      </c>
      <c r="G677" s="55">
        <v>8</v>
      </c>
      <c r="H677" s="55">
        <v>2</v>
      </c>
      <c r="I677" s="55">
        <v>1</v>
      </c>
      <c r="J677" s="55">
        <v>0</v>
      </c>
    </row>
    <row r="678" spans="1:10" ht="15" x14ac:dyDescent="0.4">
      <c r="A678" s="54">
        <v>45967</v>
      </c>
      <c r="B678" s="55" t="s">
        <v>61</v>
      </c>
      <c r="C678" s="55" t="s">
        <v>56</v>
      </c>
      <c r="D678" s="57">
        <v>17994</v>
      </c>
      <c r="E678" s="55">
        <v>12852</v>
      </c>
      <c r="F678" s="55">
        <v>137</v>
      </c>
      <c r="G678" s="55">
        <v>4</v>
      </c>
      <c r="H678" s="55">
        <v>1</v>
      </c>
      <c r="I678" s="55">
        <v>0</v>
      </c>
      <c r="J678" s="55">
        <v>0</v>
      </c>
    </row>
    <row r="679" spans="1:10" ht="15" x14ac:dyDescent="0.4">
      <c r="A679" s="54">
        <v>45967</v>
      </c>
      <c r="B679" s="55" t="s">
        <v>63</v>
      </c>
      <c r="C679" s="55" t="s">
        <v>58</v>
      </c>
      <c r="D679" s="57">
        <v>6774</v>
      </c>
      <c r="E679" s="55">
        <v>1411</v>
      </c>
      <c r="F679" s="55">
        <v>72</v>
      </c>
      <c r="G679" s="55">
        <v>3</v>
      </c>
      <c r="H679" s="55">
        <v>1</v>
      </c>
      <c r="I679" s="55">
        <v>1</v>
      </c>
      <c r="J679" s="55">
        <v>0</v>
      </c>
    </row>
    <row r="680" spans="1:10" ht="15" x14ac:dyDescent="0.4">
      <c r="A680" s="54">
        <v>45967</v>
      </c>
      <c r="B680" s="55" t="s">
        <v>57</v>
      </c>
      <c r="C680" s="55" t="s">
        <v>58</v>
      </c>
      <c r="D680" s="57">
        <v>23328</v>
      </c>
      <c r="E680" s="55">
        <v>4860</v>
      </c>
      <c r="F680" s="55">
        <v>260</v>
      </c>
      <c r="G680" s="55">
        <v>4</v>
      </c>
      <c r="H680" s="55">
        <v>1</v>
      </c>
      <c r="I680" s="55">
        <v>0</v>
      </c>
      <c r="J680" s="55">
        <v>0</v>
      </c>
    </row>
    <row r="681" spans="1:10" ht="15" x14ac:dyDescent="0.4">
      <c r="A681" s="54">
        <v>45967</v>
      </c>
      <c r="B681" s="55" t="s">
        <v>59</v>
      </c>
      <c r="C681" s="55" t="s">
        <v>60</v>
      </c>
      <c r="D681" s="57">
        <v>24313</v>
      </c>
      <c r="E681" s="55">
        <v>4675</v>
      </c>
      <c r="F681" s="55">
        <v>31</v>
      </c>
      <c r="G681" s="55">
        <v>0</v>
      </c>
      <c r="H681" s="55">
        <v>0</v>
      </c>
      <c r="I681" s="55">
        <v>1</v>
      </c>
      <c r="J681" s="55">
        <v>0</v>
      </c>
    </row>
    <row r="682" spans="1:10" ht="15" x14ac:dyDescent="0.4">
      <c r="A682" s="54">
        <v>45967</v>
      </c>
      <c r="B682" s="55" t="s">
        <v>55</v>
      </c>
      <c r="C682" s="55" t="s">
        <v>56</v>
      </c>
      <c r="D682" s="57">
        <v>33004</v>
      </c>
      <c r="E682" s="55">
        <v>23574</v>
      </c>
      <c r="F682" s="55">
        <v>297</v>
      </c>
      <c r="G682" s="55">
        <v>12</v>
      </c>
      <c r="H682" s="55">
        <v>1</v>
      </c>
      <c r="I682" s="55">
        <v>1</v>
      </c>
      <c r="J682" s="55">
        <v>0</v>
      </c>
    </row>
    <row r="683" spans="1:10" ht="15" x14ac:dyDescent="0.4">
      <c r="A683" s="54">
        <v>45967</v>
      </c>
      <c r="B683" s="55" t="s">
        <v>62</v>
      </c>
      <c r="C683" s="55" t="s">
        <v>56</v>
      </c>
      <c r="D683" s="57">
        <v>9740</v>
      </c>
      <c r="E683" s="55">
        <v>6957</v>
      </c>
      <c r="F683" s="55">
        <v>87</v>
      </c>
      <c r="G683" s="55">
        <v>4</v>
      </c>
      <c r="H683" s="55">
        <v>2</v>
      </c>
      <c r="I683" s="55">
        <v>0</v>
      </c>
      <c r="J683" s="55">
        <v>0</v>
      </c>
    </row>
    <row r="684" spans="1:10" ht="15" x14ac:dyDescent="0.4">
      <c r="A684" s="54">
        <v>45968</v>
      </c>
      <c r="B684" s="55" t="s">
        <v>61</v>
      </c>
      <c r="C684" s="55" t="s">
        <v>56</v>
      </c>
      <c r="D684" s="57">
        <v>15745</v>
      </c>
      <c r="E684" s="55">
        <v>11246</v>
      </c>
      <c r="F684" s="55">
        <v>139</v>
      </c>
      <c r="G684" s="55">
        <v>6</v>
      </c>
      <c r="H684" s="55">
        <v>0</v>
      </c>
      <c r="I684" s="55">
        <v>1</v>
      </c>
      <c r="J684" s="55">
        <v>0</v>
      </c>
    </row>
    <row r="685" spans="1:10" ht="15" x14ac:dyDescent="0.4">
      <c r="A685" s="54">
        <v>45968</v>
      </c>
      <c r="B685" s="55" t="s">
        <v>63</v>
      </c>
      <c r="C685" s="55" t="s">
        <v>58</v>
      </c>
      <c r="D685" s="57">
        <v>7130</v>
      </c>
      <c r="E685" s="55">
        <v>1485</v>
      </c>
      <c r="F685" s="55">
        <v>76</v>
      </c>
      <c r="G685" s="55">
        <v>1</v>
      </c>
      <c r="H685" s="55">
        <v>0</v>
      </c>
      <c r="I685" s="55">
        <v>0</v>
      </c>
      <c r="J685" s="55">
        <v>0</v>
      </c>
    </row>
    <row r="686" spans="1:10" ht="15" x14ac:dyDescent="0.4">
      <c r="A686" s="54">
        <v>45968</v>
      </c>
      <c r="B686" s="55" t="s">
        <v>57</v>
      </c>
      <c r="C686" s="55" t="s">
        <v>58</v>
      </c>
      <c r="D686" s="57">
        <v>23447</v>
      </c>
      <c r="E686" s="55">
        <v>4884</v>
      </c>
      <c r="F686" s="55">
        <v>220</v>
      </c>
      <c r="G686" s="55">
        <v>3</v>
      </c>
      <c r="H686" s="55">
        <v>1</v>
      </c>
      <c r="I686" s="55">
        <v>0</v>
      </c>
      <c r="J686" s="55">
        <v>0</v>
      </c>
    </row>
    <row r="687" spans="1:10" ht="15" x14ac:dyDescent="0.4">
      <c r="A687" s="54">
        <v>45968</v>
      </c>
      <c r="B687" s="55" t="s">
        <v>59</v>
      </c>
      <c r="C687" s="55" t="s">
        <v>60</v>
      </c>
      <c r="D687" s="57">
        <v>27879</v>
      </c>
      <c r="E687" s="55">
        <v>5361</v>
      </c>
      <c r="F687" s="55">
        <v>35</v>
      </c>
      <c r="G687" s="55">
        <v>3</v>
      </c>
      <c r="H687" s="55">
        <v>2</v>
      </c>
      <c r="I687" s="55">
        <v>1</v>
      </c>
      <c r="J687" s="55">
        <v>0</v>
      </c>
    </row>
    <row r="688" spans="1:10" ht="15" x14ac:dyDescent="0.4">
      <c r="A688" s="54">
        <v>45968</v>
      </c>
      <c r="B688" s="55" t="s">
        <v>55</v>
      </c>
      <c r="C688" s="55" t="s">
        <v>56</v>
      </c>
      <c r="D688" s="57">
        <v>31580</v>
      </c>
      <c r="E688" s="55">
        <v>22557</v>
      </c>
      <c r="F688" s="55">
        <v>255</v>
      </c>
      <c r="G688" s="55">
        <v>4</v>
      </c>
      <c r="H688" s="55">
        <v>4</v>
      </c>
      <c r="I688" s="55">
        <v>0</v>
      </c>
      <c r="J688" s="55">
        <v>0</v>
      </c>
    </row>
    <row r="689" spans="1:10" ht="15" x14ac:dyDescent="0.4">
      <c r="A689" s="54">
        <v>45968</v>
      </c>
      <c r="B689" s="55" t="s">
        <v>62</v>
      </c>
      <c r="C689" s="55" t="s">
        <v>56</v>
      </c>
      <c r="D689" s="57">
        <v>9285</v>
      </c>
      <c r="E689" s="55">
        <v>6632</v>
      </c>
      <c r="F689" s="55">
        <v>64</v>
      </c>
      <c r="G689" s="55">
        <v>3</v>
      </c>
      <c r="H689" s="55">
        <v>1</v>
      </c>
      <c r="I689" s="55">
        <v>1</v>
      </c>
      <c r="J689" s="55">
        <v>0</v>
      </c>
    </row>
    <row r="690" spans="1:10" ht="15" x14ac:dyDescent="0.4">
      <c r="A690" s="54">
        <v>45969</v>
      </c>
      <c r="B690" s="55" t="s">
        <v>61</v>
      </c>
      <c r="C690" s="55" t="s">
        <v>56</v>
      </c>
      <c r="D690" s="57">
        <v>15704</v>
      </c>
      <c r="E690" s="55">
        <v>11217</v>
      </c>
      <c r="F690" s="55">
        <v>106</v>
      </c>
      <c r="G690" s="55">
        <v>3</v>
      </c>
      <c r="H690" s="55">
        <v>3</v>
      </c>
      <c r="I690" s="55">
        <v>0</v>
      </c>
      <c r="J690" s="55">
        <v>0</v>
      </c>
    </row>
    <row r="691" spans="1:10" ht="15" x14ac:dyDescent="0.4">
      <c r="A691" s="54">
        <v>45969</v>
      </c>
      <c r="B691" s="55" t="s">
        <v>63</v>
      </c>
      <c r="C691" s="55" t="s">
        <v>58</v>
      </c>
      <c r="D691" s="57">
        <v>7149</v>
      </c>
      <c r="E691" s="55">
        <v>1489</v>
      </c>
      <c r="F691" s="55">
        <v>71</v>
      </c>
      <c r="G691" s="55">
        <v>2</v>
      </c>
      <c r="H691" s="55">
        <v>2</v>
      </c>
      <c r="I691" s="55">
        <v>0</v>
      </c>
      <c r="J691" s="55">
        <v>0</v>
      </c>
    </row>
    <row r="692" spans="1:10" ht="15" x14ac:dyDescent="0.4">
      <c r="A692" s="54">
        <v>45969</v>
      </c>
      <c r="B692" s="55" t="s">
        <v>57</v>
      </c>
      <c r="C692" s="55" t="s">
        <v>58</v>
      </c>
      <c r="D692" s="57">
        <v>24800</v>
      </c>
      <c r="E692" s="55">
        <v>5166</v>
      </c>
      <c r="F692" s="55">
        <v>267</v>
      </c>
      <c r="G692" s="55">
        <v>1</v>
      </c>
      <c r="H692" s="55">
        <v>0</v>
      </c>
      <c r="I692" s="55">
        <v>0</v>
      </c>
      <c r="J692" s="55">
        <v>0</v>
      </c>
    </row>
    <row r="693" spans="1:10" ht="15" x14ac:dyDescent="0.4">
      <c r="A693" s="54">
        <v>45969</v>
      </c>
      <c r="B693" s="55" t="s">
        <v>59</v>
      </c>
      <c r="C693" s="55" t="s">
        <v>60</v>
      </c>
      <c r="D693" s="57">
        <v>27545</v>
      </c>
      <c r="E693" s="55">
        <v>5297</v>
      </c>
      <c r="F693" s="55">
        <v>36</v>
      </c>
      <c r="G693" s="55">
        <v>1</v>
      </c>
      <c r="H693" s="55">
        <v>1</v>
      </c>
      <c r="I693" s="55">
        <v>1</v>
      </c>
      <c r="J693" s="55">
        <v>0</v>
      </c>
    </row>
    <row r="694" spans="1:10" ht="15" x14ac:dyDescent="0.4">
      <c r="A694" s="54">
        <v>45969</v>
      </c>
      <c r="B694" s="55" t="s">
        <v>55</v>
      </c>
      <c r="C694" s="55" t="s">
        <v>56</v>
      </c>
      <c r="D694" s="57">
        <v>32931</v>
      </c>
      <c r="E694" s="55">
        <v>23522</v>
      </c>
      <c r="F694" s="55">
        <v>245</v>
      </c>
      <c r="G694" s="55">
        <v>8</v>
      </c>
      <c r="H694" s="55">
        <v>3</v>
      </c>
      <c r="I694" s="55">
        <v>1</v>
      </c>
      <c r="J694" s="55">
        <v>0</v>
      </c>
    </row>
    <row r="695" spans="1:10" ht="15" x14ac:dyDescent="0.4">
      <c r="A695" s="54">
        <v>45969</v>
      </c>
      <c r="B695" s="55" t="s">
        <v>62</v>
      </c>
      <c r="C695" s="55" t="s">
        <v>56</v>
      </c>
      <c r="D695" s="57">
        <v>9829</v>
      </c>
      <c r="E695" s="55">
        <v>7020</v>
      </c>
      <c r="F695" s="55">
        <v>69</v>
      </c>
      <c r="G695" s="55">
        <v>1</v>
      </c>
      <c r="H695" s="55">
        <v>3</v>
      </c>
      <c r="I695" s="55">
        <v>0</v>
      </c>
      <c r="J695" s="55">
        <v>0</v>
      </c>
    </row>
    <row r="696" spans="1:10" ht="15" x14ac:dyDescent="0.4">
      <c r="A696" s="54">
        <v>45970</v>
      </c>
      <c r="B696" s="55" t="s">
        <v>61</v>
      </c>
      <c r="C696" s="55" t="s">
        <v>56</v>
      </c>
      <c r="D696" s="57">
        <v>17104</v>
      </c>
      <c r="E696" s="55">
        <v>12217</v>
      </c>
      <c r="F696" s="55">
        <v>152</v>
      </c>
      <c r="G696" s="55">
        <v>3</v>
      </c>
      <c r="H696" s="55">
        <v>2</v>
      </c>
      <c r="I696" s="55">
        <v>1</v>
      </c>
      <c r="J696" s="55">
        <v>0</v>
      </c>
    </row>
    <row r="697" spans="1:10" ht="15" x14ac:dyDescent="0.4">
      <c r="A697" s="54">
        <v>45970</v>
      </c>
      <c r="B697" s="55" t="s">
        <v>63</v>
      </c>
      <c r="C697" s="55" t="s">
        <v>58</v>
      </c>
      <c r="D697" s="57">
        <v>6250</v>
      </c>
      <c r="E697" s="55">
        <v>1302</v>
      </c>
      <c r="F697" s="55">
        <v>74</v>
      </c>
      <c r="G697" s="55">
        <v>2</v>
      </c>
      <c r="H697" s="55">
        <v>0</v>
      </c>
      <c r="I697" s="55">
        <v>0</v>
      </c>
      <c r="J697" s="55">
        <v>1</v>
      </c>
    </row>
    <row r="698" spans="1:10" ht="15" x14ac:dyDescent="0.4">
      <c r="A698" s="54">
        <v>45970</v>
      </c>
      <c r="B698" s="55" t="s">
        <v>57</v>
      </c>
      <c r="C698" s="55" t="s">
        <v>58</v>
      </c>
      <c r="D698" s="57">
        <v>21016</v>
      </c>
      <c r="E698" s="55">
        <v>4378</v>
      </c>
      <c r="F698" s="55">
        <v>239</v>
      </c>
      <c r="G698" s="55">
        <v>1</v>
      </c>
      <c r="H698" s="55">
        <v>0</v>
      </c>
      <c r="I698" s="55">
        <v>0</v>
      </c>
      <c r="J698" s="55">
        <v>0</v>
      </c>
    </row>
    <row r="699" spans="1:10" ht="15" x14ac:dyDescent="0.4">
      <c r="A699" s="54">
        <v>45970</v>
      </c>
      <c r="B699" s="55" t="s">
        <v>59</v>
      </c>
      <c r="C699" s="55" t="s">
        <v>60</v>
      </c>
      <c r="D699" s="57">
        <v>25075</v>
      </c>
      <c r="E699" s="55">
        <v>4822</v>
      </c>
      <c r="F699" s="55">
        <v>28</v>
      </c>
      <c r="G699" s="55">
        <v>1</v>
      </c>
      <c r="H699" s="55">
        <v>0</v>
      </c>
      <c r="I699" s="55">
        <v>2</v>
      </c>
      <c r="J699" s="55">
        <v>1</v>
      </c>
    </row>
    <row r="700" spans="1:10" ht="15" x14ac:dyDescent="0.4">
      <c r="A700" s="54">
        <v>45970</v>
      </c>
      <c r="B700" s="55" t="s">
        <v>55</v>
      </c>
      <c r="C700" s="55" t="s">
        <v>56</v>
      </c>
      <c r="D700" s="57">
        <v>31970</v>
      </c>
      <c r="E700" s="55">
        <v>22835</v>
      </c>
      <c r="F700" s="55">
        <v>255</v>
      </c>
      <c r="G700" s="55">
        <v>7</v>
      </c>
      <c r="H700" s="55">
        <v>2</v>
      </c>
      <c r="I700" s="55">
        <v>0</v>
      </c>
      <c r="J700" s="55">
        <v>1</v>
      </c>
    </row>
    <row r="701" spans="1:10" ht="15" x14ac:dyDescent="0.4">
      <c r="A701" s="54">
        <v>45970</v>
      </c>
      <c r="B701" s="55" t="s">
        <v>62</v>
      </c>
      <c r="C701" s="55" t="s">
        <v>56</v>
      </c>
      <c r="D701" s="57">
        <v>9429</v>
      </c>
      <c r="E701" s="55">
        <v>6735</v>
      </c>
      <c r="F701" s="55">
        <v>74</v>
      </c>
      <c r="G701" s="55">
        <v>3</v>
      </c>
      <c r="H701" s="55">
        <v>0</v>
      </c>
      <c r="I701" s="55">
        <v>0</v>
      </c>
      <c r="J701" s="55">
        <v>1</v>
      </c>
    </row>
    <row r="702" spans="1:10" ht="15" x14ac:dyDescent="0.4">
      <c r="A702" s="54">
        <v>45971</v>
      </c>
      <c r="B702" s="55" t="s">
        <v>61</v>
      </c>
      <c r="C702" s="55" t="s">
        <v>56</v>
      </c>
      <c r="D702" s="57">
        <v>16651</v>
      </c>
      <c r="E702" s="55">
        <v>11893</v>
      </c>
      <c r="F702" s="55">
        <v>130</v>
      </c>
      <c r="G702" s="55">
        <v>3</v>
      </c>
      <c r="H702" s="55">
        <v>0</v>
      </c>
      <c r="I702" s="55">
        <v>1</v>
      </c>
      <c r="J702" s="55">
        <v>0</v>
      </c>
    </row>
    <row r="703" spans="1:10" ht="15" x14ac:dyDescent="0.4">
      <c r="A703" s="54">
        <v>45971</v>
      </c>
      <c r="B703" s="55" t="s">
        <v>63</v>
      </c>
      <c r="C703" s="55" t="s">
        <v>58</v>
      </c>
      <c r="D703" s="57">
        <v>7351</v>
      </c>
      <c r="E703" s="55">
        <v>1531</v>
      </c>
      <c r="F703" s="55">
        <v>78</v>
      </c>
      <c r="G703" s="55">
        <v>0</v>
      </c>
      <c r="H703" s="55">
        <v>1</v>
      </c>
      <c r="I703" s="55">
        <v>0</v>
      </c>
      <c r="J703" s="55">
        <v>0</v>
      </c>
    </row>
    <row r="704" spans="1:10" ht="15" x14ac:dyDescent="0.4">
      <c r="A704" s="54">
        <v>45971</v>
      </c>
      <c r="B704" s="55" t="s">
        <v>57</v>
      </c>
      <c r="C704" s="55" t="s">
        <v>58</v>
      </c>
      <c r="D704" s="57">
        <v>22451</v>
      </c>
      <c r="E704" s="55">
        <v>4677</v>
      </c>
      <c r="F704" s="55">
        <v>231</v>
      </c>
      <c r="G704" s="55">
        <v>3</v>
      </c>
      <c r="H704" s="55">
        <v>1</v>
      </c>
      <c r="I704" s="55">
        <v>1</v>
      </c>
      <c r="J704" s="55">
        <v>0</v>
      </c>
    </row>
    <row r="705" spans="1:10" ht="15" x14ac:dyDescent="0.4">
      <c r="A705" s="54">
        <v>45971</v>
      </c>
      <c r="B705" s="55" t="s">
        <v>59</v>
      </c>
      <c r="C705" s="55" t="s">
        <v>60</v>
      </c>
      <c r="D705" s="57">
        <v>24666</v>
      </c>
      <c r="E705" s="55">
        <v>4743</v>
      </c>
      <c r="F705" s="55">
        <v>28</v>
      </c>
      <c r="G705" s="55">
        <v>3</v>
      </c>
      <c r="H705" s="55">
        <v>1</v>
      </c>
      <c r="I705" s="55">
        <v>0</v>
      </c>
      <c r="J705" s="55">
        <v>0</v>
      </c>
    </row>
    <row r="706" spans="1:10" ht="15" x14ac:dyDescent="0.4">
      <c r="A706" s="54">
        <v>45971</v>
      </c>
      <c r="B706" s="55" t="s">
        <v>55</v>
      </c>
      <c r="C706" s="55" t="s">
        <v>56</v>
      </c>
      <c r="D706" s="57">
        <v>32642</v>
      </c>
      <c r="E706" s="55">
        <v>23315</v>
      </c>
      <c r="F706" s="55">
        <v>285</v>
      </c>
      <c r="G706" s="55">
        <v>6</v>
      </c>
      <c r="H706" s="55">
        <v>4</v>
      </c>
      <c r="I706" s="55">
        <v>3</v>
      </c>
      <c r="J706" s="55">
        <v>2</v>
      </c>
    </row>
    <row r="707" spans="1:10" ht="15" x14ac:dyDescent="0.4">
      <c r="A707" s="54">
        <v>45971</v>
      </c>
      <c r="B707" s="55" t="s">
        <v>62</v>
      </c>
      <c r="C707" s="55" t="s">
        <v>56</v>
      </c>
      <c r="D707" s="57">
        <v>9564</v>
      </c>
      <c r="E707" s="55">
        <v>6831</v>
      </c>
      <c r="F707" s="55">
        <v>77</v>
      </c>
      <c r="G707" s="55">
        <v>4</v>
      </c>
      <c r="H707" s="55">
        <v>1</v>
      </c>
      <c r="I707" s="55">
        <v>0</v>
      </c>
      <c r="J707" s="55">
        <v>0</v>
      </c>
    </row>
    <row r="708" spans="1:10" ht="15" x14ac:dyDescent="0.4">
      <c r="A708" s="54">
        <v>45972</v>
      </c>
      <c r="B708" s="55" t="s">
        <v>61</v>
      </c>
      <c r="C708" s="55" t="s">
        <v>56</v>
      </c>
      <c r="D708" s="57">
        <v>15689</v>
      </c>
      <c r="E708" s="55">
        <v>11206</v>
      </c>
      <c r="F708" s="55">
        <v>111</v>
      </c>
      <c r="G708" s="55">
        <v>6</v>
      </c>
      <c r="H708" s="55">
        <v>1</v>
      </c>
      <c r="I708" s="55">
        <v>1</v>
      </c>
      <c r="J708" s="55">
        <v>0</v>
      </c>
    </row>
    <row r="709" spans="1:10" ht="15" x14ac:dyDescent="0.4">
      <c r="A709" s="54">
        <v>45972</v>
      </c>
      <c r="B709" s="55" t="s">
        <v>63</v>
      </c>
      <c r="C709" s="55" t="s">
        <v>58</v>
      </c>
      <c r="D709" s="57">
        <v>7320</v>
      </c>
      <c r="E709" s="55">
        <v>1525</v>
      </c>
      <c r="F709" s="55">
        <v>83</v>
      </c>
      <c r="G709" s="55">
        <v>0</v>
      </c>
      <c r="H709" s="55">
        <v>0</v>
      </c>
      <c r="I709" s="55">
        <v>0</v>
      </c>
      <c r="J709" s="55">
        <v>0</v>
      </c>
    </row>
    <row r="710" spans="1:10" ht="15" x14ac:dyDescent="0.4">
      <c r="A710" s="54">
        <v>45972</v>
      </c>
      <c r="B710" s="55" t="s">
        <v>57</v>
      </c>
      <c r="C710" s="55" t="s">
        <v>58</v>
      </c>
      <c r="D710" s="57">
        <v>24291</v>
      </c>
      <c r="E710" s="55">
        <v>5060</v>
      </c>
      <c r="F710" s="55">
        <v>291</v>
      </c>
      <c r="G710" s="55">
        <v>2</v>
      </c>
      <c r="H710" s="55">
        <v>1</v>
      </c>
      <c r="I710" s="55">
        <v>0</v>
      </c>
      <c r="J710" s="55">
        <v>0</v>
      </c>
    </row>
    <row r="711" spans="1:10" ht="15" x14ac:dyDescent="0.4">
      <c r="A711" s="54">
        <v>45972</v>
      </c>
      <c r="B711" s="55" t="s">
        <v>59</v>
      </c>
      <c r="C711" s="55" t="s">
        <v>60</v>
      </c>
      <c r="D711" s="57">
        <v>22930</v>
      </c>
      <c r="E711" s="55">
        <v>4409</v>
      </c>
      <c r="F711" s="55">
        <v>28</v>
      </c>
      <c r="G711" s="55">
        <v>3</v>
      </c>
      <c r="H711" s="55">
        <v>1</v>
      </c>
      <c r="I711" s="55">
        <v>0</v>
      </c>
      <c r="J711" s="55">
        <v>0</v>
      </c>
    </row>
    <row r="712" spans="1:10" ht="15" x14ac:dyDescent="0.4">
      <c r="A712" s="54">
        <v>45972</v>
      </c>
      <c r="B712" s="55" t="s">
        <v>55</v>
      </c>
      <c r="C712" s="55" t="s">
        <v>56</v>
      </c>
      <c r="D712" s="57">
        <v>32758</v>
      </c>
      <c r="E712" s="55">
        <v>23398</v>
      </c>
      <c r="F712" s="55">
        <v>225</v>
      </c>
      <c r="G712" s="55">
        <v>13</v>
      </c>
      <c r="H712" s="55">
        <v>1</v>
      </c>
      <c r="I712" s="55">
        <v>0</v>
      </c>
      <c r="J712" s="55">
        <v>1</v>
      </c>
    </row>
    <row r="713" spans="1:10" ht="15" x14ac:dyDescent="0.4">
      <c r="A713" s="54">
        <v>45972</v>
      </c>
      <c r="B713" s="55" t="s">
        <v>62</v>
      </c>
      <c r="C713" s="55" t="s">
        <v>56</v>
      </c>
      <c r="D713" s="57">
        <v>9791</v>
      </c>
      <c r="E713" s="55">
        <v>6993</v>
      </c>
      <c r="F713" s="55">
        <v>67</v>
      </c>
      <c r="G713" s="55">
        <v>3</v>
      </c>
      <c r="H713" s="55">
        <v>2</v>
      </c>
      <c r="I713" s="55">
        <v>1</v>
      </c>
      <c r="J713" s="55">
        <v>0</v>
      </c>
    </row>
    <row r="714" spans="1:10" ht="15" x14ac:dyDescent="0.4">
      <c r="A714" s="54">
        <v>45973</v>
      </c>
      <c r="B714" s="55" t="s">
        <v>61</v>
      </c>
      <c r="C714" s="55" t="s">
        <v>56</v>
      </c>
      <c r="D714" s="57">
        <v>14993</v>
      </c>
      <c r="E714" s="55">
        <v>10709</v>
      </c>
      <c r="F714" s="55">
        <v>108</v>
      </c>
      <c r="G714" s="55">
        <v>7</v>
      </c>
      <c r="H714" s="55">
        <v>1</v>
      </c>
      <c r="I714" s="55">
        <v>0</v>
      </c>
      <c r="J714" s="55">
        <v>0</v>
      </c>
    </row>
    <row r="715" spans="1:10" ht="15" x14ac:dyDescent="0.4">
      <c r="A715" s="54">
        <v>45973</v>
      </c>
      <c r="B715" s="55" t="s">
        <v>63</v>
      </c>
      <c r="C715" s="55" t="s">
        <v>58</v>
      </c>
      <c r="D715" s="57">
        <v>7454</v>
      </c>
      <c r="E715" s="55">
        <v>1552</v>
      </c>
      <c r="F715" s="55">
        <v>85</v>
      </c>
      <c r="G715" s="55">
        <v>8</v>
      </c>
      <c r="H715" s="55">
        <v>1</v>
      </c>
      <c r="I715" s="55">
        <v>0</v>
      </c>
      <c r="J715" s="55">
        <v>0</v>
      </c>
    </row>
    <row r="716" spans="1:10" ht="15" x14ac:dyDescent="0.4">
      <c r="A716" s="54">
        <v>45973</v>
      </c>
      <c r="B716" s="55" t="s">
        <v>57</v>
      </c>
      <c r="C716" s="55" t="s">
        <v>58</v>
      </c>
      <c r="D716" s="57">
        <v>22493</v>
      </c>
      <c r="E716" s="55">
        <v>4686</v>
      </c>
      <c r="F716" s="55">
        <v>251</v>
      </c>
      <c r="G716" s="55">
        <v>3</v>
      </c>
      <c r="H716" s="55">
        <v>1</v>
      </c>
      <c r="I716" s="55">
        <v>0</v>
      </c>
      <c r="J716" s="55">
        <v>0</v>
      </c>
    </row>
    <row r="717" spans="1:10" ht="15" x14ac:dyDescent="0.4">
      <c r="A717" s="54">
        <v>45973</v>
      </c>
      <c r="B717" s="55" t="s">
        <v>59</v>
      </c>
      <c r="C717" s="55" t="s">
        <v>60</v>
      </c>
      <c r="D717" s="57">
        <v>24946</v>
      </c>
      <c r="E717" s="55">
        <v>4797</v>
      </c>
      <c r="F717" s="55">
        <v>31</v>
      </c>
      <c r="G717" s="55">
        <v>1</v>
      </c>
      <c r="H717" s="55">
        <v>0</v>
      </c>
      <c r="I717" s="55">
        <v>0</v>
      </c>
      <c r="J717" s="55">
        <v>1</v>
      </c>
    </row>
    <row r="718" spans="1:10" ht="15" x14ac:dyDescent="0.4">
      <c r="A718" s="54">
        <v>45973</v>
      </c>
      <c r="B718" s="55" t="s">
        <v>55</v>
      </c>
      <c r="C718" s="55" t="s">
        <v>56</v>
      </c>
      <c r="D718" s="57">
        <v>31369</v>
      </c>
      <c r="E718" s="55">
        <v>22406</v>
      </c>
      <c r="F718" s="55">
        <v>265</v>
      </c>
      <c r="G718" s="55">
        <v>8</v>
      </c>
      <c r="H718" s="55">
        <v>2</v>
      </c>
      <c r="I718" s="55">
        <v>1</v>
      </c>
      <c r="J718" s="55">
        <v>0</v>
      </c>
    </row>
    <row r="719" spans="1:10" ht="15" x14ac:dyDescent="0.4">
      <c r="A719" s="54">
        <v>45973</v>
      </c>
      <c r="B719" s="55" t="s">
        <v>62</v>
      </c>
      <c r="C719" s="55" t="s">
        <v>56</v>
      </c>
      <c r="D719" s="57">
        <v>8777</v>
      </c>
      <c r="E719" s="55">
        <v>6269</v>
      </c>
      <c r="F719" s="55">
        <v>65</v>
      </c>
      <c r="G719" s="55">
        <v>7</v>
      </c>
      <c r="H719" s="55">
        <v>1</v>
      </c>
      <c r="I719" s="55">
        <v>1</v>
      </c>
      <c r="J719" s="55">
        <v>0</v>
      </c>
    </row>
    <row r="720" spans="1:10" ht="15" x14ac:dyDescent="0.4">
      <c r="A720" s="54">
        <v>45974</v>
      </c>
      <c r="B720" s="55" t="s">
        <v>61</v>
      </c>
      <c r="C720" s="55" t="s">
        <v>56</v>
      </c>
      <c r="D720" s="57">
        <v>16020</v>
      </c>
      <c r="E720" s="55">
        <v>11442</v>
      </c>
      <c r="F720" s="55">
        <v>126</v>
      </c>
      <c r="G720" s="55">
        <v>6</v>
      </c>
      <c r="H720" s="55">
        <v>0</v>
      </c>
      <c r="I720" s="55">
        <v>0</v>
      </c>
      <c r="J720" s="55">
        <v>0</v>
      </c>
    </row>
    <row r="721" spans="1:10" ht="15" x14ac:dyDescent="0.4">
      <c r="A721" s="54">
        <v>45974</v>
      </c>
      <c r="B721" s="55" t="s">
        <v>63</v>
      </c>
      <c r="C721" s="55" t="s">
        <v>58</v>
      </c>
      <c r="D721" s="57">
        <v>7488</v>
      </c>
      <c r="E721" s="55">
        <v>1559</v>
      </c>
      <c r="F721" s="55">
        <v>81</v>
      </c>
      <c r="G721" s="55">
        <v>4</v>
      </c>
      <c r="H721" s="55">
        <v>1</v>
      </c>
      <c r="I721" s="55">
        <v>0</v>
      </c>
      <c r="J721" s="55">
        <v>1</v>
      </c>
    </row>
    <row r="722" spans="1:10" ht="15" x14ac:dyDescent="0.4">
      <c r="A722" s="54">
        <v>45974</v>
      </c>
      <c r="B722" s="55" t="s">
        <v>57</v>
      </c>
      <c r="C722" s="55" t="s">
        <v>58</v>
      </c>
      <c r="D722" s="57">
        <v>22406</v>
      </c>
      <c r="E722" s="55">
        <v>4667</v>
      </c>
      <c r="F722" s="55">
        <v>238</v>
      </c>
      <c r="G722" s="55">
        <v>5</v>
      </c>
      <c r="H722" s="55">
        <v>0</v>
      </c>
      <c r="I722" s="55">
        <v>0</v>
      </c>
      <c r="J722" s="55">
        <v>0</v>
      </c>
    </row>
    <row r="723" spans="1:10" ht="15" x14ac:dyDescent="0.4">
      <c r="A723" s="54">
        <v>45974</v>
      </c>
      <c r="B723" s="55" t="s">
        <v>59</v>
      </c>
      <c r="C723" s="55" t="s">
        <v>60</v>
      </c>
      <c r="D723" s="57">
        <v>23809</v>
      </c>
      <c r="E723" s="55">
        <v>4578</v>
      </c>
      <c r="F723" s="55">
        <v>26</v>
      </c>
      <c r="G723" s="55">
        <v>4</v>
      </c>
      <c r="H723" s="55">
        <v>1</v>
      </c>
      <c r="I723" s="55">
        <v>1</v>
      </c>
      <c r="J723" s="55">
        <v>0</v>
      </c>
    </row>
    <row r="724" spans="1:10" ht="15" x14ac:dyDescent="0.4">
      <c r="A724" s="54">
        <v>45974</v>
      </c>
      <c r="B724" s="55" t="s">
        <v>55</v>
      </c>
      <c r="C724" s="55" t="s">
        <v>56</v>
      </c>
      <c r="D724" s="57">
        <v>34764</v>
      </c>
      <c r="E724" s="55">
        <v>24831</v>
      </c>
      <c r="F724" s="55">
        <v>313</v>
      </c>
      <c r="G724" s="55">
        <v>6</v>
      </c>
      <c r="H724" s="55">
        <v>3</v>
      </c>
      <c r="I724" s="55">
        <v>2</v>
      </c>
      <c r="J724" s="55">
        <v>0</v>
      </c>
    </row>
    <row r="725" spans="1:10" ht="15" x14ac:dyDescent="0.4">
      <c r="A725" s="54">
        <v>45974</v>
      </c>
      <c r="B725" s="55" t="s">
        <v>62</v>
      </c>
      <c r="C725" s="55" t="s">
        <v>56</v>
      </c>
      <c r="D725" s="57">
        <v>9279</v>
      </c>
      <c r="E725" s="55">
        <v>6627</v>
      </c>
      <c r="F725" s="55">
        <v>72</v>
      </c>
      <c r="G725" s="55">
        <v>1</v>
      </c>
      <c r="H725" s="55">
        <v>2</v>
      </c>
      <c r="I725" s="55">
        <v>0</v>
      </c>
      <c r="J725" s="55">
        <v>0</v>
      </c>
    </row>
    <row r="726" spans="1:10" ht="15" x14ac:dyDescent="0.4">
      <c r="A726" s="54">
        <v>45975</v>
      </c>
      <c r="B726" s="55" t="s">
        <v>61</v>
      </c>
      <c r="C726" s="55" t="s">
        <v>56</v>
      </c>
      <c r="D726" s="57">
        <v>16534</v>
      </c>
      <c r="E726" s="55">
        <v>11810</v>
      </c>
      <c r="F726" s="55">
        <v>119</v>
      </c>
      <c r="G726" s="55">
        <v>2</v>
      </c>
      <c r="H726" s="55">
        <v>0</v>
      </c>
      <c r="I726" s="55">
        <v>0</v>
      </c>
      <c r="J726" s="55">
        <v>0</v>
      </c>
    </row>
    <row r="727" spans="1:10" ht="15" x14ac:dyDescent="0.4">
      <c r="A727" s="54">
        <v>45975</v>
      </c>
      <c r="B727" s="55" t="s">
        <v>63</v>
      </c>
      <c r="C727" s="55" t="s">
        <v>58</v>
      </c>
      <c r="D727" s="57">
        <v>6352</v>
      </c>
      <c r="E727" s="55">
        <v>1323</v>
      </c>
      <c r="F727" s="55">
        <v>70</v>
      </c>
      <c r="G727" s="55">
        <v>4</v>
      </c>
      <c r="H727" s="55">
        <v>2</v>
      </c>
      <c r="I727" s="55">
        <v>0</v>
      </c>
      <c r="J727" s="55">
        <v>0</v>
      </c>
    </row>
    <row r="728" spans="1:10" ht="15" x14ac:dyDescent="0.4">
      <c r="A728" s="54">
        <v>45975</v>
      </c>
      <c r="B728" s="55" t="s">
        <v>57</v>
      </c>
      <c r="C728" s="55" t="s">
        <v>58</v>
      </c>
      <c r="D728" s="57">
        <v>24024</v>
      </c>
      <c r="E728" s="55">
        <v>5005</v>
      </c>
      <c r="F728" s="55">
        <v>225</v>
      </c>
      <c r="G728" s="55">
        <v>2</v>
      </c>
      <c r="H728" s="55">
        <v>2</v>
      </c>
      <c r="I728" s="55">
        <v>1</v>
      </c>
      <c r="J728" s="55">
        <v>0</v>
      </c>
    </row>
    <row r="729" spans="1:10" ht="15" x14ac:dyDescent="0.4">
      <c r="A729" s="54">
        <v>45975</v>
      </c>
      <c r="B729" s="55" t="s">
        <v>59</v>
      </c>
      <c r="C729" s="55" t="s">
        <v>60</v>
      </c>
      <c r="D729" s="57">
        <v>25092</v>
      </c>
      <c r="E729" s="55">
        <v>4825</v>
      </c>
      <c r="F729" s="55">
        <v>29</v>
      </c>
      <c r="G729" s="55">
        <v>1</v>
      </c>
      <c r="H729" s="55">
        <v>2</v>
      </c>
      <c r="I729" s="55">
        <v>0</v>
      </c>
      <c r="J729" s="55">
        <v>0</v>
      </c>
    </row>
    <row r="730" spans="1:10" ht="15" x14ac:dyDescent="0.4">
      <c r="A730" s="54">
        <v>45975</v>
      </c>
      <c r="B730" s="55" t="s">
        <v>55</v>
      </c>
      <c r="C730" s="55" t="s">
        <v>56</v>
      </c>
      <c r="D730" s="57">
        <v>34829</v>
      </c>
      <c r="E730" s="55">
        <v>24877</v>
      </c>
      <c r="F730" s="55">
        <v>303</v>
      </c>
      <c r="G730" s="55">
        <v>10</v>
      </c>
      <c r="H730" s="55">
        <v>4</v>
      </c>
      <c r="I730" s="55">
        <v>0</v>
      </c>
      <c r="J730" s="55">
        <v>0</v>
      </c>
    </row>
    <row r="731" spans="1:10" ht="15" x14ac:dyDescent="0.4">
      <c r="A731" s="54">
        <v>45975</v>
      </c>
      <c r="B731" s="55" t="s">
        <v>62</v>
      </c>
      <c r="C731" s="55" t="s">
        <v>56</v>
      </c>
      <c r="D731" s="57">
        <v>9203</v>
      </c>
      <c r="E731" s="55">
        <v>6573</v>
      </c>
      <c r="F731" s="55">
        <v>61</v>
      </c>
      <c r="G731" s="55">
        <v>1</v>
      </c>
      <c r="H731" s="55">
        <v>0</v>
      </c>
      <c r="I731" s="55">
        <v>0</v>
      </c>
      <c r="J731" s="55">
        <v>0</v>
      </c>
    </row>
    <row r="732" spans="1:10" ht="15" x14ac:dyDescent="0.4">
      <c r="A732" s="54">
        <v>45976</v>
      </c>
      <c r="B732" s="55" t="s">
        <v>61</v>
      </c>
      <c r="C732" s="55" t="s">
        <v>56</v>
      </c>
      <c r="D732" s="57">
        <v>15971</v>
      </c>
      <c r="E732" s="55">
        <v>11407</v>
      </c>
      <c r="F732" s="55">
        <v>136</v>
      </c>
      <c r="G732" s="55">
        <v>2</v>
      </c>
      <c r="H732" s="55">
        <v>1</v>
      </c>
      <c r="I732" s="55">
        <v>0</v>
      </c>
      <c r="J732" s="55">
        <v>0</v>
      </c>
    </row>
    <row r="733" spans="1:10" ht="15" x14ac:dyDescent="0.4">
      <c r="A733" s="54">
        <v>45976</v>
      </c>
      <c r="B733" s="55" t="s">
        <v>63</v>
      </c>
      <c r="C733" s="55" t="s">
        <v>58</v>
      </c>
      <c r="D733" s="57">
        <v>6385</v>
      </c>
      <c r="E733" s="55">
        <v>1330</v>
      </c>
      <c r="F733" s="55">
        <v>59</v>
      </c>
      <c r="G733" s="55">
        <v>1</v>
      </c>
      <c r="H733" s="55">
        <v>2</v>
      </c>
      <c r="I733" s="55">
        <v>1</v>
      </c>
      <c r="J733" s="55">
        <v>0</v>
      </c>
    </row>
    <row r="734" spans="1:10" ht="15" x14ac:dyDescent="0.4">
      <c r="A734" s="54">
        <v>45976</v>
      </c>
      <c r="B734" s="55" t="s">
        <v>57</v>
      </c>
      <c r="C734" s="55" t="s">
        <v>58</v>
      </c>
      <c r="D734" s="57">
        <v>22594</v>
      </c>
      <c r="E734" s="55">
        <v>4707</v>
      </c>
      <c r="F734" s="55">
        <v>232</v>
      </c>
      <c r="G734" s="55">
        <v>1</v>
      </c>
      <c r="H734" s="55">
        <v>3</v>
      </c>
      <c r="I734" s="55">
        <v>2</v>
      </c>
      <c r="J734" s="55">
        <v>0</v>
      </c>
    </row>
    <row r="735" spans="1:10" ht="15" x14ac:dyDescent="0.4">
      <c r="A735" s="54">
        <v>45976</v>
      </c>
      <c r="B735" s="55" t="s">
        <v>59</v>
      </c>
      <c r="C735" s="55" t="s">
        <v>60</v>
      </c>
      <c r="D735" s="57">
        <v>28066</v>
      </c>
      <c r="E735" s="55">
        <v>5397</v>
      </c>
      <c r="F735" s="55">
        <v>33</v>
      </c>
      <c r="G735" s="55">
        <v>0</v>
      </c>
      <c r="H735" s="55">
        <v>0</v>
      </c>
      <c r="I735" s="55">
        <v>0</v>
      </c>
      <c r="J735" s="55">
        <v>0</v>
      </c>
    </row>
    <row r="736" spans="1:10" ht="15" x14ac:dyDescent="0.4">
      <c r="A736" s="54">
        <v>45976</v>
      </c>
      <c r="B736" s="55" t="s">
        <v>55</v>
      </c>
      <c r="C736" s="55" t="s">
        <v>56</v>
      </c>
      <c r="D736" s="57">
        <v>34682</v>
      </c>
      <c r="E736" s="55">
        <v>24772</v>
      </c>
      <c r="F736" s="55">
        <v>287</v>
      </c>
      <c r="G736" s="55">
        <v>3</v>
      </c>
      <c r="H736" s="55">
        <v>2</v>
      </c>
      <c r="I736" s="55">
        <v>0</v>
      </c>
      <c r="J736" s="55">
        <v>0</v>
      </c>
    </row>
    <row r="737" spans="1:10" ht="15" x14ac:dyDescent="0.4">
      <c r="A737" s="54">
        <v>45976</v>
      </c>
      <c r="B737" s="55" t="s">
        <v>62</v>
      </c>
      <c r="C737" s="55" t="s">
        <v>56</v>
      </c>
      <c r="D737" s="57">
        <v>9314</v>
      </c>
      <c r="E737" s="55">
        <v>6652</v>
      </c>
      <c r="F737" s="55">
        <v>81</v>
      </c>
      <c r="G737" s="55">
        <v>2</v>
      </c>
      <c r="H737" s="55">
        <v>2</v>
      </c>
      <c r="I737" s="55">
        <v>0</v>
      </c>
      <c r="J737" s="55">
        <v>0</v>
      </c>
    </row>
    <row r="738" spans="1:10" ht="15" x14ac:dyDescent="0.4">
      <c r="A738" s="54">
        <v>45977</v>
      </c>
      <c r="B738" s="55" t="s">
        <v>61</v>
      </c>
      <c r="C738" s="55" t="s">
        <v>56</v>
      </c>
      <c r="D738" s="57">
        <v>16486</v>
      </c>
      <c r="E738" s="55">
        <v>11775</v>
      </c>
      <c r="F738" s="55">
        <v>134</v>
      </c>
      <c r="G738" s="55">
        <v>1</v>
      </c>
      <c r="H738" s="55">
        <v>1</v>
      </c>
      <c r="I738" s="55">
        <v>0</v>
      </c>
      <c r="J738" s="55">
        <v>0</v>
      </c>
    </row>
    <row r="739" spans="1:10" ht="15" x14ac:dyDescent="0.4">
      <c r="A739" s="54">
        <v>45977</v>
      </c>
      <c r="B739" s="55" t="s">
        <v>63</v>
      </c>
      <c r="C739" s="55" t="s">
        <v>58</v>
      </c>
      <c r="D739" s="57">
        <v>7232</v>
      </c>
      <c r="E739" s="55">
        <v>1506</v>
      </c>
      <c r="F739" s="55">
        <v>84</v>
      </c>
      <c r="G739" s="55">
        <v>2</v>
      </c>
      <c r="H739" s="55">
        <v>1</v>
      </c>
      <c r="I739" s="55">
        <v>2</v>
      </c>
      <c r="J739" s="55">
        <v>0</v>
      </c>
    </row>
    <row r="740" spans="1:10" ht="15" x14ac:dyDescent="0.4">
      <c r="A740" s="54">
        <v>45977</v>
      </c>
      <c r="B740" s="55" t="s">
        <v>57</v>
      </c>
      <c r="C740" s="55" t="s">
        <v>58</v>
      </c>
      <c r="D740" s="57">
        <v>20886</v>
      </c>
      <c r="E740" s="55">
        <v>4351</v>
      </c>
      <c r="F740" s="55">
        <v>199</v>
      </c>
      <c r="G740" s="55">
        <v>4</v>
      </c>
      <c r="H740" s="55">
        <v>0</v>
      </c>
      <c r="I740" s="55">
        <v>0</v>
      </c>
      <c r="J740" s="55">
        <v>0</v>
      </c>
    </row>
    <row r="741" spans="1:10" ht="15" x14ac:dyDescent="0.4">
      <c r="A741" s="54">
        <v>45977</v>
      </c>
      <c r="B741" s="55" t="s">
        <v>59</v>
      </c>
      <c r="C741" s="55" t="s">
        <v>60</v>
      </c>
      <c r="D741" s="57">
        <v>27669</v>
      </c>
      <c r="E741" s="55">
        <v>5320</v>
      </c>
      <c r="F741" s="55">
        <v>35</v>
      </c>
      <c r="G741" s="55">
        <v>1</v>
      </c>
      <c r="H741" s="55">
        <v>1</v>
      </c>
      <c r="I741" s="55">
        <v>1</v>
      </c>
      <c r="J741" s="55">
        <v>1</v>
      </c>
    </row>
    <row r="742" spans="1:10" ht="15" x14ac:dyDescent="0.4">
      <c r="A742" s="54">
        <v>45977</v>
      </c>
      <c r="B742" s="55" t="s">
        <v>55</v>
      </c>
      <c r="C742" s="55" t="s">
        <v>56</v>
      </c>
      <c r="D742" s="57">
        <v>33521</v>
      </c>
      <c r="E742" s="55">
        <v>23943</v>
      </c>
      <c r="F742" s="55">
        <v>272</v>
      </c>
      <c r="G742" s="55">
        <v>4</v>
      </c>
      <c r="H742" s="55">
        <v>0</v>
      </c>
      <c r="I742" s="55">
        <v>1</v>
      </c>
      <c r="J742" s="55">
        <v>0</v>
      </c>
    </row>
    <row r="743" spans="1:10" ht="15" x14ac:dyDescent="0.4">
      <c r="A743" s="54">
        <v>45977</v>
      </c>
      <c r="B743" s="55" t="s">
        <v>62</v>
      </c>
      <c r="C743" s="55" t="s">
        <v>56</v>
      </c>
      <c r="D743" s="57">
        <v>9586</v>
      </c>
      <c r="E743" s="55">
        <v>6847</v>
      </c>
      <c r="F743" s="55">
        <v>77</v>
      </c>
      <c r="G743" s="55">
        <v>3</v>
      </c>
      <c r="H743" s="55">
        <v>0</v>
      </c>
      <c r="I743" s="55">
        <v>2</v>
      </c>
      <c r="J743" s="55">
        <v>0</v>
      </c>
    </row>
    <row r="744" spans="1:10" ht="15" x14ac:dyDescent="0.4">
      <c r="A744" s="54">
        <v>45978</v>
      </c>
      <c r="B744" s="55" t="s">
        <v>61</v>
      </c>
      <c r="C744" s="55" t="s">
        <v>56</v>
      </c>
      <c r="D744" s="57">
        <v>15136</v>
      </c>
      <c r="E744" s="55">
        <v>10811</v>
      </c>
      <c r="F744" s="55">
        <v>109</v>
      </c>
      <c r="G744" s="55">
        <v>6</v>
      </c>
      <c r="H744" s="55">
        <v>1</v>
      </c>
      <c r="I744" s="55">
        <v>1</v>
      </c>
      <c r="J744" s="55">
        <v>1</v>
      </c>
    </row>
    <row r="745" spans="1:10" ht="15" x14ac:dyDescent="0.4">
      <c r="A745" s="54">
        <v>45978</v>
      </c>
      <c r="B745" s="55" t="s">
        <v>63</v>
      </c>
      <c r="C745" s="55" t="s">
        <v>58</v>
      </c>
      <c r="D745" s="57">
        <v>6852</v>
      </c>
      <c r="E745" s="55">
        <v>1427</v>
      </c>
      <c r="F745" s="55">
        <v>71</v>
      </c>
      <c r="G745" s="55">
        <v>3</v>
      </c>
      <c r="H745" s="55">
        <v>1</v>
      </c>
      <c r="I745" s="55">
        <v>1</v>
      </c>
      <c r="J745" s="55">
        <v>0</v>
      </c>
    </row>
    <row r="746" spans="1:10" ht="15" x14ac:dyDescent="0.4">
      <c r="A746" s="54">
        <v>45978</v>
      </c>
      <c r="B746" s="55" t="s">
        <v>57</v>
      </c>
      <c r="C746" s="55" t="s">
        <v>58</v>
      </c>
      <c r="D746" s="57">
        <v>23184</v>
      </c>
      <c r="E746" s="55">
        <v>4830</v>
      </c>
      <c r="F746" s="55">
        <v>237</v>
      </c>
      <c r="G746" s="55">
        <v>4</v>
      </c>
      <c r="H746" s="55">
        <v>4</v>
      </c>
      <c r="I746" s="55">
        <v>0</v>
      </c>
      <c r="J746" s="55">
        <v>0</v>
      </c>
    </row>
    <row r="747" spans="1:10" ht="15" x14ac:dyDescent="0.4">
      <c r="A747" s="54">
        <v>45978</v>
      </c>
      <c r="B747" s="55" t="s">
        <v>59</v>
      </c>
      <c r="C747" s="55" t="s">
        <v>60</v>
      </c>
      <c r="D747" s="57">
        <v>27581</v>
      </c>
      <c r="E747" s="55">
        <v>5304</v>
      </c>
      <c r="F747" s="55">
        <v>34</v>
      </c>
      <c r="G747" s="55">
        <v>1</v>
      </c>
      <c r="H747" s="55">
        <v>1</v>
      </c>
      <c r="I747" s="55">
        <v>1</v>
      </c>
      <c r="J747" s="55">
        <v>0</v>
      </c>
    </row>
    <row r="748" spans="1:10" ht="15" x14ac:dyDescent="0.4">
      <c r="A748" s="54">
        <v>45978</v>
      </c>
      <c r="B748" s="55" t="s">
        <v>55</v>
      </c>
      <c r="C748" s="55" t="s">
        <v>56</v>
      </c>
      <c r="D748" s="57">
        <v>30564</v>
      </c>
      <c r="E748" s="55">
        <v>21831</v>
      </c>
      <c r="F748" s="55">
        <v>265</v>
      </c>
      <c r="G748" s="55">
        <v>4</v>
      </c>
      <c r="H748" s="55">
        <v>2</v>
      </c>
      <c r="I748" s="55">
        <v>0</v>
      </c>
      <c r="J748" s="55">
        <v>0</v>
      </c>
    </row>
    <row r="749" spans="1:10" ht="15" x14ac:dyDescent="0.4">
      <c r="A749" s="54">
        <v>45978</v>
      </c>
      <c r="B749" s="55" t="s">
        <v>62</v>
      </c>
      <c r="C749" s="55" t="s">
        <v>56</v>
      </c>
      <c r="D749" s="57">
        <v>10221</v>
      </c>
      <c r="E749" s="55">
        <v>7300</v>
      </c>
      <c r="F749" s="55">
        <v>71</v>
      </c>
      <c r="G749" s="55">
        <v>2</v>
      </c>
      <c r="H749" s="55">
        <v>3</v>
      </c>
      <c r="I749" s="55">
        <v>3</v>
      </c>
      <c r="J749" s="55">
        <v>0</v>
      </c>
    </row>
    <row r="750" spans="1:10" ht="15" x14ac:dyDescent="0.4">
      <c r="A750" s="54">
        <v>45979</v>
      </c>
      <c r="B750" s="55" t="s">
        <v>61</v>
      </c>
      <c r="C750" s="55" t="s">
        <v>56</v>
      </c>
      <c r="D750" s="57">
        <v>16214</v>
      </c>
      <c r="E750" s="55">
        <v>11581</v>
      </c>
      <c r="F750" s="55">
        <v>119</v>
      </c>
      <c r="G750" s="55">
        <v>4</v>
      </c>
      <c r="H750" s="55">
        <v>0</v>
      </c>
      <c r="I750" s="55">
        <v>0</v>
      </c>
      <c r="J750" s="55">
        <v>0</v>
      </c>
    </row>
    <row r="751" spans="1:10" ht="15" x14ac:dyDescent="0.4">
      <c r="A751" s="54">
        <v>45979</v>
      </c>
      <c r="B751" s="55" t="s">
        <v>63</v>
      </c>
      <c r="C751" s="55" t="s">
        <v>58</v>
      </c>
      <c r="D751" s="57">
        <v>6880</v>
      </c>
      <c r="E751" s="55">
        <v>1433</v>
      </c>
      <c r="F751" s="55">
        <v>64</v>
      </c>
      <c r="G751" s="55">
        <v>0</v>
      </c>
      <c r="H751" s="55">
        <v>1</v>
      </c>
      <c r="I751" s="55">
        <v>1</v>
      </c>
      <c r="J751" s="55">
        <v>0</v>
      </c>
    </row>
    <row r="752" spans="1:10" ht="15" x14ac:dyDescent="0.4">
      <c r="A752" s="54">
        <v>45979</v>
      </c>
      <c r="B752" s="55" t="s">
        <v>57</v>
      </c>
      <c r="C752" s="55" t="s">
        <v>58</v>
      </c>
      <c r="D752" s="57">
        <v>24804</v>
      </c>
      <c r="E752" s="55">
        <v>5167</v>
      </c>
      <c r="F752" s="55">
        <v>271</v>
      </c>
      <c r="G752" s="55">
        <v>5</v>
      </c>
      <c r="H752" s="55">
        <v>1</v>
      </c>
      <c r="I752" s="55">
        <v>0</v>
      </c>
      <c r="J752" s="55">
        <v>0</v>
      </c>
    </row>
    <row r="753" spans="1:10" ht="15" x14ac:dyDescent="0.4">
      <c r="A753" s="54">
        <v>45979</v>
      </c>
      <c r="B753" s="55" t="s">
        <v>59</v>
      </c>
      <c r="C753" s="55" t="s">
        <v>60</v>
      </c>
      <c r="D753" s="57">
        <v>25423</v>
      </c>
      <c r="E753" s="55">
        <v>4889</v>
      </c>
      <c r="F753" s="55">
        <v>33</v>
      </c>
      <c r="G753" s="55">
        <v>0</v>
      </c>
      <c r="H753" s="55">
        <v>0</v>
      </c>
      <c r="I753" s="55">
        <v>0</v>
      </c>
      <c r="J753" s="55">
        <v>0</v>
      </c>
    </row>
    <row r="754" spans="1:10" ht="15" x14ac:dyDescent="0.4">
      <c r="A754" s="54">
        <v>45979</v>
      </c>
      <c r="B754" s="55" t="s">
        <v>55</v>
      </c>
      <c r="C754" s="55" t="s">
        <v>56</v>
      </c>
      <c r="D754" s="57">
        <v>30818</v>
      </c>
      <c r="E754" s="55">
        <v>22012</v>
      </c>
      <c r="F754" s="55">
        <v>237</v>
      </c>
      <c r="G754" s="55">
        <v>4</v>
      </c>
      <c r="H754" s="55">
        <v>0</v>
      </c>
      <c r="I754" s="55">
        <v>0</v>
      </c>
      <c r="J754" s="55">
        <v>0</v>
      </c>
    </row>
    <row r="755" spans="1:10" ht="15" x14ac:dyDescent="0.4">
      <c r="A755" s="54">
        <v>45979</v>
      </c>
      <c r="B755" s="55" t="s">
        <v>62</v>
      </c>
      <c r="C755" s="55" t="s">
        <v>56</v>
      </c>
      <c r="D755" s="57">
        <v>9961</v>
      </c>
      <c r="E755" s="55">
        <v>7115</v>
      </c>
      <c r="F755" s="55">
        <v>84</v>
      </c>
      <c r="G755" s="55">
        <v>4</v>
      </c>
      <c r="H755" s="55">
        <v>0</v>
      </c>
      <c r="I755" s="55">
        <v>1</v>
      </c>
      <c r="J755" s="55">
        <v>0</v>
      </c>
    </row>
    <row r="756" spans="1:10" ht="15" x14ac:dyDescent="0.4">
      <c r="A756" s="54">
        <v>45980</v>
      </c>
      <c r="B756" s="55" t="s">
        <v>61</v>
      </c>
      <c r="C756" s="55" t="s">
        <v>56</v>
      </c>
      <c r="D756" s="57">
        <v>17054</v>
      </c>
      <c r="E756" s="55">
        <v>12181</v>
      </c>
      <c r="F756" s="55">
        <v>115</v>
      </c>
      <c r="G756" s="55">
        <v>0</v>
      </c>
      <c r="H756" s="55">
        <v>0</v>
      </c>
      <c r="I756" s="55">
        <v>1</v>
      </c>
      <c r="J756" s="55">
        <v>0</v>
      </c>
    </row>
    <row r="757" spans="1:10" ht="15" x14ac:dyDescent="0.4">
      <c r="A757" s="54">
        <v>45980</v>
      </c>
      <c r="B757" s="55" t="s">
        <v>63</v>
      </c>
      <c r="C757" s="55" t="s">
        <v>58</v>
      </c>
      <c r="D757" s="57">
        <v>6737</v>
      </c>
      <c r="E757" s="55">
        <v>1403</v>
      </c>
      <c r="F757" s="55">
        <v>69</v>
      </c>
      <c r="G757" s="55">
        <v>2</v>
      </c>
      <c r="H757" s="55">
        <v>2</v>
      </c>
      <c r="I757" s="55">
        <v>0</v>
      </c>
      <c r="J757" s="55">
        <v>0</v>
      </c>
    </row>
    <row r="758" spans="1:10" ht="15" x14ac:dyDescent="0.4">
      <c r="A758" s="54">
        <v>45980</v>
      </c>
      <c r="B758" s="55" t="s">
        <v>57</v>
      </c>
      <c r="C758" s="55" t="s">
        <v>58</v>
      </c>
      <c r="D758" s="57">
        <v>23418</v>
      </c>
      <c r="E758" s="55">
        <v>4878</v>
      </c>
      <c r="F758" s="55">
        <v>220</v>
      </c>
      <c r="G758" s="55">
        <v>6</v>
      </c>
      <c r="H758" s="55">
        <v>0</v>
      </c>
      <c r="I758" s="55">
        <v>2</v>
      </c>
      <c r="J758" s="55">
        <v>0</v>
      </c>
    </row>
    <row r="759" spans="1:10" ht="15" x14ac:dyDescent="0.4">
      <c r="A759" s="54">
        <v>45980</v>
      </c>
      <c r="B759" s="55" t="s">
        <v>59</v>
      </c>
      <c r="C759" s="55" t="s">
        <v>60</v>
      </c>
      <c r="D759" s="57">
        <v>27649</v>
      </c>
      <c r="E759" s="55">
        <v>5317</v>
      </c>
      <c r="F759" s="55">
        <v>38</v>
      </c>
      <c r="G759" s="55">
        <v>0</v>
      </c>
      <c r="H759" s="55">
        <v>0</v>
      </c>
      <c r="I759" s="55">
        <v>0</v>
      </c>
      <c r="J759" s="55">
        <v>0</v>
      </c>
    </row>
    <row r="760" spans="1:10" ht="15" x14ac:dyDescent="0.4">
      <c r="A760" s="54">
        <v>45980</v>
      </c>
      <c r="B760" s="55" t="s">
        <v>55</v>
      </c>
      <c r="C760" s="55" t="s">
        <v>56</v>
      </c>
      <c r="D760" s="57">
        <v>31505</v>
      </c>
      <c r="E760" s="55">
        <v>22503</v>
      </c>
      <c r="F760" s="55">
        <v>258</v>
      </c>
      <c r="G760" s="55">
        <v>6</v>
      </c>
      <c r="H760" s="55">
        <v>2</v>
      </c>
      <c r="I760" s="55">
        <v>1</v>
      </c>
      <c r="J760" s="55">
        <v>0</v>
      </c>
    </row>
    <row r="761" spans="1:10" ht="15" x14ac:dyDescent="0.4">
      <c r="A761" s="54">
        <v>45980</v>
      </c>
      <c r="B761" s="55" t="s">
        <v>62</v>
      </c>
      <c r="C761" s="55" t="s">
        <v>56</v>
      </c>
      <c r="D761" s="57">
        <v>8545</v>
      </c>
      <c r="E761" s="55">
        <v>6103</v>
      </c>
      <c r="F761" s="55">
        <v>72</v>
      </c>
      <c r="G761" s="55">
        <v>2</v>
      </c>
      <c r="H761" s="55">
        <v>0</v>
      </c>
      <c r="I761" s="55">
        <v>2</v>
      </c>
      <c r="J761" s="55">
        <v>0</v>
      </c>
    </row>
    <row r="762" spans="1:10" ht="15" x14ac:dyDescent="0.4">
      <c r="A762" s="54">
        <v>45981</v>
      </c>
      <c r="B762" s="55" t="s">
        <v>61</v>
      </c>
      <c r="C762" s="55" t="s">
        <v>56</v>
      </c>
      <c r="D762" s="57">
        <v>17607</v>
      </c>
      <c r="E762" s="55">
        <v>12576</v>
      </c>
      <c r="F762" s="55">
        <v>118</v>
      </c>
      <c r="G762" s="55">
        <v>4</v>
      </c>
      <c r="H762" s="55">
        <v>0</v>
      </c>
      <c r="I762" s="55">
        <v>0</v>
      </c>
      <c r="J762" s="55">
        <v>1</v>
      </c>
    </row>
    <row r="763" spans="1:10" ht="15" x14ac:dyDescent="0.4">
      <c r="A763" s="54">
        <v>45981</v>
      </c>
      <c r="B763" s="55" t="s">
        <v>63</v>
      </c>
      <c r="C763" s="55" t="s">
        <v>58</v>
      </c>
      <c r="D763" s="57">
        <v>6211</v>
      </c>
      <c r="E763" s="55">
        <v>1293</v>
      </c>
      <c r="F763" s="55">
        <v>67</v>
      </c>
      <c r="G763" s="55">
        <v>1</v>
      </c>
      <c r="H763" s="55">
        <v>2</v>
      </c>
      <c r="I763" s="55">
        <v>0</v>
      </c>
      <c r="J763" s="55">
        <v>0</v>
      </c>
    </row>
    <row r="764" spans="1:10" ht="15" x14ac:dyDescent="0.4">
      <c r="A764" s="54">
        <v>45981</v>
      </c>
      <c r="B764" s="55" t="s">
        <v>57</v>
      </c>
      <c r="C764" s="55" t="s">
        <v>58</v>
      </c>
      <c r="D764" s="57">
        <v>21083</v>
      </c>
      <c r="E764" s="55">
        <v>4392</v>
      </c>
      <c r="F764" s="55">
        <v>220</v>
      </c>
      <c r="G764" s="55">
        <v>3</v>
      </c>
      <c r="H764" s="55">
        <v>0</v>
      </c>
      <c r="I764" s="55">
        <v>2</v>
      </c>
      <c r="J764" s="55">
        <v>0</v>
      </c>
    </row>
    <row r="765" spans="1:10" ht="15" x14ac:dyDescent="0.4">
      <c r="A765" s="54">
        <v>45981</v>
      </c>
      <c r="B765" s="55" t="s">
        <v>59</v>
      </c>
      <c r="C765" s="55" t="s">
        <v>60</v>
      </c>
      <c r="D765" s="57">
        <v>23853</v>
      </c>
      <c r="E765" s="55">
        <v>4587</v>
      </c>
      <c r="F765" s="55">
        <v>32</v>
      </c>
      <c r="G765" s="55">
        <v>0</v>
      </c>
      <c r="H765" s="55">
        <v>0</v>
      </c>
      <c r="I765" s="55">
        <v>2</v>
      </c>
      <c r="J765" s="55">
        <v>1</v>
      </c>
    </row>
    <row r="766" spans="1:10" ht="15" x14ac:dyDescent="0.4">
      <c r="A766" s="54">
        <v>45981</v>
      </c>
      <c r="B766" s="55" t="s">
        <v>55</v>
      </c>
      <c r="C766" s="55" t="s">
        <v>56</v>
      </c>
      <c r="D766" s="57">
        <v>34877</v>
      </c>
      <c r="E766" s="55">
        <v>24912</v>
      </c>
      <c r="F766" s="55">
        <v>298</v>
      </c>
      <c r="G766" s="55">
        <v>4</v>
      </c>
      <c r="H766" s="55">
        <v>1</v>
      </c>
      <c r="I766" s="55">
        <v>0</v>
      </c>
      <c r="J766" s="55">
        <v>0</v>
      </c>
    </row>
    <row r="767" spans="1:10" ht="15" x14ac:dyDescent="0.4">
      <c r="A767" s="54">
        <v>45981</v>
      </c>
      <c r="B767" s="55" t="s">
        <v>62</v>
      </c>
      <c r="C767" s="55" t="s">
        <v>56</v>
      </c>
      <c r="D767" s="57">
        <v>9913</v>
      </c>
      <c r="E767" s="55">
        <v>7080</v>
      </c>
      <c r="F767" s="55">
        <v>74</v>
      </c>
      <c r="G767" s="55">
        <v>3</v>
      </c>
      <c r="H767" s="55">
        <v>3</v>
      </c>
      <c r="I767" s="55">
        <v>0</v>
      </c>
      <c r="J767" s="55">
        <v>0</v>
      </c>
    </row>
    <row r="768" spans="1:10" ht="15" x14ac:dyDescent="0.4">
      <c r="A768" s="54">
        <v>45982</v>
      </c>
      <c r="B768" s="55" t="s">
        <v>61</v>
      </c>
      <c r="C768" s="55" t="s">
        <v>56</v>
      </c>
      <c r="D768" s="57">
        <v>16250</v>
      </c>
      <c r="E768" s="55">
        <v>11607</v>
      </c>
      <c r="F768" s="55">
        <v>144</v>
      </c>
      <c r="G768" s="55">
        <v>3</v>
      </c>
      <c r="H768" s="55">
        <v>0</v>
      </c>
      <c r="I768" s="55">
        <v>0</v>
      </c>
      <c r="J768" s="55">
        <v>0</v>
      </c>
    </row>
    <row r="769" spans="1:10" ht="15" x14ac:dyDescent="0.4">
      <c r="A769" s="54">
        <v>45982</v>
      </c>
      <c r="B769" s="55" t="s">
        <v>63</v>
      </c>
      <c r="C769" s="55" t="s">
        <v>58</v>
      </c>
      <c r="D769" s="57">
        <v>7007</v>
      </c>
      <c r="E769" s="55">
        <v>1459</v>
      </c>
      <c r="F769" s="55">
        <v>84</v>
      </c>
      <c r="G769" s="55">
        <v>0</v>
      </c>
      <c r="H769" s="55">
        <v>0</v>
      </c>
      <c r="I769" s="55">
        <v>0</v>
      </c>
      <c r="J769" s="55">
        <v>0</v>
      </c>
    </row>
    <row r="770" spans="1:10" ht="15" x14ac:dyDescent="0.4">
      <c r="A770" s="54">
        <v>45982</v>
      </c>
      <c r="B770" s="55" t="s">
        <v>57</v>
      </c>
      <c r="C770" s="55" t="s">
        <v>58</v>
      </c>
      <c r="D770" s="57">
        <v>23669</v>
      </c>
      <c r="E770" s="55">
        <v>4931</v>
      </c>
      <c r="F770" s="55">
        <v>219</v>
      </c>
      <c r="G770" s="55">
        <v>1</v>
      </c>
      <c r="H770" s="55">
        <v>0</v>
      </c>
      <c r="I770" s="55">
        <v>1</v>
      </c>
      <c r="J770" s="55">
        <v>0</v>
      </c>
    </row>
    <row r="771" spans="1:10" ht="15" x14ac:dyDescent="0.4">
      <c r="A771" s="54">
        <v>45982</v>
      </c>
      <c r="B771" s="55" t="s">
        <v>59</v>
      </c>
      <c r="C771" s="55" t="s">
        <v>60</v>
      </c>
      <c r="D771" s="57">
        <v>26620</v>
      </c>
      <c r="E771" s="55">
        <v>5119</v>
      </c>
      <c r="F771" s="55">
        <v>34</v>
      </c>
      <c r="G771" s="55">
        <v>3</v>
      </c>
      <c r="H771" s="55">
        <v>0</v>
      </c>
      <c r="I771" s="55">
        <v>0</v>
      </c>
      <c r="J771" s="55">
        <v>0</v>
      </c>
    </row>
    <row r="772" spans="1:10" ht="15" x14ac:dyDescent="0.4">
      <c r="A772" s="54">
        <v>45982</v>
      </c>
      <c r="B772" s="55" t="s">
        <v>55</v>
      </c>
      <c r="C772" s="55" t="s">
        <v>56</v>
      </c>
      <c r="D772" s="57">
        <v>33395</v>
      </c>
      <c r="E772" s="55">
        <v>23853</v>
      </c>
      <c r="F772" s="55">
        <v>271</v>
      </c>
      <c r="G772" s="55">
        <v>11</v>
      </c>
      <c r="H772" s="55">
        <v>1</v>
      </c>
      <c r="I772" s="55">
        <v>2</v>
      </c>
      <c r="J772" s="55">
        <v>0</v>
      </c>
    </row>
    <row r="773" spans="1:10" ht="15" x14ac:dyDescent="0.4">
      <c r="A773" s="54">
        <v>45982</v>
      </c>
      <c r="B773" s="55" t="s">
        <v>62</v>
      </c>
      <c r="C773" s="55" t="s">
        <v>56</v>
      </c>
      <c r="D773" s="57">
        <v>9640</v>
      </c>
      <c r="E773" s="55">
        <v>6885</v>
      </c>
      <c r="F773" s="55">
        <v>72</v>
      </c>
      <c r="G773" s="55">
        <v>1</v>
      </c>
      <c r="H773" s="55">
        <v>2</v>
      </c>
      <c r="I773" s="55">
        <v>0</v>
      </c>
      <c r="J773" s="55">
        <v>1</v>
      </c>
    </row>
    <row r="774" spans="1:10" ht="15" x14ac:dyDescent="0.4">
      <c r="A774" s="54">
        <v>45983</v>
      </c>
      <c r="B774" s="55" t="s">
        <v>61</v>
      </c>
      <c r="C774" s="55" t="s">
        <v>56</v>
      </c>
      <c r="D774" s="57">
        <v>16997</v>
      </c>
      <c r="E774" s="55">
        <v>12140</v>
      </c>
      <c r="F774" s="55">
        <v>127</v>
      </c>
      <c r="G774" s="55">
        <v>1</v>
      </c>
      <c r="H774" s="55">
        <v>1</v>
      </c>
      <c r="I774" s="55">
        <v>0</v>
      </c>
      <c r="J774" s="55">
        <v>0</v>
      </c>
    </row>
    <row r="775" spans="1:10" ht="15" x14ac:dyDescent="0.4">
      <c r="A775" s="54">
        <v>45983</v>
      </c>
      <c r="B775" s="55" t="s">
        <v>63</v>
      </c>
      <c r="C775" s="55" t="s">
        <v>58</v>
      </c>
      <c r="D775" s="57">
        <v>7429</v>
      </c>
      <c r="E775" s="55">
        <v>1547</v>
      </c>
      <c r="F775" s="55">
        <v>68</v>
      </c>
      <c r="G775" s="55">
        <v>2</v>
      </c>
      <c r="H775" s="55">
        <v>1</v>
      </c>
      <c r="I775" s="55">
        <v>1</v>
      </c>
      <c r="J775" s="55">
        <v>0</v>
      </c>
    </row>
    <row r="776" spans="1:10" ht="15" x14ac:dyDescent="0.4">
      <c r="A776" s="54">
        <v>45983</v>
      </c>
      <c r="B776" s="55" t="s">
        <v>57</v>
      </c>
      <c r="C776" s="55" t="s">
        <v>58</v>
      </c>
      <c r="D776" s="57">
        <v>21848</v>
      </c>
      <c r="E776" s="55">
        <v>4551</v>
      </c>
      <c r="F776" s="55">
        <v>255</v>
      </c>
      <c r="G776" s="55">
        <v>1</v>
      </c>
      <c r="H776" s="55">
        <v>1</v>
      </c>
      <c r="I776" s="55">
        <v>1</v>
      </c>
      <c r="J776" s="55">
        <v>0</v>
      </c>
    </row>
    <row r="777" spans="1:10" ht="15" x14ac:dyDescent="0.4">
      <c r="A777" s="54">
        <v>45983</v>
      </c>
      <c r="B777" s="55" t="s">
        <v>59</v>
      </c>
      <c r="C777" s="55" t="s">
        <v>60</v>
      </c>
      <c r="D777" s="57">
        <v>26790</v>
      </c>
      <c r="E777" s="55">
        <v>5151</v>
      </c>
      <c r="F777" s="55">
        <v>32</v>
      </c>
      <c r="G777" s="55">
        <v>1</v>
      </c>
      <c r="H777" s="55">
        <v>0</v>
      </c>
      <c r="I777" s="55">
        <v>0</v>
      </c>
      <c r="J777" s="55">
        <v>0</v>
      </c>
    </row>
    <row r="778" spans="1:10" ht="15" x14ac:dyDescent="0.4">
      <c r="A778" s="54">
        <v>45983</v>
      </c>
      <c r="B778" s="55" t="s">
        <v>55</v>
      </c>
      <c r="C778" s="55" t="s">
        <v>56</v>
      </c>
      <c r="D778" s="57">
        <v>34489</v>
      </c>
      <c r="E778" s="55">
        <v>24634</v>
      </c>
      <c r="F778" s="55">
        <v>276</v>
      </c>
      <c r="G778" s="55">
        <v>2</v>
      </c>
      <c r="H778" s="55">
        <v>3</v>
      </c>
      <c r="I778" s="55">
        <v>0</v>
      </c>
      <c r="J778" s="55">
        <v>0</v>
      </c>
    </row>
    <row r="779" spans="1:10" ht="15" x14ac:dyDescent="0.4">
      <c r="A779" s="54">
        <v>45983</v>
      </c>
      <c r="B779" s="55" t="s">
        <v>62</v>
      </c>
      <c r="C779" s="55" t="s">
        <v>56</v>
      </c>
      <c r="D779" s="57">
        <v>10183</v>
      </c>
      <c r="E779" s="55">
        <v>7273</v>
      </c>
      <c r="F779" s="55">
        <v>82</v>
      </c>
      <c r="G779" s="55">
        <v>3</v>
      </c>
      <c r="H779" s="55">
        <v>0</v>
      </c>
      <c r="I779" s="55">
        <v>0</v>
      </c>
      <c r="J779" s="55">
        <v>0</v>
      </c>
    </row>
    <row r="780" spans="1:10" ht="15" x14ac:dyDescent="0.4">
      <c r="A780" s="54">
        <v>45984</v>
      </c>
      <c r="B780" s="55" t="s">
        <v>61</v>
      </c>
      <c r="C780" s="55" t="s">
        <v>56</v>
      </c>
      <c r="D780" s="57">
        <v>16528</v>
      </c>
      <c r="E780" s="55">
        <v>11805</v>
      </c>
      <c r="F780" s="55">
        <v>134</v>
      </c>
      <c r="G780" s="55">
        <v>2</v>
      </c>
      <c r="H780" s="55">
        <v>0</v>
      </c>
      <c r="I780" s="55">
        <v>0</v>
      </c>
      <c r="J780" s="55">
        <v>0</v>
      </c>
    </row>
    <row r="781" spans="1:10" ht="15" x14ac:dyDescent="0.4">
      <c r="A781" s="54">
        <v>45984</v>
      </c>
      <c r="B781" s="55" t="s">
        <v>63</v>
      </c>
      <c r="C781" s="55" t="s">
        <v>58</v>
      </c>
      <c r="D781" s="57">
        <v>6398</v>
      </c>
      <c r="E781" s="55">
        <v>1332</v>
      </c>
      <c r="F781" s="55">
        <v>63</v>
      </c>
      <c r="G781" s="55">
        <v>3</v>
      </c>
      <c r="H781" s="55">
        <v>1</v>
      </c>
      <c r="I781" s="55">
        <v>0</v>
      </c>
      <c r="J781" s="55">
        <v>0</v>
      </c>
    </row>
    <row r="782" spans="1:10" ht="15" x14ac:dyDescent="0.4">
      <c r="A782" s="54">
        <v>45984</v>
      </c>
      <c r="B782" s="55" t="s">
        <v>57</v>
      </c>
      <c r="C782" s="55" t="s">
        <v>58</v>
      </c>
      <c r="D782" s="57">
        <v>21094</v>
      </c>
      <c r="E782" s="55">
        <v>4394</v>
      </c>
      <c r="F782" s="55">
        <v>232</v>
      </c>
      <c r="G782" s="55">
        <v>3</v>
      </c>
      <c r="H782" s="55">
        <v>0</v>
      </c>
      <c r="I782" s="55">
        <v>1</v>
      </c>
      <c r="J782" s="55">
        <v>0</v>
      </c>
    </row>
    <row r="783" spans="1:10" ht="15" x14ac:dyDescent="0.4">
      <c r="A783" s="54">
        <v>45984</v>
      </c>
      <c r="B783" s="55" t="s">
        <v>59</v>
      </c>
      <c r="C783" s="55" t="s">
        <v>60</v>
      </c>
      <c r="D783" s="57">
        <v>24146</v>
      </c>
      <c r="E783" s="55">
        <v>4643</v>
      </c>
      <c r="F783" s="55">
        <v>29</v>
      </c>
      <c r="G783" s="55">
        <v>1</v>
      </c>
      <c r="H783" s="55">
        <v>0</v>
      </c>
      <c r="I783" s="55">
        <v>0</v>
      </c>
      <c r="J783" s="55">
        <v>0</v>
      </c>
    </row>
    <row r="784" spans="1:10" ht="15" x14ac:dyDescent="0.4">
      <c r="A784" s="54">
        <v>45984</v>
      </c>
      <c r="B784" s="55" t="s">
        <v>55</v>
      </c>
      <c r="C784" s="55" t="s">
        <v>56</v>
      </c>
      <c r="D784" s="57">
        <v>33919</v>
      </c>
      <c r="E784" s="55">
        <v>24227</v>
      </c>
      <c r="F784" s="55">
        <v>250</v>
      </c>
      <c r="G784" s="55">
        <v>5</v>
      </c>
      <c r="H784" s="55">
        <v>1</v>
      </c>
      <c r="I784" s="55">
        <v>1</v>
      </c>
      <c r="J784" s="55">
        <v>0</v>
      </c>
    </row>
    <row r="785" spans="1:10" ht="15" x14ac:dyDescent="0.4">
      <c r="A785" s="54">
        <v>45984</v>
      </c>
      <c r="B785" s="55" t="s">
        <v>62</v>
      </c>
      <c r="C785" s="55" t="s">
        <v>56</v>
      </c>
      <c r="D785" s="57">
        <v>9057</v>
      </c>
      <c r="E785" s="55">
        <v>6469</v>
      </c>
      <c r="F785" s="55">
        <v>70</v>
      </c>
      <c r="G785" s="55">
        <v>4</v>
      </c>
      <c r="H785" s="55">
        <v>0</v>
      </c>
      <c r="I785" s="55">
        <v>2</v>
      </c>
      <c r="J785" s="55">
        <v>1</v>
      </c>
    </row>
    <row r="786" spans="1:10" ht="15" x14ac:dyDescent="0.4">
      <c r="A786" s="54">
        <v>45985</v>
      </c>
      <c r="B786" s="55" t="s">
        <v>61</v>
      </c>
      <c r="C786" s="55" t="s">
        <v>56</v>
      </c>
      <c r="D786" s="57">
        <v>17109</v>
      </c>
      <c r="E786" s="55">
        <v>12220</v>
      </c>
      <c r="F786" s="55">
        <v>153</v>
      </c>
      <c r="G786" s="55">
        <v>8</v>
      </c>
      <c r="H786" s="55">
        <v>0</v>
      </c>
      <c r="I786" s="55">
        <v>0</v>
      </c>
      <c r="J786" s="55">
        <v>0</v>
      </c>
    </row>
    <row r="787" spans="1:10" ht="15" x14ac:dyDescent="0.4">
      <c r="A787" s="54">
        <v>45985</v>
      </c>
      <c r="B787" s="55" t="s">
        <v>63</v>
      </c>
      <c r="C787" s="55" t="s">
        <v>58</v>
      </c>
      <c r="D787" s="57">
        <v>6472</v>
      </c>
      <c r="E787" s="55">
        <v>1348</v>
      </c>
      <c r="F787" s="55">
        <v>68</v>
      </c>
      <c r="G787" s="55">
        <v>5</v>
      </c>
      <c r="H787" s="55">
        <v>0</v>
      </c>
      <c r="I787" s="55">
        <v>0</v>
      </c>
      <c r="J787" s="55">
        <v>0</v>
      </c>
    </row>
    <row r="788" spans="1:10" ht="15" x14ac:dyDescent="0.4">
      <c r="A788" s="54">
        <v>45985</v>
      </c>
      <c r="B788" s="55" t="s">
        <v>57</v>
      </c>
      <c r="C788" s="55" t="s">
        <v>58</v>
      </c>
      <c r="D788" s="57">
        <v>24701</v>
      </c>
      <c r="E788" s="55">
        <v>5146</v>
      </c>
      <c r="F788" s="55">
        <v>258</v>
      </c>
      <c r="G788" s="55">
        <v>3</v>
      </c>
      <c r="H788" s="55">
        <v>1</v>
      </c>
      <c r="I788" s="55">
        <v>0</v>
      </c>
      <c r="J788" s="55">
        <v>0</v>
      </c>
    </row>
    <row r="789" spans="1:10" ht="15" x14ac:dyDescent="0.4">
      <c r="A789" s="54">
        <v>45985</v>
      </c>
      <c r="B789" s="55" t="s">
        <v>59</v>
      </c>
      <c r="C789" s="55" t="s">
        <v>60</v>
      </c>
      <c r="D789" s="57">
        <v>26391</v>
      </c>
      <c r="E789" s="55">
        <v>5075</v>
      </c>
      <c r="F789" s="55">
        <v>28</v>
      </c>
      <c r="G789" s="55">
        <v>1</v>
      </c>
      <c r="H789" s="55">
        <v>1</v>
      </c>
      <c r="I789" s="55">
        <v>0</v>
      </c>
      <c r="J789" s="55">
        <v>0</v>
      </c>
    </row>
    <row r="790" spans="1:10" ht="15" x14ac:dyDescent="0.4">
      <c r="A790" s="54">
        <v>45985</v>
      </c>
      <c r="B790" s="55" t="s">
        <v>55</v>
      </c>
      <c r="C790" s="55" t="s">
        <v>56</v>
      </c>
      <c r="D790" s="57">
        <v>32491</v>
      </c>
      <c r="E790" s="55">
        <v>23207</v>
      </c>
      <c r="F790" s="55">
        <v>263</v>
      </c>
      <c r="G790" s="55">
        <v>7</v>
      </c>
      <c r="H790" s="55">
        <v>0</v>
      </c>
      <c r="I790" s="55">
        <v>2</v>
      </c>
      <c r="J790" s="55">
        <v>0</v>
      </c>
    </row>
    <row r="791" spans="1:10" ht="15" x14ac:dyDescent="0.4">
      <c r="A791" s="54">
        <v>45985</v>
      </c>
      <c r="B791" s="55" t="s">
        <v>62</v>
      </c>
      <c r="C791" s="55" t="s">
        <v>56</v>
      </c>
      <c r="D791" s="57">
        <v>8574</v>
      </c>
      <c r="E791" s="55">
        <v>6124</v>
      </c>
      <c r="F791" s="55">
        <v>58</v>
      </c>
      <c r="G791" s="55">
        <v>1</v>
      </c>
      <c r="H791" s="55">
        <v>1</v>
      </c>
      <c r="I791" s="55">
        <v>0</v>
      </c>
      <c r="J791" s="55">
        <v>0</v>
      </c>
    </row>
    <row r="792" spans="1:10" ht="15" x14ac:dyDescent="0.4">
      <c r="A792" s="54">
        <v>45986</v>
      </c>
      <c r="B792" s="55" t="s">
        <v>61</v>
      </c>
      <c r="C792" s="55" t="s">
        <v>56</v>
      </c>
      <c r="D792" s="57">
        <v>15378</v>
      </c>
      <c r="E792" s="55">
        <v>10984</v>
      </c>
      <c r="F792" s="55">
        <v>105</v>
      </c>
      <c r="G792" s="55">
        <v>7</v>
      </c>
      <c r="H792" s="55">
        <v>3</v>
      </c>
      <c r="I792" s="55">
        <v>0</v>
      </c>
      <c r="J792" s="55">
        <v>0</v>
      </c>
    </row>
    <row r="793" spans="1:10" ht="15" x14ac:dyDescent="0.4">
      <c r="A793" s="54">
        <v>45986</v>
      </c>
      <c r="B793" s="55" t="s">
        <v>63</v>
      </c>
      <c r="C793" s="55" t="s">
        <v>58</v>
      </c>
      <c r="D793" s="57">
        <v>7491</v>
      </c>
      <c r="E793" s="55">
        <v>1560</v>
      </c>
      <c r="F793" s="55">
        <v>73</v>
      </c>
      <c r="G793" s="55">
        <v>1</v>
      </c>
      <c r="H793" s="55">
        <v>2</v>
      </c>
      <c r="I793" s="55">
        <v>0</v>
      </c>
      <c r="J793" s="55">
        <v>0</v>
      </c>
    </row>
    <row r="794" spans="1:10" ht="15" x14ac:dyDescent="0.4">
      <c r="A794" s="54">
        <v>45986</v>
      </c>
      <c r="B794" s="55" t="s">
        <v>57</v>
      </c>
      <c r="C794" s="55" t="s">
        <v>58</v>
      </c>
      <c r="D794" s="57">
        <v>24214</v>
      </c>
      <c r="E794" s="55">
        <v>5044</v>
      </c>
      <c r="F794" s="55">
        <v>265</v>
      </c>
      <c r="G794" s="55">
        <v>4</v>
      </c>
      <c r="H794" s="55">
        <v>0</v>
      </c>
      <c r="I794" s="55">
        <v>0</v>
      </c>
      <c r="J794" s="55">
        <v>0</v>
      </c>
    </row>
    <row r="795" spans="1:10" ht="15" x14ac:dyDescent="0.4">
      <c r="A795" s="54">
        <v>45986</v>
      </c>
      <c r="B795" s="55" t="s">
        <v>59</v>
      </c>
      <c r="C795" s="55" t="s">
        <v>60</v>
      </c>
      <c r="D795" s="57">
        <v>26194</v>
      </c>
      <c r="E795" s="55">
        <v>5037</v>
      </c>
      <c r="F795" s="55">
        <v>35</v>
      </c>
      <c r="G795" s="55">
        <v>2</v>
      </c>
      <c r="H795" s="55">
        <v>0</v>
      </c>
      <c r="I795" s="55">
        <v>0</v>
      </c>
      <c r="J795" s="55">
        <v>0</v>
      </c>
    </row>
    <row r="796" spans="1:10" ht="15" x14ac:dyDescent="0.4">
      <c r="A796" s="54">
        <v>45986</v>
      </c>
      <c r="B796" s="55" t="s">
        <v>55</v>
      </c>
      <c r="C796" s="55" t="s">
        <v>56</v>
      </c>
      <c r="D796" s="57">
        <v>30365</v>
      </c>
      <c r="E796" s="55">
        <v>21689</v>
      </c>
      <c r="F796" s="55">
        <v>217</v>
      </c>
      <c r="G796" s="55">
        <v>8</v>
      </c>
      <c r="H796" s="55">
        <v>3</v>
      </c>
      <c r="I796" s="55">
        <v>0</v>
      </c>
      <c r="J796" s="55">
        <v>0</v>
      </c>
    </row>
    <row r="797" spans="1:10" ht="15" x14ac:dyDescent="0.4">
      <c r="A797" s="54">
        <v>45986</v>
      </c>
      <c r="B797" s="55" t="s">
        <v>62</v>
      </c>
      <c r="C797" s="55" t="s">
        <v>56</v>
      </c>
      <c r="D797" s="57">
        <v>8632</v>
      </c>
      <c r="E797" s="55">
        <v>6165</v>
      </c>
      <c r="F797" s="55">
        <v>73</v>
      </c>
      <c r="G797" s="55">
        <v>2</v>
      </c>
      <c r="H797" s="55">
        <v>1</v>
      </c>
      <c r="I797" s="55">
        <v>0</v>
      </c>
      <c r="J797" s="55">
        <v>0</v>
      </c>
    </row>
    <row r="798" spans="1:10" ht="15" x14ac:dyDescent="0.4">
      <c r="A798" s="54">
        <v>45987</v>
      </c>
      <c r="B798" s="55" t="s">
        <v>61</v>
      </c>
      <c r="C798" s="55" t="s">
        <v>56</v>
      </c>
      <c r="D798" s="57">
        <v>18331</v>
      </c>
      <c r="E798" s="55">
        <v>13093</v>
      </c>
      <c r="F798" s="55">
        <v>122</v>
      </c>
      <c r="G798" s="55">
        <v>6</v>
      </c>
      <c r="H798" s="55">
        <v>2</v>
      </c>
      <c r="I798" s="55">
        <v>1</v>
      </c>
      <c r="J798" s="55">
        <v>0</v>
      </c>
    </row>
    <row r="799" spans="1:10" ht="15" x14ac:dyDescent="0.4">
      <c r="A799" s="54">
        <v>45987</v>
      </c>
      <c r="B799" s="55" t="s">
        <v>63</v>
      </c>
      <c r="C799" s="55" t="s">
        <v>58</v>
      </c>
      <c r="D799" s="57">
        <v>6300</v>
      </c>
      <c r="E799" s="55">
        <v>1312</v>
      </c>
      <c r="F799" s="55">
        <v>76</v>
      </c>
      <c r="G799" s="55">
        <v>2</v>
      </c>
      <c r="H799" s="55">
        <v>1</v>
      </c>
      <c r="I799" s="55">
        <v>0</v>
      </c>
      <c r="J799" s="55">
        <v>0</v>
      </c>
    </row>
    <row r="800" spans="1:10" ht="15" x14ac:dyDescent="0.4">
      <c r="A800" s="54">
        <v>45987</v>
      </c>
      <c r="B800" s="55" t="s">
        <v>57</v>
      </c>
      <c r="C800" s="55" t="s">
        <v>58</v>
      </c>
      <c r="D800" s="57">
        <v>20974</v>
      </c>
      <c r="E800" s="55">
        <v>4369</v>
      </c>
      <c r="F800" s="55">
        <v>250</v>
      </c>
      <c r="G800" s="55">
        <v>5</v>
      </c>
      <c r="H800" s="55">
        <v>1</v>
      </c>
      <c r="I800" s="55">
        <v>0</v>
      </c>
      <c r="J800" s="55">
        <v>0</v>
      </c>
    </row>
    <row r="801" spans="1:10" ht="15" x14ac:dyDescent="0.4">
      <c r="A801" s="54">
        <v>45987</v>
      </c>
      <c r="B801" s="55" t="s">
        <v>59</v>
      </c>
      <c r="C801" s="55" t="s">
        <v>60</v>
      </c>
      <c r="D801" s="57">
        <v>26510</v>
      </c>
      <c r="E801" s="55">
        <v>5098</v>
      </c>
      <c r="F801" s="55">
        <v>29</v>
      </c>
      <c r="G801" s="55">
        <v>3</v>
      </c>
      <c r="H801" s="55">
        <v>0</v>
      </c>
      <c r="I801" s="55">
        <v>0</v>
      </c>
      <c r="J801" s="55">
        <v>0</v>
      </c>
    </row>
    <row r="802" spans="1:10" ht="15" x14ac:dyDescent="0.4">
      <c r="A802" s="54">
        <v>45987</v>
      </c>
      <c r="B802" s="55" t="s">
        <v>55</v>
      </c>
      <c r="C802" s="55" t="s">
        <v>56</v>
      </c>
      <c r="D802" s="57">
        <v>30058</v>
      </c>
      <c r="E802" s="55">
        <v>21470</v>
      </c>
      <c r="F802" s="55">
        <v>203</v>
      </c>
      <c r="G802" s="55">
        <v>4</v>
      </c>
      <c r="H802" s="55">
        <v>0</v>
      </c>
      <c r="I802" s="55">
        <v>2</v>
      </c>
      <c r="J802" s="55">
        <v>0</v>
      </c>
    </row>
    <row r="803" spans="1:10" ht="15" x14ac:dyDescent="0.4">
      <c r="A803" s="54">
        <v>45987</v>
      </c>
      <c r="B803" s="55" t="s">
        <v>62</v>
      </c>
      <c r="C803" s="55" t="s">
        <v>56</v>
      </c>
      <c r="D803" s="57">
        <v>10032</v>
      </c>
      <c r="E803" s="55">
        <v>7165</v>
      </c>
      <c r="F803" s="55">
        <v>72</v>
      </c>
      <c r="G803" s="55">
        <v>1</v>
      </c>
      <c r="H803" s="55">
        <v>2</v>
      </c>
      <c r="I803" s="55">
        <v>0</v>
      </c>
      <c r="J803" s="55">
        <v>0</v>
      </c>
    </row>
    <row r="804" spans="1:10" ht="15" x14ac:dyDescent="0.4">
      <c r="A804" s="54">
        <v>45988</v>
      </c>
      <c r="B804" s="55" t="s">
        <v>61</v>
      </c>
      <c r="C804" s="55" t="s">
        <v>56</v>
      </c>
      <c r="D804" s="57">
        <v>16973</v>
      </c>
      <c r="E804" s="55">
        <v>12123</v>
      </c>
      <c r="F804" s="55">
        <v>121</v>
      </c>
      <c r="G804" s="55">
        <v>2</v>
      </c>
      <c r="H804" s="55">
        <v>1</v>
      </c>
      <c r="I804" s="55">
        <v>2</v>
      </c>
      <c r="J804" s="55">
        <v>0</v>
      </c>
    </row>
    <row r="805" spans="1:10" ht="15" x14ac:dyDescent="0.4">
      <c r="A805" s="54">
        <v>45988</v>
      </c>
      <c r="B805" s="55" t="s">
        <v>63</v>
      </c>
      <c r="C805" s="55" t="s">
        <v>58</v>
      </c>
      <c r="D805" s="57">
        <v>7162</v>
      </c>
      <c r="E805" s="55">
        <v>1492</v>
      </c>
      <c r="F805" s="55">
        <v>77</v>
      </c>
      <c r="G805" s="55">
        <v>5</v>
      </c>
      <c r="H805" s="55">
        <v>0</v>
      </c>
      <c r="I805" s="55">
        <v>1</v>
      </c>
      <c r="J805" s="55">
        <v>1</v>
      </c>
    </row>
    <row r="806" spans="1:10" ht="15" x14ac:dyDescent="0.4">
      <c r="A806" s="54">
        <v>45988</v>
      </c>
      <c r="B806" s="55" t="s">
        <v>57</v>
      </c>
      <c r="C806" s="55" t="s">
        <v>58</v>
      </c>
      <c r="D806" s="57">
        <v>21801</v>
      </c>
      <c r="E806" s="55">
        <v>4541</v>
      </c>
      <c r="F806" s="55">
        <v>236</v>
      </c>
      <c r="G806" s="55">
        <v>2</v>
      </c>
      <c r="H806" s="55">
        <v>1</v>
      </c>
      <c r="I806" s="55">
        <v>0</v>
      </c>
      <c r="J806" s="55">
        <v>0</v>
      </c>
    </row>
    <row r="807" spans="1:10" ht="15" x14ac:dyDescent="0.4">
      <c r="A807" s="54">
        <v>45988</v>
      </c>
      <c r="B807" s="55" t="s">
        <v>59</v>
      </c>
      <c r="C807" s="55" t="s">
        <v>60</v>
      </c>
      <c r="D807" s="57">
        <v>23303</v>
      </c>
      <c r="E807" s="55">
        <v>4481</v>
      </c>
      <c r="F807" s="55">
        <v>28</v>
      </c>
      <c r="G807" s="55">
        <v>2</v>
      </c>
      <c r="H807" s="55">
        <v>1</v>
      </c>
      <c r="I807" s="55">
        <v>0</v>
      </c>
      <c r="J807" s="55">
        <v>0</v>
      </c>
    </row>
    <row r="808" spans="1:10" ht="15" x14ac:dyDescent="0.4">
      <c r="A808" s="54">
        <v>45988</v>
      </c>
      <c r="B808" s="55" t="s">
        <v>55</v>
      </c>
      <c r="C808" s="55" t="s">
        <v>56</v>
      </c>
      <c r="D808" s="57">
        <v>30736</v>
      </c>
      <c r="E808" s="55">
        <v>21954</v>
      </c>
      <c r="F808" s="55">
        <v>244</v>
      </c>
      <c r="G808" s="55">
        <v>7</v>
      </c>
      <c r="H808" s="55">
        <v>0</v>
      </c>
      <c r="I808" s="55">
        <v>1</v>
      </c>
      <c r="J808" s="55">
        <v>0</v>
      </c>
    </row>
    <row r="809" spans="1:10" ht="15" x14ac:dyDescent="0.4">
      <c r="A809" s="54">
        <v>45988</v>
      </c>
      <c r="B809" s="55" t="s">
        <v>62</v>
      </c>
      <c r="C809" s="55" t="s">
        <v>56</v>
      </c>
      <c r="D809" s="57">
        <v>8375</v>
      </c>
      <c r="E809" s="55">
        <v>5982</v>
      </c>
      <c r="F809" s="55">
        <v>75</v>
      </c>
      <c r="G809" s="55">
        <v>0</v>
      </c>
      <c r="H809" s="55">
        <v>1</v>
      </c>
      <c r="I809" s="55">
        <v>0</v>
      </c>
      <c r="J809" s="55">
        <v>0</v>
      </c>
    </row>
    <row r="810" spans="1:10" ht="15" x14ac:dyDescent="0.4">
      <c r="A810" s="54">
        <v>45989</v>
      </c>
      <c r="B810" s="55" t="s">
        <v>61</v>
      </c>
      <c r="C810" s="55" t="s">
        <v>56</v>
      </c>
      <c r="D810" s="57">
        <v>17304</v>
      </c>
      <c r="E810" s="55">
        <v>12360</v>
      </c>
      <c r="F810" s="55">
        <v>126</v>
      </c>
      <c r="G810" s="55">
        <v>3</v>
      </c>
      <c r="H810" s="55">
        <v>1</v>
      </c>
      <c r="I810" s="55">
        <v>0</v>
      </c>
      <c r="J810" s="55">
        <v>0</v>
      </c>
    </row>
    <row r="811" spans="1:10" ht="15" x14ac:dyDescent="0.4">
      <c r="A811" s="54">
        <v>45989</v>
      </c>
      <c r="B811" s="55" t="s">
        <v>63</v>
      </c>
      <c r="C811" s="55" t="s">
        <v>58</v>
      </c>
      <c r="D811" s="57">
        <v>7539</v>
      </c>
      <c r="E811" s="55">
        <v>1570</v>
      </c>
      <c r="F811" s="55">
        <v>80</v>
      </c>
      <c r="G811" s="55">
        <v>2</v>
      </c>
      <c r="H811" s="55">
        <v>2</v>
      </c>
      <c r="I811" s="55">
        <v>0</v>
      </c>
      <c r="J811" s="55">
        <v>0</v>
      </c>
    </row>
    <row r="812" spans="1:10" ht="15" x14ac:dyDescent="0.4">
      <c r="A812" s="54">
        <v>45989</v>
      </c>
      <c r="B812" s="55" t="s">
        <v>57</v>
      </c>
      <c r="C812" s="55" t="s">
        <v>58</v>
      </c>
      <c r="D812" s="57">
        <v>24075</v>
      </c>
      <c r="E812" s="55">
        <v>5015</v>
      </c>
      <c r="F812" s="55">
        <v>276</v>
      </c>
      <c r="G812" s="55">
        <v>2</v>
      </c>
      <c r="H812" s="55">
        <v>2</v>
      </c>
      <c r="I812" s="55">
        <v>1</v>
      </c>
      <c r="J812" s="55">
        <v>0</v>
      </c>
    </row>
    <row r="813" spans="1:10" ht="15" x14ac:dyDescent="0.4">
      <c r="A813" s="54">
        <v>45989</v>
      </c>
      <c r="B813" s="55" t="s">
        <v>59</v>
      </c>
      <c r="C813" s="55" t="s">
        <v>60</v>
      </c>
      <c r="D813" s="57">
        <v>24913</v>
      </c>
      <c r="E813" s="55">
        <v>4790</v>
      </c>
      <c r="F813" s="55">
        <v>32</v>
      </c>
      <c r="G813" s="55">
        <v>3</v>
      </c>
      <c r="H813" s="55">
        <v>2</v>
      </c>
      <c r="I813" s="55">
        <v>0</v>
      </c>
      <c r="J813" s="55">
        <v>0</v>
      </c>
    </row>
    <row r="814" spans="1:10" ht="15" x14ac:dyDescent="0.4">
      <c r="A814" s="54">
        <v>45989</v>
      </c>
      <c r="B814" s="55" t="s">
        <v>55</v>
      </c>
      <c r="C814" s="55" t="s">
        <v>56</v>
      </c>
      <c r="D814" s="57">
        <v>31013</v>
      </c>
      <c r="E814" s="55">
        <v>22152</v>
      </c>
      <c r="F814" s="55">
        <v>263</v>
      </c>
      <c r="G814" s="55">
        <v>2</v>
      </c>
      <c r="H814" s="55">
        <v>2</v>
      </c>
      <c r="I814" s="55">
        <v>0</v>
      </c>
      <c r="J814" s="55">
        <v>0</v>
      </c>
    </row>
    <row r="815" spans="1:10" ht="15" x14ac:dyDescent="0.4">
      <c r="A815" s="54">
        <v>45989</v>
      </c>
      <c r="B815" s="55" t="s">
        <v>62</v>
      </c>
      <c r="C815" s="55" t="s">
        <v>56</v>
      </c>
      <c r="D815" s="57">
        <v>9905</v>
      </c>
      <c r="E815" s="55">
        <v>7075</v>
      </c>
      <c r="F815" s="55">
        <v>74</v>
      </c>
      <c r="G815" s="55">
        <v>5</v>
      </c>
      <c r="H815" s="55">
        <v>0</v>
      </c>
      <c r="I815" s="55">
        <v>0</v>
      </c>
      <c r="J815" s="55">
        <v>1</v>
      </c>
    </row>
    <row r="816" spans="1:10" ht="15" x14ac:dyDescent="0.4">
      <c r="A816" s="54">
        <v>45990</v>
      </c>
      <c r="B816" s="55" t="s">
        <v>61</v>
      </c>
      <c r="C816" s="55" t="s">
        <v>56</v>
      </c>
      <c r="D816" s="57">
        <v>17327</v>
      </c>
      <c r="E816" s="55">
        <v>12376</v>
      </c>
      <c r="F816" s="55">
        <v>143</v>
      </c>
      <c r="G816" s="55">
        <v>2</v>
      </c>
      <c r="H816" s="55">
        <v>1</v>
      </c>
      <c r="I816" s="55">
        <v>0</v>
      </c>
      <c r="J816" s="55">
        <v>0</v>
      </c>
    </row>
    <row r="817" spans="1:10" ht="15" x14ac:dyDescent="0.4">
      <c r="A817" s="54">
        <v>45990</v>
      </c>
      <c r="B817" s="55" t="s">
        <v>63</v>
      </c>
      <c r="C817" s="55" t="s">
        <v>58</v>
      </c>
      <c r="D817" s="57">
        <v>6918</v>
      </c>
      <c r="E817" s="55">
        <v>1441</v>
      </c>
      <c r="F817" s="55">
        <v>78</v>
      </c>
      <c r="G817" s="55">
        <v>0</v>
      </c>
      <c r="H817" s="55">
        <v>3</v>
      </c>
      <c r="I817" s="55">
        <v>0</v>
      </c>
      <c r="J817" s="55">
        <v>0</v>
      </c>
    </row>
    <row r="818" spans="1:10" ht="15" x14ac:dyDescent="0.4">
      <c r="A818" s="54">
        <v>45990</v>
      </c>
      <c r="B818" s="55" t="s">
        <v>57</v>
      </c>
      <c r="C818" s="55" t="s">
        <v>58</v>
      </c>
      <c r="D818" s="57">
        <v>23101</v>
      </c>
      <c r="E818" s="55">
        <v>4812</v>
      </c>
      <c r="F818" s="55">
        <v>285</v>
      </c>
      <c r="G818" s="55">
        <v>2</v>
      </c>
      <c r="H818" s="55">
        <v>0</v>
      </c>
      <c r="I818" s="55">
        <v>0</v>
      </c>
      <c r="J818" s="55">
        <v>0</v>
      </c>
    </row>
    <row r="819" spans="1:10" ht="15" x14ac:dyDescent="0.4">
      <c r="A819" s="54">
        <v>45990</v>
      </c>
      <c r="B819" s="55" t="s">
        <v>59</v>
      </c>
      <c r="C819" s="55" t="s">
        <v>60</v>
      </c>
      <c r="D819" s="57">
        <v>23554</v>
      </c>
      <c r="E819" s="55">
        <v>4529</v>
      </c>
      <c r="F819" s="55">
        <v>33</v>
      </c>
      <c r="G819" s="55">
        <v>1</v>
      </c>
      <c r="H819" s="55">
        <v>2</v>
      </c>
      <c r="I819" s="55">
        <v>1</v>
      </c>
      <c r="J819" s="55">
        <v>0</v>
      </c>
    </row>
    <row r="820" spans="1:10" ht="15" x14ac:dyDescent="0.4">
      <c r="A820" s="54">
        <v>45990</v>
      </c>
      <c r="B820" s="55" t="s">
        <v>55</v>
      </c>
      <c r="C820" s="55" t="s">
        <v>56</v>
      </c>
      <c r="D820" s="57">
        <v>35279</v>
      </c>
      <c r="E820" s="55">
        <v>25199</v>
      </c>
      <c r="F820" s="55">
        <v>243</v>
      </c>
      <c r="G820" s="55">
        <v>5</v>
      </c>
      <c r="H820" s="55">
        <v>1</v>
      </c>
      <c r="I820" s="55">
        <v>0</v>
      </c>
      <c r="J820" s="55">
        <v>0</v>
      </c>
    </row>
    <row r="821" spans="1:10" ht="15" x14ac:dyDescent="0.4">
      <c r="A821" s="54">
        <v>45990</v>
      </c>
      <c r="B821" s="55" t="s">
        <v>62</v>
      </c>
      <c r="C821" s="55" t="s">
        <v>56</v>
      </c>
      <c r="D821" s="57">
        <v>9087</v>
      </c>
      <c r="E821" s="55">
        <v>6490</v>
      </c>
      <c r="F821" s="55">
        <v>80</v>
      </c>
      <c r="G821" s="55">
        <v>1</v>
      </c>
      <c r="H821" s="55">
        <v>0</v>
      </c>
      <c r="I821" s="55">
        <v>0</v>
      </c>
      <c r="J821" s="55">
        <v>1</v>
      </c>
    </row>
    <row r="822" spans="1:10" ht="15" x14ac:dyDescent="0.4">
      <c r="A822" s="54">
        <v>45991</v>
      </c>
      <c r="B822" s="55" t="s">
        <v>61</v>
      </c>
      <c r="C822" s="55" t="s">
        <v>56</v>
      </c>
      <c r="D822" s="57">
        <v>17804</v>
      </c>
      <c r="E822" s="55">
        <v>12717</v>
      </c>
      <c r="F822" s="55">
        <v>158</v>
      </c>
      <c r="G822" s="55">
        <v>2</v>
      </c>
      <c r="H822" s="55">
        <v>3</v>
      </c>
      <c r="I822" s="55">
        <v>1</v>
      </c>
      <c r="J822" s="55">
        <v>0</v>
      </c>
    </row>
    <row r="823" spans="1:10" ht="15" x14ac:dyDescent="0.4">
      <c r="A823" s="54">
        <v>45991</v>
      </c>
      <c r="B823" s="55" t="s">
        <v>63</v>
      </c>
      <c r="C823" s="55" t="s">
        <v>58</v>
      </c>
      <c r="D823" s="57">
        <v>6628</v>
      </c>
      <c r="E823" s="55">
        <v>1380</v>
      </c>
      <c r="F823" s="55">
        <v>79</v>
      </c>
      <c r="G823" s="55">
        <v>6</v>
      </c>
      <c r="H823" s="55">
        <v>0</v>
      </c>
      <c r="I823" s="55">
        <v>1</v>
      </c>
      <c r="J823" s="55">
        <v>0</v>
      </c>
    </row>
    <row r="824" spans="1:10" ht="15" x14ac:dyDescent="0.4">
      <c r="A824" s="54">
        <v>45991</v>
      </c>
      <c r="B824" s="55" t="s">
        <v>57</v>
      </c>
      <c r="C824" s="55" t="s">
        <v>58</v>
      </c>
      <c r="D824" s="57">
        <v>21260</v>
      </c>
      <c r="E824" s="55">
        <v>4429</v>
      </c>
      <c r="F824" s="55">
        <v>236</v>
      </c>
      <c r="G824" s="55">
        <v>3</v>
      </c>
      <c r="H824" s="55">
        <v>0</v>
      </c>
      <c r="I824" s="55">
        <v>0</v>
      </c>
      <c r="J824" s="55">
        <v>0</v>
      </c>
    </row>
    <row r="825" spans="1:10" ht="15" x14ac:dyDescent="0.4">
      <c r="A825" s="54">
        <v>45991</v>
      </c>
      <c r="B825" s="55" t="s">
        <v>59</v>
      </c>
      <c r="C825" s="55" t="s">
        <v>60</v>
      </c>
      <c r="D825" s="57">
        <v>26922</v>
      </c>
      <c r="E825" s="55">
        <v>5177</v>
      </c>
      <c r="F825" s="55">
        <v>38</v>
      </c>
      <c r="G825" s="55">
        <v>0</v>
      </c>
      <c r="H825" s="55">
        <v>2</v>
      </c>
      <c r="I825" s="55">
        <v>1</v>
      </c>
      <c r="J825" s="55">
        <v>0</v>
      </c>
    </row>
    <row r="826" spans="1:10" ht="15" x14ac:dyDescent="0.4">
      <c r="A826" s="54">
        <v>45991</v>
      </c>
      <c r="B826" s="55" t="s">
        <v>55</v>
      </c>
      <c r="C826" s="55" t="s">
        <v>56</v>
      </c>
      <c r="D826" s="57">
        <v>31627</v>
      </c>
      <c r="E826" s="55">
        <v>22590</v>
      </c>
      <c r="F826" s="55">
        <v>254</v>
      </c>
      <c r="G826" s="55">
        <v>7</v>
      </c>
      <c r="H826" s="55">
        <v>3</v>
      </c>
      <c r="I826" s="55">
        <v>0</v>
      </c>
      <c r="J826" s="55">
        <v>0</v>
      </c>
    </row>
    <row r="827" spans="1:10" ht="15" x14ac:dyDescent="0.4">
      <c r="A827" s="54">
        <v>45991</v>
      </c>
      <c r="B827" s="55" t="s">
        <v>62</v>
      </c>
      <c r="C827" s="55" t="s">
        <v>56</v>
      </c>
      <c r="D827" s="57">
        <v>10112</v>
      </c>
      <c r="E827" s="55">
        <v>7222</v>
      </c>
      <c r="F827" s="55">
        <v>71</v>
      </c>
      <c r="G827" s="55">
        <v>2</v>
      </c>
      <c r="H827" s="55">
        <v>1</v>
      </c>
      <c r="I827" s="55">
        <v>1</v>
      </c>
      <c r="J827" s="55">
        <v>0</v>
      </c>
    </row>
    <row r="828" spans="1:10" ht="15" x14ac:dyDescent="0.4">
      <c r="A828" s="54">
        <v>45992</v>
      </c>
      <c r="B828" s="55" t="s">
        <v>61</v>
      </c>
      <c r="C828" s="55" t="s">
        <v>56</v>
      </c>
      <c r="D828" s="57">
        <v>17654</v>
      </c>
      <c r="E828" s="55">
        <v>12610</v>
      </c>
      <c r="F828" s="55">
        <v>125</v>
      </c>
      <c r="G828" s="55">
        <v>1</v>
      </c>
      <c r="H828" s="55">
        <v>0</v>
      </c>
      <c r="I828" s="55">
        <v>0</v>
      </c>
      <c r="J828" s="55">
        <v>0</v>
      </c>
    </row>
    <row r="829" spans="1:10" ht="15" x14ac:dyDescent="0.4">
      <c r="A829" s="54">
        <v>45992</v>
      </c>
      <c r="B829" s="55" t="s">
        <v>63</v>
      </c>
      <c r="C829" s="55" t="s">
        <v>58</v>
      </c>
      <c r="D829" s="57">
        <v>7008</v>
      </c>
      <c r="E829" s="55">
        <v>1460</v>
      </c>
      <c r="F829" s="55">
        <v>72</v>
      </c>
      <c r="G829" s="55">
        <v>3</v>
      </c>
      <c r="H829" s="55">
        <v>3</v>
      </c>
      <c r="I829" s="55">
        <v>2</v>
      </c>
      <c r="J829" s="55">
        <v>0</v>
      </c>
    </row>
    <row r="830" spans="1:10" ht="15" x14ac:dyDescent="0.4">
      <c r="A830" s="54">
        <v>45992</v>
      </c>
      <c r="B830" s="55" t="s">
        <v>57</v>
      </c>
      <c r="C830" s="55" t="s">
        <v>58</v>
      </c>
      <c r="D830" s="57">
        <v>22838</v>
      </c>
      <c r="E830" s="55">
        <v>4757</v>
      </c>
      <c r="F830" s="55">
        <v>243</v>
      </c>
      <c r="G830" s="55">
        <v>3</v>
      </c>
      <c r="H830" s="55">
        <v>0</v>
      </c>
      <c r="I830" s="55">
        <v>0</v>
      </c>
      <c r="J830" s="55">
        <v>1</v>
      </c>
    </row>
    <row r="831" spans="1:10" ht="15" x14ac:dyDescent="0.4">
      <c r="A831" s="54">
        <v>45992</v>
      </c>
      <c r="B831" s="55" t="s">
        <v>59</v>
      </c>
      <c r="C831" s="55" t="s">
        <v>60</v>
      </c>
      <c r="D831" s="57">
        <v>25270</v>
      </c>
      <c r="E831" s="55">
        <v>4859</v>
      </c>
      <c r="F831" s="55">
        <v>30</v>
      </c>
      <c r="G831" s="55">
        <v>1</v>
      </c>
      <c r="H831" s="55">
        <v>0</v>
      </c>
      <c r="I831" s="55">
        <v>0</v>
      </c>
      <c r="J831" s="55">
        <v>1</v>
      </c>
    </row>
    <row r="832" spans="1:10" ht="15" x14ac:dyDescent="0.4">
      <c r="A832" s="54">
        <v>45992</v>
      </c>
      <c r="B832" s="55" t="s">
        <v>55</v>
      </c>
      <c r="C832" s="55" t="s">
        <v>56</v>
      </c>
      <c r="D832" s="57">
        <v>33500</v>
      </c>
      <c r="E832" s="55">
        <v>23928</v>
      </c>
      <c r="F832" s="55">
        <v>229</v>
      </c>
      <c r="G832" s="55">
        <v>11</v>
      </c>
      <c r="H832" s="55">
        <v>3</v>
      </c>
      <c r="I832" s="55">
        <v>0</v>
      </c>
      <c r="J832" s="55">
        <v>0</v>
      </c>
    </row>
    <row r="833" spans="1:10" ht="15" x14ac:dyDescent="0.4">
      <c r="A833" s="54">
        <v>45992</v>
      </c>
      <c r="B833" s="55" t="s">
        <v>62</v>
      </c>
      <c r="C833" s="55" t="s">
        <v>56</v>
      </c>
      <c r="D833" s="57">
        <v>9940</v>
      </c>
      <c r="E833" s="55">
        <v>7100</v>
      </c>
      <c r="F833" s="55">
        <v>68</v>
      </c>
      <c r="G833" s="55">
        <v>7</v>
      </c>
      <c r="H833" s="55">
        <v>2</v>
      </c>
      <c r="I833" s="55">
        <v>0</v>
      </c>
      <c r="J833" s="55">
        <v>0</v>
      </c>
    </row>
    <row r="834" spans="1:10" ht="15" x14ac:dyDescent="0.4">
      <c r="A834" s="54">
        <v>45993</v>
      </c>
      <c r="B834" s="55" t="s">
        <v>61</v>
      </c>
      <c r="C834" s="55" t="s">
        <v>56</v>
      </c>
      <c r="D834" s="57">
        <v>16849</v>
      </c>
      <c r="E834" s="55">
        <v>12035</v>
      </c>
      <c r="F834" s="55">
        <v>120</v>
      </c>
      <c r="G834" s="55">
        <v>5</v>
      </c>
      <c r="H834" s="55">
        <v>0</v>
      </c>
      <c r="I834" s="55">
        <v>0</v>
      </c>
      <c r="J834" s="55">
        <v>0</v>
      </c>
    </row>
    <row r="835" spans="1:10" ht="15" x14ac:dyDescent="0.4">
      <c r="A835" s="54">
        <v>45993</v>
      </c>
      <c r="B835" s="55" t="s">
        <v>63</v>
      </c>
      <c r="C835" s="55" t="s">
        <v>58</v>
      </c>
      <c r="D835" s="57">
        <v>6356</v>
      </c>
      <c r="E835" s="55">
        <v>1324</v>
      </c>
      <c r="F835" s="55">
        <v>73</v>
      </c>
      <c r="G835" s="55">
        <v>3</v>
      </c>
      <c r="H835" s="55">
        <v>1</v>
      </c>
      <c r="I835" s="55">
        <v>1</v>
      </c>
      <c r="J835" s="55">
        <v>0</v>
      </c>
    </row>
    <row r="836" spans="1:10" ht="15" x14ac:dyDescent="0.4">
      <c r="A836" s="54">
        <v>45993</v>
      </c>
      <c r="B836" s="55" t="s">
        <v>57</v>
      </c>
      <c r="C836" s="55" t="s">
        <v>58</v>
      </c>
      <c r="D836" s="57">
        <v>21875</v>
      </c>
      <c r="E836" s="55">
        <v>4557</v>
      </c>
      <c r="F836" s="55">
        <v>264</v>
      </c>
      <c r="G836" s="55">
        <v>3</v>
      </c>
      <c r="H836" s="55">
        <v>1</v>
      </c>
      <c r="I836" s="55">
        <v>0</v>
      </c>
      <c r="J836" s="55">
        <v>0</v>
      </c>
    </row>
    <row r="837" spans="1:10" ht="15" x14ac:dyDescent="0.4">
      <c r="A837" s="54">
        <v>45993</v>
      </c>
      <c r="B837" s="55" t="s">
        <v>59</v>
      </c>
      <c r="C837" s="55" t="s">
        <v>60</v>
      </c>
      <c r="D837" s="57">
        <v>27821</v>
      </c>
      <c r="E837" s="55">
        <v>5350</v>
      </c>
      <c r="F837" s="55">
        <v>37</v>
      </c>
      <c r="G837" s="55">
        <v>0</v>
      </c>
      <c r="H837" s="55">
        <v>1</v>
      </c>
      <c r="I837" s="55">
        <v>0</v>
      </c>
      <c r="J837" s="55">
        <v>0</v>
      </c>
    </row>
    <row r="838" spans="1:10" ht="15" x14ac:dyDescent="0.4">
      <c r="A838" s="54">
        <v>45993</v>
      </c>
      <c r="B838" s="55" t="s">
        <v>55</v>
      </c>
      <c r="C838" s="55" t="s">
        <v>56</v>
      </c>
      <c r="D838" s="57">
        <v>30959</v>
      </c>
      <c r="E838" s="55">
        <v>22113</v>
      </c>
      <c r="F838" s="55">
        <v>278</v>
      </c>
      <c r="G838" s="55">
        <v>4</v>
      </c>
      <c r="H838" s="55">
        <v>1</v>
      </c>
      <c r="I838" s="55">
        <v>1</v>
      </c>
      <c r="J838" s="55">
        <v>0</v>
      </c>
    </row>
    <row r="839" spans="1:10" ht="15" x14ac:dyDescent="0.4">
      <c r="A839" s="54">
        <v>45993</v>
      </c>
      <c r="B839" s="55" t="s">
        <v>62</v>
      </c>
      <c r="C839" s="55" t="s">
        <v>56</v>
      </c>
      <c r="D839" s="57">
        <v>8913</v>
      </c>
      <c r="E839" s="55">
        <v>6366</v>
      </c>
      <c r="F839" s="55">
        <v>70</v>
      </c>
      <c r="G839" s="55">
        <v>3</v>
      </c>
      <c r="H839" s="55">
        <v>2</v>
      </c>
      <c r="I839" s="55">
        <v>0</v>
      </c>
      <c r="J839" s="55">
        <v>0</v>
      </c>
    </row>
    <row r="840" spans="1:10" ht="15" x14ac:dyDescent="0.4">
      <c r="A840" s="54">
        <v>45994</v>
      </c>
      <c r="B840" s="55" t="s">
        <v>61</v>
      </c>
      <c r="C840" s="55" t="s">
        <v>56</v>
      </c>
      <c r="D840" s="57">
        <v>17304</v>
      </c>
      <c r="E840" s="55">
        <v>12360</v>
      </c>
      <c r="F840" s="55">
        <v>120</v>
      </c>
      <c r="G840" s="55">
        <v>8</v>
      </c>
      <c r="H840" s="55">
        <v>1</v>
      </c>
      <c r="I840" s="55">
        <v>1</v>
      </c>
      <c r="J840" s="55">
        <v>0</v>
      </c>
    </row>
    <row r="841" spans="1:10" ht="15" x14ac:dyDescent="0.4">
      <c r="A841" s="54">
        <v>45994</v>
      </c>
      <c r="B841" s="55" t="s">
        <v>63</v>
      </c>
      <c r="C841" s="55" t="s">
        <v>58</v>
      </c>
      <c r="D841" s="57">
        <v>6851</v>
      </c>
      <c r="E841" s="55">
        <v>1427</v>
      </c>
      <c r="F841" s="55">
        <v>81</v>
      </c>
      <c r="G841" s="55">
        <v>2</v>
      </c>
      <c r="H841" s="55">
        <v>4</v>
      </c>
      <c r="I841" s="55">
        <v>0</v>
      </c>
      <c r="J841" s="55">
        <v>0</v>
      </c>
    </row>
    <row r="842" spans="1:10" ht="15" x14ac:dyDescent="0.4">
      <c r="A842" s="54">
        <v>45994</v>
      </c>
      <c r="B842" s="55" t="s">
        <v>57</v>
      </c>
      <c r="C842" s="55" t="s">
        <v>58</v>
      </c>
      <c r="D842" s="57">
        <v>21471</v>
      </c>
      <c r="E842" s="55">
        <v>4473</v>
      </c>
      <c r="F842" s="55">
        <v>265</v>
      </c>
      <c r="G842" s="55">
        <v>2</v>
      </c>
      <c r="H842" s="55">
        <v>0</v>
      </c>
      <c r="I842" s="55">
        <v>0</v>
      </c>
      <c r="J842" s="55">
        <v>1</v>
      </c>
    </row>
    <row r="843" spans="1:10" ht="15" x14ac:dyDescent="0.4">
      <c r="A843" s="54">
        <v>45994</v>
      </c>
      <c r="B843" s="55" t="s">
        <v>59</v>
      </c>
      <c r="C843" s="55" t="s">
        <v>60</v>
      </c>
      <c r="D843" s="57">
        <v>26193</v>
      </c>
      <c r="E843" s="55">
        <v>5037</v>
      </c>
      <c r="F843" s="55">
        <v>31</v>
      </c>
      <c r="G843" s="55">
        <v>2</v>
      </c>
      <c r="H843" s="55">
        <v>0</v>
      </c>
      <c r="I843" s="55">
        <v>2</v>
      </c>
      <c r="J843" s="55">
        <v>0</v>
      </c>
    </row>
    <row r="844" spans="1:10" ht="15" x14ac:dyDescent="0.4">
      <c r="A844" s="54">
        <v>45994</v>
      </c>
      <c r="B844" s="55" t="s">
        <v>55</v>
      </c>
      <c r="C844" s="55" t="s">
        <v>56</v>
      </c>
      <c r="D844" s="57">
        <v>32490</v>
      </c>
      <c r="E844" s="55">
        <v>23207</v>
      </c>
      <c r="F844" s="55">
        <v>263</v>
      </c>
      <c r="G844" s="55">
        <v>10</v>
      </c>
      <c r="H844" s="55">
        <v>0</v>
      </c>
      <c r="I844" s="55">
        <v>0</v>
      </c>
      <c r="J844" s="55">
        <v>1</v>
      </c>
    </row>
    <row r="845" spans="1:10" ht="15" x14ac:dyDescent="0.4">
      <c r="A845" s="54">
        <v>45994</v>
      </c>
      <c r="B845" s="55" t="s">
        <v>62</v>
      </c>
      <c r="C845" s="55" t="s">
        <v>56</v>
      </c>
      <c r="D845" s="57">
        <v>9942</v>
      </c>
      <c r="E845" s="55">
        <v>7101</v>
      </c>
      <c r="F845" s="55">
        <v>88</v>
      </c>
      <c r="G845" s="55">
        <v>3</v>
      </c>
      <c r="H845" s="55">
        <v>3</v>
      </c>
      <c r="I845" s="55">
        <v>0</v>
      </c>
      <c r="J845" s="55">
        <v>0</v>
      </c>
    </row>
    <row r="846" spans="1:10" ht="15" x14ac:dyDescent="0.4">
      <c r="A846" s="54">
        <v>45995</v>
      </c>
      <c r="B846" s="55" t="s">
        <v>61</v>
      </c>
      <c r="C846" s="55" t="s">
        <v>56</v>
      </c>
      <c r="D846" s="57">
        <v>16247</v>
      </c>
      <c r="E846" s="55">
        <v>11605</v>
      </c>
      <c r="F846" s="55">
        <v>134</v>
      </c>
      <c r="G846" s="55">
        <v>5</v>
      </c>
      <c r="H846" s="55">
        <v>1</v>
      </c>
      <c r="I846" s="55">
        <v>0</v>
      </c>
      <c r="J846" s="55">
        <v>0</v>
      </c>
    </row>
    <row r="847" spans="1:10" ht="15" x14ac:dyDescent="0.4">
      <c r="A847" s="54">
        <v>45995</v>
      </c>
      <c r="B847" s="55" t="s">
        <v>63</v>
      </c>
      <c r="C847" s="55" t="s">
        <v>58</v>
      </c>
      <c r="D847" s="57">
        <v>7505</v>
      </c>
      <c r="E847" s="55">
        <v>1563</v>
      </c>
      <c r="F847" s="55">
        <v>89</v>
      </c>
      <c r="G847" s="55">
        <v>5</v>
      </c>
      <c r="H847" s="55">
        <v>0</v>
      </c>
      <c r="I847" s="55">
        <v>0</v>
      </c>
      <c r="J847" s="55">
        <v>0</v>
      </c>
    </row>
    <row r="848" spans="1:10" ht="15" x14ac:dyDescent="0.4">
      <c r="A848" s="54">
        <v>45995</v>
      </c>
      <c r="B848" s="55" t="s">
        <v>57</v>
      </c>
      <c r="C848" s="55" t="s">
        <v>58</v>
      </c>
      <c r="D848" s="57">
        <v>20515</v>
      </c>
      <c r="E848" s="55">
        <v>4273</v>
      </c>
      <c r="F848" s="55">
        <v>251</v>
      </c>
      <c r="G848" s="55">
        <v>7</v>
      </c>
      <c r="H848" s="55">
        <v>0</v>
      </c>
      <c r="I848" s="55">
        <v>0</v>
      </c>
      <c r="J848" s="55">
        <v>0</v>
      </c>
    </row>
    <row r="849" spans="1:10" ht="15" x14ac:dyDescent="0.4">
      <c r="A849" s="54">
        <v>45995</v>
      </c>
      <c r="B849" s="55" t="s">
        <v>59</v>
      </c>
      <c r="C849" s="55" t="s">
        <v>60</v>
      </c>
      <c r="D849" s="57">
        <v>25970</v>
      </c>
      <c r="E849" s="55">
        <v>4994</v>
      </c>
      <c r="F849" s="55">
        <v>34</v>
      </c>
      <c r="G849" s="55">
        <v>3</v>
      </c>
      <c r="H849" s="55">
        <v>0</v>
      </c>
      <c r="I849" s="55">
        <v>0</v>
      </c>
      <c r="J849" s="55">
        <v>0</v>
      </c>
    </row>
    <row r="850" spans="1:10" ht="15" x14ac:dyDescent="0.4">
      <c r="A850" s="54">
        <v>45995</v>
      </c>
      <c r="B850" s="55" t="s">
        <v>55</v>
      </c>
      <c r="C850" s="55" t="s">
        <v>56</v>
      </c>
      <c r="D850" s="57">
        <v>29952</v>
      </c>
      <c r="E850" s="55">
        <v>21394</v>
      </c>
      <c r="F850" s="55">
        <v>246</v>
      </c>
      <c r="G850" s="55">
        <v>4</v>
      </c>
      <c r="H850" s="55">
        <v>1</v>
      </c>
      <c r="I850" s="55">
        <v>3</v>
      </c>
      <c r="J850" s="55">
        <v>0</v>
      </c>
    </row>
    <row r="851" spans="1:10" ht="15" x14ac:dyDescent="0.4">
      <c r="A851" s="54">
        <v>45995</v>
      </c>
      <c r="B851" s="55" t="s">
        <v>62</v>
      </c>
      <c r="C851" s="55" t="s">
        <v>56</v>
      </c>
      <c r="D851" s="57">
        <v>10115</v>
      </c>
      <c r="E851" s="55">
        <v>7225</v>
      </c>
      <c r="F851" s="55">
        <v>83</v>
      </c>
      <c r="G851" s="55">
        <v>2</v>
      </c>
      <c r="H851" s="55">
        <v>0</v>
      </c>
      <c r="I851" s="55">
        <v>2</v>
      </c>
      <c r="J851" s="55">
        <v>1</v>
      </c>
    </row>
    <row r="852" spans="1:10" ht="15" x14ac:dyDescent="0.4">
      <c r="A852" s="54">
        <v>45996</v>
      </c>
      <c r="B852" s="55" t="s">
        <v>61</v>
      </c>
      <c r="C852" s="55" t="s">
        <v>56</v>
      </c>
      <c r="D852" s="57">
        <v>15965</v>
      </c>
      <c r="E852" s="55">
        <v>11403</v>
      </c>
      <c r="F852" s="55">
        <v>115</v>
      </c>
      <c r="G852" s="55">
        <v>6</v>
      </c>
      <c r="H852" s="55">
        <v>2</v>
      </c>
      <c r="I852" s="55">
        <v>0</v>
      </c>
      <c r="J852" s="55">
        <v>0</v>
      </c>
    </row>
    <row r="853" spans="1:10" ht="15" x14ac:dyDescent="0.4">
      <c r="A853" s="54">
        <v>45996</v>
      </c>
      <c r="B853" s="55" t="s">
        <v>63</v>
      </c>
      <c r="C853" s="55" t="s">
        <v>58</v>
      </c>
      <c r="D853" s="57">
        <v>7308</v>
      </c>
      <c r="E853" s="55">
        <v>1522</v>
      </c>
      <c r="F853" s="55">
        <v>76</v>
      </c>
      <c r="G853" s="55">
        <v>0</v>
      </c>
      <c r="H853" s="55">
        <v>3</v>
      </c>
      <c r="I853" s="55">
        <v>0</v>
      </c>
      <c r="J853" s="55">
        <v>0</v>
      </c>
    </row>
    <row r="854" spans="1:10" ht="15" x14ac:dyDescent="0.4">
      <c r="A854" s="54">
        <v>45996</v>
      </c>
      <c r="B854" s="55" t="s">
        <v>57</v>
      </c>
      <c r="C854" s="55" t="s">
        <v>58</v>
      </c>
      <c r="D854" s="57">
        <v>20915</v>
      </c>
      <c r="E854" s="55">
        <v>4357</v>
      </c>
      <c r="F854" s="55">
        <v>252</v>
      </c>
      <c r="G854" s="55">
        <v>1</v>
      </c>
      <c r="H854" s="55">
        <v>4</v>
      </c>
      <c r="I854" s="55">
        <v>0</v>
      </c>
      <c r="J854" s="55">
        <v>0</v>
      </c>
    </row>
    <row r="855" spans="1:10" ht="15" x14ac:dyDescent="0.4">
      <c r="A855" s="54">
        <v>45996</v>
      </c>
      <c r="B855" s="55" t="s">
        <v>59</v>
      </c>
      <c r="C855" s="55" t="s">
        <v>60</v>
      </c>
      <c r="D855" s="57">
        <v>26025</v>
      </c>
      <c r="E855" s="55">
        <v>5004</v>
      </c>
      <c r="F855" s="55">
        <v>33</v>
      </c>
      <c r="G855" s="55">
        <v>1</v>
      </c>
      <c r="H855" s="55">
        <v>0</v>
      </c>
      <c r="I855" s="55">
        <v>1</v>
      </c>
      <c r="J855" s="55">
        <v>0</v>
      </c>
    </row>
    <row r="856" spans="1:10" ht="15" x14ac:dyDescent="0.4">
      <c r="A856" s="54">
        <v>45996</v>
      </c>
      <c r="B856" s="55" t="s">
        <v>55</v>
      </c>
      <c r="C856" s="55" t="s">
        <v>56</v>
      </c>
      <c r="D856" s="57">
        <v>30767</v>
      </c>
      <c r="E856" s="55">
        <v>21976</v>
      </c>
      <c r="F856" s="55">
        <v>273</v>
      </c>
      <c r="G856" s="55">
        <v>5</v>
      </c>
      <c r="H856" s="55">
        <v>1</v>
      </c>
      <c r="I856" s="55">
        <v>0</v>
      </c>
      <c r="J856" s="55">
        <v>0</v>
      </c>
    </row>
    <row r="857" spans="1:10" ht="15" x14ac:dyDescent="0.4">
      <c r="A857" s="54">
        <v>45996</v>
      </c>
      <c r="B857" s="55" t="s">
        <v>62</v>
      </c>
      <c r="C857" s="55" t="s">
        <v>56</v>
      </c>
      <c r="D857" s="57">
        <v>8682</v>
      </c>
      <c r="E857" s="55">
        <v>6201</v>
      </c>
      <c r="F857" s="55">
        <v>67</v>
      </c>
      <c r="G857" s="55">
        <v>0</v>
      </c>
      <c r="H857" s="55">
        <v>1</v>
      </c>
      <c r="I857" s="55">
        <v>0</v>
      </c>
      <c r="J857" s="55">
        <v>0</v>
      </c>
    </row>
    <row r="858" spans="1:10" ht="15" x14ac:dyDescent="0.4">
      <c r="A858" s="54">
        <v>45997</v>
      </c>
      <c r="B858" s="55" t="s">
        <v>61</v>
      </c>
      <c r="C858" s="55" t="s">
        <v>56</v>
      </c>
      <c r="D858" s="57">
        <v>18356</v>
      </c>
      <c r="E858" s="55">
        <v>13111</v>
      </c>
      <c r="F858" s="55">
        <v>164</v>
      </c>
      <c r="G858" s="55">
        <v>2</v>
      </c>
      <c r="H858" s="55">
        <v>1</v>
      </c>
      <c r="I858" s="55">
        <v>2</v>
      </c>
      <c r="J858" s="55">
        <v>1</v>
      </c>
    </row>
    <row r="859" spans="1:10" ht="15" x14ac:dyDescent="0.4">
      <c r="A859" s="54">
        <v>45997</v>
      </c>
      <c r="B859" s="55" t="s">
        <v>63</v>
      </c>
      <c r="C859" s="55" t="s">
        <v>58</v>
      </c>
      <c r="D859" s="57">
        <v>6725</v>
      </c>
      <c r="E859" s="55">
        <v>1401</v>
      </c>
      <c r="F859" s="55">
        <v>74</v>
      </c>
      <c r="G859" s="55">
        <v>3</v>
      </c>
      <c r="H859" s="55">
        <v>1</v>
      </c>
      <c r="I859" s="55">
        <v>0</v>
      </c>
      <c r="J859" s="55">
        <v>0</v>
      </c>
    </row>
    <row r="860" spans="1:10" ht="15" x14ac:dyDescent="0.4">
      <c r="A860" s="54">
        <v>45997</v>
      </c>
      <c r="B860" s="55" t="s">
        <v>57</v>
      </c>
      <c r="C860" s="55" t="s">
        <v>58</v>
      </c>
      <c r="D860" s="57">
        <v>21338</v>
      </c>
      <c r="E860" s="55">
        <v>4445</v>
      </c>
      <c r="F860" s="55">
        <v>234</v>
      </c>
      <c r="G860" s="55">
        <v>1</v>
      </c>
      <c r="H860" s="55">
        <v>1</v>
      </c>
      <c r="I860" s="55">
        <v>1</v>
      </c>
      <c r="J860" s="55">
        <v>0</v>
      </c>
    </row>
    <row r="861" spans="1:10" ht="15" x14ac:dyDescent="0.4">
      <c r="A861" s="54">
        <v>45997</v>
      </c>
      <c r="B861" s="55" t="s">
        <v>59</v>
      </c>
      <c r="C861" s="55" t="s">
        <v>60</v>
      </c>
      <c r="D861" s="57">
        <v>24942</v>
      </c>
      <c r="E861" s="55">
        <v>4796</v>
      </c>
      <c r="F861" s="55">
        <v>34</v>
      </c>
      <c r="G861" s="55">
        <v>1</v>
      </c>
      <c r="H861" s="55">
        <v>0</v>
      </c>
      <c r="I861" s="55">
        <v>0</v>
      </c>
      <c r="J861" s="55">
        <v>0</v>
      </c>
    </row>
    <row r="862" spans="1:10" ht="15" x14ac:dyDescent="0.4">
      <c r="A862" s="54">
        <v>45997</v>
      </c>
      <c r="B862" s="55" t="s">
        <v>55</v>
      </c>
      <c r="C862" s="55" t="s">
        <v>56</v>
      </c>
      <c r="D862" s="57">
        <v>29568</v>
      </c>
      <c r="E862" s="55">
        <v>21120</v>
      </c>
      <c r="F862" s="55">
        <v>208</v>
      </c>
      <c r="G862" s="55">
        <v>7</v>
      </c>
      <c r="H862" s="55">
        <v>0</v>
      </c>
      <c r="I862" s="55">
        <v>0</v>
      </c>
      <c r="J862" s="55">
        <v>0</v>
      </c>
    </row>
    <row r="863" spans="1:10" ht="15" x14ac:dyDescent="0.4">
      <c r="A863" s="54">
        <v>45997</v>
      </c>
      <c r="B863" s="55" t="s">
        <v>62</v>
      </c>
      <c r="C863" s="55" t="s">
        <v>56</v>
      </c>
      <c r="D863" s="57">
        <v>8397</v>
      </c>
      <c r="E863" s="55">
        <v>5997</v>
      </c>
      <c r="F863" s="55">
        <v>67</v>
      </c>
      <c r="G863" s="55">
        <v>2</v>
      </c>
      <c r="H863" s="55">
        <v>0</v>
      </c>
      <c r="I863" s="55">
        <v>0</v>
      </c>
      <c r="J863" s="55">
        <v>0</v>
      </c>
    </row>
    <row r="864" spans="1:10" ht="15" x14ac:dyDescent="0.4">
      <c r="A864" s="54">
        <v>45998</v>
      </c>
      <c r="B864" s="55" t="s">
        <v>61</v>
      </c>
      <c r="C864" s="55" t="s">
        <v>56</v>
      </c>
      <c r="D864" s="57">
        <v>17947</v>
      </c>
      <c r="E864" s="55">
        <v>12819</v>
      </c>
      <c r="F864" s="55">
        <v>149</v>
      </c>
      <c r="G864" s="55">
        <v>3</v>
      </c>
      <c r="H864" s="55">
        <v>1</v>
      </c>
      <c r="I864" s="55">
        <v>0</v>
      </c>
      <c r="J864" s="55">
        <v>0</v>
      </c>
    </row>
    <row r="865" spans="1:10" ht="15" x14ac:dyDescent="0.4">
      <c r="A865" s="54">
        <v>45998</v>
      </c>
      <c r="B865" s="55" t="s">
        <v>63</v>
      </c>
      <c r="C865" s="55" t="s">
        <v>58</v>
      </c>
      <c r="D865" s="57">
        <v>6779</v>
      </c>
      <c r="E865" s="55">
        <v>1412</v>
      </c>
      <c r="F865" s="55">
        <v>66</v>
      </c>
      <c r="G865" s="55">
        <v>2</v>
      </c>
      <c r="H865" s="55">
        <v>0</v>
      </c>
      <c r="I865" s="55">
        <v>2</v>
      </c>
      <c r="J865" s="55">
        <v>0</v>
      </c>
    </row>
    <row r="866" spans="1:10" ht="15" x14ac:dyDescent="0.4">
      <c r="A866" s="54">
        <v>45998</v>
      </c>
      <c r="B866" s="55" t="s">
        <v>57</v>
      </c>
      <c r="C866" s="55" t="s">
        <v>58</v>
      </c>
      <c r="D866" s="57">
        <v>24184</v>
      </c>
      <c r="E866" s="55">
        <v>5038</v>
      </c>
      <c r="F866" s="55">
        <v>290</v>
      </c>
      <c r="G866" s="55">
        <v>1</v>
      </c>
      <c r="H866" s="55">
        <v>0</v>
      </c>
      <c r="I866" s="55">
        <v>1</v>
      </c>
      <c r="J866" s="55">
        <v>0</v>
      </c>
    </row>
    <row r="867" spans="1:10" ht="15" x14ac:dyDescent="0.4">
      <c r="A867" s="54">
        <v>45998</v>
      </c>
      <c r="B867" s="55" t="s">
        <v>59</v>
      </c>
      <c r="C867" s="55" t="s">
        <v>60</v>
      </c>
      <c r="D867" s="57">
        <v>23354</v>
      </c>
      <c r="E867" s="55">
        <v>4491</v>
      </c>
      <c r="F867" s="55">
        <v>32</v>
      </c>
      <c r="G867" s="55">
        <v>3</v>
      </c>
      <c r="H867" s="55">
        <v>0</v>
      </c>
      <c r="I867" s="55">
        <v>0</v>
      </c>
      <c r="J867" s="55">
        <v>0</v>
      </c>
    </row>
    <row r="868" spans="1:10" ht="15" x14ac:dyDescent="0.4">
      <c r="A868" s="54">
        <v>45998</v>
      </c>
      <c r="B868" s="55" t="s">
        <v>55</v>
      </c>
      <c r="C868" s="55" t="s">
        <v>56</v>
      </c>
      <c r="D868" s="57">
        <v>35264</v>
      </c>
      <c r="E868" s="55">
        <v>25188</v>
      </c>
      <c r="F868" s="55">
        <v>240</v>
      </c>
      <c r="G868" s="55">
        <v>2</v>
      </c>
      <c r="H868" s="55">
        <v>2</v>
      </c>
      <c r="I868" s="55">
        <v>0</v>
      </c>
      <c r="J868" s="55">
        <v>0</v>
      </c>
    </row>
    <row r="869" spans="1:10" ht="15" x14ac:dyDescent="0.4">
      <c r="A869" s="54">
        <v>45998</v>
      </c>
      <c r="B869" s="55" t="s">
        <v>62</v>
      </c>
      <c r="C869" s="55" t="s">
        <v>56</v>
      </c>
      <c r="D869" s="57">
        <v>9218</v>
      </c>
      <c r="E869" s="55">
        <v>6584</v>
      </c>
      <c r="F869" s="55">
        <v>65</v>
      </c>
      <c r="G869" s="55">
        <v>1</v>
      </c>
      <c r="H869" s="55">
        <v>0</v>
      </c>
      <c r="I869" s="55">
        <v>0</v>
      </c>
      <c r="J869" s="55">
        <v>0</v>
      </c>
    </row>
    <row r="870" spans="1:10" ht="15" x14ac:dyDescent="0.4">
      <c r="A870" s="54">
        <v>45999</v>
      </c>
      <c r="B870" s="55" t="s">
        <v>61</v>
      </c>
      <c r="C870" s="55" t="s">
        <v>56</v>
      </c>
      <c r="D870" s="57">
        <v>18134</v>
      </c>
      <c r="E870" s="55">
        <v>12952</v>
      </c>
      <c r="F870" s="55">
        <v>150</v>
      </c>
      <c r="G870" s="55">
        <v>5</v>
      </c>
      <c r="H870" s="55">
        <v>3</v>
      </c>
      <c r="I870" s="55">
        <v>0</v>
      </c>
      <c r="J870" s="55">
        <v>0</v>
      </c>
    </row>
    <row r="871" spans="1:10" ht="15" x14ac:dyDescent="0.4">
      <c r="A871" s="54">
        <v>45999</v>
      </c>
      <c r="B871" s="55" t="s">
        <v>63</v>
      </c>
      <c r="C871" s="55" t="s">
        <v>58</v>
      </c>
      <c r="D871" s="57">
        <v>6960</v>
      </c>
      <c r="E871" s="55">
        <v>1450</v>
      </c>
      <c r="F871" s="55">
        <v>77</v>
      </c>
      <c r="G871" s="55">
        <v>1</v>
      </c>
      <c r="H871" s="55">
        <v>0</v>
      </c>
      <c r="I871" s="55">
        <v>0</v>
      </c>
      <c r="J871" s="55">
        <v>0</v>
      </c>
    </row>
    <row r="872" spans="1:10" ht="15" x14ac:dyDescent="0.4">
      <c r="A872" s="54">
        <v>45999</v>
      </c>
      <c r="B872" s="55" t="s">
        <v>57</v>
      </c>
      <c r="C872" s="55" t="s">
        <v>58</v>
      </c>
      <c r="D872" s="57">
        <v>22852</v>
      </c>
      <c r="E872" s="55">
        <v>4760</v>
      </c>
      <c r="F872" s="55">
        <v>253</v>
      </c>
      <c r="G872" s="55">
        <v>2</v>
      </c>
      <c r="H872" s="55">
        <v>2</v>
      </c>
      <c r="I872" s="55">
        <v>1</v>
      </c>
      <c r="J872" s="55">
        <v>0</v>
      </c>
    </row>
    <row r="873" spans="1:10" ht="15" x14ac:dyDescent="0.4">
      <c r="A873" s="54">
        <v>45999</v>
      </c>
      <c r="B873" s="55" t="s">
        <v>59</v>
      </c>
      <c r="C873" s="55" t="s">
        <v>60</v>
      </c>
      <c r="D873" s="57">
        <v>24634</v>
      </c>
      <c r="E873" s="55">
        <v>4737</v>
      </c>
      <c r="F873" s="55">
        <v>34</v>
      </c>
      <c r="G873" s="55">
        <v>2</v>
      </c>
      <c r="H873" s="55">
        <v>0</v>
      </c>
      <c r="I873" s="55">
        <v>0</v>
      </c>
      <c r="J873" s="55">
        <v>0</v>
      </c>
    </row>
    <row r="874" spans="1:10" ht="15" x14ac:dyDescent="0.4">
      <c r="A874" s="54">
        <v>45999</v>
      </c>
      <c r="B874" s="55" t="s">
        <v>55</v>
      </c>
      <c r="C874" s="55" t="s">
        <v>56</v>
      </c>
      <c r="D874" s="57">
        <v>33567</v>
      </c>
      <c r="E874" s="55">
        <v>23976</v>
      </c>
      <c r="F874" s="55">
        <v>247</v>
      </c>
      <c r="G874" s="55">
        <v>5</v>
      </c>
      <c r="H874" s="55">
        <v>1</v>
      </c>
      <c r="I874" s="55">
        <v>0</v>
      </c>
      <c r="J874" s="55">
        <v>0</v>
      </c>
    </row>
    <row r="875" spans="1:10" ht="15" x14ac:dyDescent="0.4">
      <c r="A875" s="54">
        <v>45999</v>
      </c>
      <c r="B875" s="55" t="s">
        <v>62</v>
      </c>
      <c r="C875" s="55" t="s">
        <v>56</v>
      </c>
      <c r="D875" s="57">
        <v>9627</v>
      </c>
      <c r="E875" s="55">
        <v>6876</v>
      </c>
      <c r="F875" s="55">
        <v>74</v>
      </c>
      <c r="G875" s="55">
        <v>1</v>
      </c>
      <c r="H875" s="55">
        <v>0</v>
      </c>
      <c r="I875" s="55">
        <v>2</v>
      </c>
      <c r="J875" s="55">
        <v>0</v>
      </c>
    </row>
    <row r="876" spans="1:10" ht="15" x14ac:dyDescent="0.4">
      <c r="A876" s="54">
        <v>46000</v>
      </c>
      <c r="B876" s="55" t="s">
        <v>61</v>
      </c>
      <c r="C876" s="55" t="s">
        <v>56</v>
      </c>
      <c r="D876" s="57">
        <v>17499</v>
      </c>
      <c r="E876" s="55">
        <v>12499</v>
      </c>
      <c r="F876" s="55">
        <v>153</v>
      </c>
      <c r="G876" s="55">
        <v>4</v>
      </c>
      <c r="H876" s="55">
        <v>1</v>
      </c>
      <c r="I876" s="55">
        <v>1</v>
      </c>
      <c r="J876" s="55">
        <v>0</v>
      </c>
    </row>
    <row r="877" spans="1:10" ht="15" x14ac:dyDescent="0.4">
      <c r="A877" s="54">
        <v>46000</v>
      </c>
      <c r="B877" s="55" t="s">
        <v>63</v>
      </c>
      <c r="C877" s="55" t="s">
        <v>58</v>
      </c>
      <c r="D877" s="57">
        <v>7523</v>
      </c>
      <c r="E877" s="55">
        <v>1567</v>
      </c>
      <c r="F877" s="55">
        <v>86</v>
      </c>
      <c r="G877" s="55">
        <v>1</v>
      </c>
      <c r="H877" s="55">
        <v>2</v>
      </c>
      <c r="I877" s="55">
        <v>1</v>
      </c>
      <c r="J877" s="55">
        <v>0</v>
      </c>
    </row>
    <row r="878" spans="1:10" ht="15" x14ac:dyDescent="0.4">
      <c r="A878" s="54">
        <v>46000</v>
      </c>
      <c r="B878" s="55" t="s">
        <v>57</v>
      </c>
      <c r="C878" s="55" t="s">
        <v>58</v>
      </c>
      <c r="D878" s="57">
        <v>22456</v>
      </c>
      <c r="E878" s="55">
        <v>4678</v>
      </c>
      <c r="F878" s="55">
        <v>272</v>
      </c>
      <c r="G878" s="55">
        <v>4</v>
      </c>
      <c r="H878" s="55">
        <v>0</v>
      </c>
      <c r="I878" s="55">
        <v>1</v>
      </c>
      <c r="J878" s="55">
        <v>0</v>
      </c>
    </row>
    <row r="879" spans="1:10" ht="15" x14ac:dyDescent="0.4">
      <c r="A879" s="54">
        <v>46000</v>
      </c>
      <c r="B879" s="55" t="s">
        <v>59</v>
      </c>
      <c r="C879" s="55" t="s">
        <v>60</v>
      </c>
      <c r="D879" s="57">
        <v>26870</v>
      </c>
      <c r="E879" s="55">
        <v>5167</v>
      </c>
      <c r="F879" s="55">
        <v>38</v>
      </c>
      <c r="G879" s="55">
        <v>2</v>
      </c>
      <c r="H879" s="55">
        <v>1</v>
      </c>
      <c r="I879" s="55">
        <v>0</v>
      </c>
      <c r="J879" s="55">
        <v>1</v>
      </c>
    </row>
    <row r="880" spans="1:10" ht="15" x14ac:dyDescent="0.4">
      <c r="A880" s="54">
        <v>46000</v>
      </c>
      <c r="B880" s="55" t="s">
        <v>55</v>
      </c>
      <c r="C880" s="55" t="s">
        <v>56</v>
      </c>
      <c r="D880" s="57">
        <v>30596</v>
      </c>
      <c r="E880" s="55">
        <v>21854</v>
      </c>
      <c r="F880" s="55">
        <v>224</v>
      </c>
      <c r="G880" s="55">
        <v>8</v>
      </c>
      <c r="H880" s="55">
        <v>0</v>
      </c>
      <c r="I880" s="55">
        <v>2</v>
      </c>
      <c r="J880" s="55">
        <v>0</v>
      </c>
    </row>
    <row r="881" spans="1:10" ht="15" x14ac:dyDescent="0.4">
      <c r="A881" s="54">
        <v>46000</v>
      </c>
      <c r="B881" s="55" t="s">
        <v>62</v>
      </c>
      <c r="C881" s="55" t="s">
        <v>56</v>
      </c>
      <c r="D881" s="57">
        <v>9751</v>
      </c>
      <c r="E881" s="55">
        <v>6965</v>
      </c>
      <c r="F881" s="55">
        <v>69</v>
      </c>
      <c r="G881" s="55">
        <v>3</v>
      </c>
      <c r="H881" s="55">
        <v>0</v>
      </c>
      <c r="I881" s="55">
        <v>0</v>
      </c>
      <c r="J881" s="55">
        <v>0</v>
      </c>
    </row>
    <row r="882" spans="1:10" ht="15" x14ac:dyDescent="0.4">
      <c r="A882" s="54">
        <v>46001</v>
      </c>
      <c r="B882" s="55" t="s">
        <v>61</v>
      </c>
      <c r="C882" s="55" t="s">
        <v>56</v>
      </c>
      <c r="D882" s="57">
        <v>16953</v>
      </c>
      <c r="E882" s="55">
        <v>12109</v>
      </c>
      <c r="F882" s="55">
        <v>121</v>
      </c>
      <c r="G882" s="55">
        <v>4</v>
      </c>
      <c r="H882" s="55">
        <v>1</v>
      </c>
      <c r="I882" s="55">
        <v>0</v>
      </c>
      <c r="J882" s="55">
        <v>0</v>
      </c>
    </row>
    <row r="883" spans="1:10" ht="15" x14ac:dyDescent="0.4">
      <c r="A883" s="54">
        <v>46001</v>
      </c>
      <c r="B883" s="55" t="s">
        <v>63</v>
      </c>
      <c r="C883" s="55" t="s">
        <v>58</v>
      </c>
      <c r="D883" s="57">
        <v>6532</v>
      </c>
      <c r="E883" s="55">
        <v>1360</v>
      </c>
      <c r="F883" s="55">
        <v>75</v>
      </c>
      <c r="G883" s="55">
        <v>1</v>
      </c>
      <c r="H883" s="55">
        <v>1</v>
      </c>
      <c r="I883" s="55">
        <v>0</v>
      </c>
      <c r="J883" s="55">
        <v>0</v>
      </c>
    </row>
    <row r="884" spans="1:10" ht="15" x14ac:dyDescent="0.4">
      <c r="A884" s="54">
        <v>46001</v>
      </c>
      <c r="B884" s="55" t="s">
        <v>57</v>
      </c>
      <c r="C884" s="55" t="s">
        <v>58</v>
      </c>
      <c r="D884" s="57">
        <v>22741</v>
      </c>
      <c r="E884" s="55">
        <v>4737</v>
      </c>
      <c r="F884" s="55">
        <v>242</v>
      </c>
      <c r="G884" s="55">
        <v>2</v>
      </c>
      <c r="H884" s="55">
        <v>2</v>
      </c>
      <c r="I884" s="55">
        <v>0</v>
      </c>
      <c r="J884" s="55">
        <v>0</v>
      </c>
    </row>
    <row r="885" spans="1:10" ht="15" x14ac:dyDescent="0.4">
      <c r="A885" s="54">
        <v>46001</v>
      </c>
      <c r="B885" s="55" t="s">
        <v>59</v>
      </c>
      <c r="C885" s="55" t="s">
        <v>60</v>
      </c>
      <c r="D885" s="57">
        <v>23193</v>
      </c>
      <c r="E885" s="55">
        <v>4460</v>
      </c>
      <c r="F885" s="55">
        <v>27</v>
      </c>
      <c r="G885" s="55">
        <v>0</v>
      </c>
      <c r="H885" s="55">
        <v>1</v>
      </c>
      <c r="I885" s="55">
        <v>0</v>
      </c>
      <c r="J885" s="55">
        <v>0</v>
      </c>
    </row>
    <row r="886" spans="1:10" ht="15" x14ac:dyDescent="0.4">
      <c r="A886" s="54">
        <v>46001</v>
      </c>
      <c r="B886" s="55" t="s">
        <v>55</v>
      </c>
      <c r="C886" s="55" t="s">
        <v>56</v>
      </c>
      <c r="D886" s="57">
        <v>34215</v>
      </c>
      <c r="E886" s="55">
        <v>24439</v>
      </c>
      <c r="F886" s="55">
        <v>291</v>
      </c>
      <c r="G886" s="55">
        <v>10</v>
      </c>
      <c r="H886" s="55">
        <v>2</v>
      </c>
      <c r="I886" s="55">
        <v>0</v>
      </c>
      <c r="J886" s="55">
        <v>0</v>
      </c>
    </row>
    <row r="887" spans="1:10" ht="15" x14ac:dyDescent="0.4">
      <c r="A887" s="54">
        <v>46001</v>
      </c>
      <c r="B887" s="55" t="s">
        <v>62</v>
      </c>
      <c r="C887" s="55" t="s">
        <v>56</v>
      </c>
      <c r="D887" s="57">
        <v>9470</v>
      </c>
      <c r="E887" s="55">
        <v>6764</v>
      </c>
      <c r="F887" s="55">
        <v>81</v>
      </c>
      <c r="G887" s="55">
        <v>1</v>
      </c>
      <c r="H887" s="55">
        <v>2</v>
      </c>
      <c r="I887" s="55">
        <v>1</v>
      </c>
      <c r="J887" s="55">
        <v>0</v>
      </c>
    </row>
    <row r="888" spans="1:10" ht="15" x14ac:dyDescent="0.4">
      <c r="A888" s="54">
        <v>46002</v>
      </c>
      <c r="B888" s="55" t="s">
        <v>61</v>
      </c>
      <c r="C888" s="55" t="s">
        <v>56</v>
      </c>
      <c r="D888" s="57">
        <v>17650</v>
      </c>
      <c r="E888" s="55">
        <v>12607</v>
      </c>
      <c r="F888" s="55">
        <v>139</v>
      </c>
      <c r="G888" s="55">
        <v>3</v>
      </c>
      <c r="H888" s="55">
        <v>0</v>
      </c>
      <c r="I888" s="55">
        <v>0</v>
      </c>
      <c r="J888" s="55">
        <v>0</v>
      </c>
    </row>
    <row r="889" spans="1:10" ht="15" x14ac:dyDescent="0.4">
      <c r="A889" s="54">
        <v>46002</v>
      </c>
      <c r="B889" s="55" t="s">
        <v>63</v>
      </c>
      <c r="C889" s="55" t="s">
        <v>58</v>
      </c>
      <c r="D889" s="57">
        <v>7395</v>
      </c>
      <c r="E889" s="55">
        <v>1540</v>
      </c>
      <c r="F889" s="55">
        <v>83</v>
      </c>
      <c r="G889" s="55">
        <v>5</v>
      </c>
      <c r="H889" s="55">
        <v>0</v>
      </c>
      <c r="I889" s="55">
        <v>1</v>
      </c>
      <c r="J889" s="55">
        <v>0</v>
      </c>
    </row>
    <row r="890" spans="1:10" ht="15" x14ac:dyDescent="0.4">
      <c r="A890" s="54">
        <v>46002</v>
      </c>
      <c r="B890" s="55" t="s">
        <v>57</v>
      </c>
      <c r="C890" s="55" t="s">
        <v>58</v>
      </c>
      <c r="D890" s="57">
        <v>22943</v>
      </c>
      <c r="E890" s="55">
        <v>4779</v>
      </c>
      <c r="F890" s="55">
        <v>243</v>
      </c>
      <c r="G890" s="55">
        <v>1</v>
      </c>
      <c r="H890" s="55">
        <v>0</v>
      </c>
      <c r="I890" s="55">
        <v>0</v>
      </c>
      <c r="J890" s="55">
        <v>0</v>
      </c>
    </row>
    <row r="891" spans="1:10" ht="15" x14ac:dyDescent="0.4">
      <c r="A891" s="54">
        <v>46002</v>
      </c>
      <c r="B891" s="55" t="s">
        <v>59</v>
      </c>
      <c r="C891" s="55" t="s">
        <v>60</v>
      </c>
      <c r="D891" s="57">
        <v>26838</v>
      </c>
      <c r="E891" s="55">
        <v>5161</v>
      </c>
      <c r="F891" s="55">
        <v>37</v>
      </c>
      <c r="G891" s="55">
        <v>2</v>
      </c>
      <c r="H891" s="55">
        <v>0</v>
      </c>
      <c r="I891" s="55">
        <v>0</v>
      </c>
      <c r="J891" s="55">
        <v>1</v>
      </c>
    </row>
    <row r="892" spans="1:10" ht="15" x14ac:dyDescent="0.4">
      <c r="A892" s="54">
        <v>46002</v>
      </c>
      <c r="B892" s="55" t="s">
        <v>55</v>
      </c>
      <c r="C892" s="55" t="s">
        <v>56</v>
      </c>
      <c r="D892" s="57">
        <v>34541</v>
      </c>
      <c r="E892" s="55">
        <v>24672</v>
      </c>
      <c r="F892" s="55">
        <v>305</v>
      </c>
      <c r="G892" s="55">
        <v>8</v>
      </c>
      <c r="H892" s="55">
        <v>1</v>
      </c>
      <c r="I892" s="55">
        <v>0</v>
      </c>
      <c r="J892" s="55">
        <v>0</v>
      </c>
    </row>
    <row r="893" spans="1:10" ht="15" x14ac:dyDescent="0.4">
      <c r="A893" s="54">
        <v>46002</v>
      </c>
      <c r="B893" s="55" t="s">
        <v>62</v>
      </c>
      <c r="C893" s="55" t="s">
        <v>56</v>
      </c>
      <c r="D893" s="57">
        <v>9099</v>
      </c>
      <c r="E893" s="55">
        <v>6499</v>
      </c>
      <c r="F893" s="55">
        <v>79</v>
      </c>
      <c r="G893" s="55">
        <v>6</v>
      </c>
      <c r="H893" s="55">
        <v>0</v>
      </c>
      <c r="I893" s="55">
        <v>0</v>
      </c>
      <c r="J893" s="55">
        <v>0</v>
      </c>
    </row>
    <row r="894" spans="1:10" ht="15" x14ac:dyDescent="0.4">
      <c r="A894" s="54">
        <v>46003</v>
      </c>
      <c r="B894" s="55" t="s">
        <v>61</v>
      </c>
      <c r="C894" s="55" t="s">
        <v>56</v>
      </c>
      <c r="D894" s="57">
        <v>16749</v>
      </c>
      <c r="E894" s="55">
        <v>11963</v>
      </c>
      <c r="F894" s="55">
        <v>124</v>
      </c>
      <c r="G894" s="55">
        <v>6</v>
      </c>
      <c r="H894" s="55">
        <v>0</v>
      </c>
      <c r="I894" s="55">
        <v>0</v>
      </c>
      <c r="J894" s="55">
        <v>0</v>
      </c>
    </row>
    <row r="895" spans="1:10" ht="15" x14ac:dyDescent="0.4">
      <c r="A895" s="54">
        <v>46003</v>
      </c>
      <c r="B895" s="55" t="s">
        <v>63</v>
      </c>
      <c r="C895" s="55" t="s">
        <v>58</v>
      </c>
      <c r="D895" s="57">
        <v>7527</v>
      </c>
      <c r="E895" s="55">
        <v>1568</v>
      </c>
      <c r="F895" s="55">
        <v>85</v>
      </c>
      <c r="G895" s="55">
        <v>3</v>
      </c>
      <c r="H895" s="55">
        <v>1</v>
      </c>
      <c r="I895" s="55">
        <v>0</v>
      </c>
      <c r="J895" s="55">
        <v>0</v>
      </c>
    </row>
    <row r="896" spans="1:10" ht="15" x14ac:dyDescent="0.4">
      <c r="A896" s="54">
        <v>46003</v>
      </c>
      <c r="B896" s="55" t="s">
        <v>57</v>
      </c>
      <c r="C896" s="55" t="s">
        <v>58</v>
      </c>
      <c r="D896" s="57">
        <v>20891</v>
      </c>
      <c r="E896" s="55">
        <v>4352</v>
      </c>
      <c r="F896" s="55">
        <v>208</v>
      </c>
      <c r="G896" s="55">
        <v>3</v>
      </c>
      <c r="H896" s="55">
        <v>0</v>
      </c>
      <c r="I896" s="55">
        <v>0</v>
      </c>
      <c r="J896" s="55">
        <v>0</v>
      </c>
    </row>
    <row r="897" spans="1:10" ht="15" x14ac:dyDescent="0.4">
      <c r="A897" s="54">
        <v>46003</v>
      </c>
      <c r="B897" s="55" t="s">
        <v>59</v>
      </c>
      <c r="C897" s="55" t="s">
        <v>60</v>
      </c>
      <c r="D897" s="57">
        <v>25791</v>
      </c>
      <c r="E897" s="55">
        <v>4959</v>
      </c>
      <c r="F897" s="55">
        <v>29</v>
      </c>
      <c r="G897" s="55">
        <v>2</v>
      </c>
      <c r="H897" s="55">
        <v>0</v>
      </c>
      <c r="I897" s="55">
        <v>0</v>
      </c>
      <c r="J897" s="55">
        <v>0</v>
      </c>
    </row>
    <row r="898" spans="1:10" ht="15" x14ac:dyDescent="0.4">
      <c r="A898" s="54">
        <v>46003</v>
      </c>
      <c r="B898" s="55" t="s">
        <v>55</v>
      </c>
      <c r="C898" s="55" t="s">
        <v>56</v>
      </c>
      <c r="D898" s="57">
        <v>33968</v>
      </c>
      <c r="E898" s="55">
        <v>24262</v>
      </c>
      <c r="F898" s="55">
        <v>280</v>
      </c>
      <c r="G898" s="55">
        <v>5</v>
      </c>
      <c r="H898" s="55">
        <v>1</v>
      </c>
      <c r="I898" s="55">
        <v>2</v>
      </c>
      <c r="J898" s="55">
        <v>1</v>
      </c>
    </row>
    <row r="899" spans="1:10" ht="15" x14ac:dyDescent="0.4">
      <c r="A899" s="54">
        <v>46003</v>
      </c>
      <c r="B899" s="55" t="s">
        <v>62</v>
      </c>
      <c r="C899" s="55" t="s">
        <v>56</v>
      </c>
      <c r="D899" s="57">
        <v>9816</v>
      </c>
      <c r="E899" s="55">
        <v>7011</v>
      </c>
      <c r="F899" s="55">
        <v>74</v>
      </c>
      <c r="G899" s="55">
        <v>4</v>
      </c>
      <c r="H899" s="55">
        <v>0</v>
      </c>
      <c r="I899" s="55">
        <v>0</v>
      </c>
      <c r="J899" s="55">
        <v>0</v>
      </c>
    </row>
    <row r="900" spans="1:10" ht="15" x14ac:dyDescent="0.4">
      <c r="A900" s="54">
        <v>46004</v>
      </c>
      <c r="B900" s="55" t="s">
        <v>61</v>
      </c>
      <c r="C900" s="55" t="s">
        <v>56</v>
      </c>
      <c r="D900" s="57">
        <v>14995</v>
      </c>
      <c r="E900" s="55">
        <v>10710</v>
      </c>
      <c r="F900" s="55">
        <v>121</v>
      </c>
      <c r="G900" s="55">
        <v>1</v>
      </c>
      <c r="H900" s="55">
        <v>1</v>
      </c>
      <c r="I900" s="55">
        <v>0</v>
      </c>
      <c r="J900" s="55">
        <v>1</v>
      </c>
    </row>
    <row r="901" spans="1:10" ht="15" x14ac:dyDescent="0.4">
      <c r="A901" s="54">
        <v>46004</v>
      </c>
      <c r="B901" s="55" t="s">
        <v>63</v>
      </c>
      <c r="C901" s="55" t="s">
        <v>58</v>
      </c>
      <c r="D901" s="57">
        <v>6278</v>
      </c>
      <c r="E901" s="55">
        <v>1307</v>
      </c>
      <c r="F901" s="55">
        <v>58</v>
      </c>
      <c r="G901" s="55">
        <v>2</v>
      </c>
      <c r="H901" s="55">
        <v>1</v>
      </c>
      <c r="I901" s="55">
        <v>0</v>
      </c>
      <c r="J901" s="55">
        <v>1</v>
      </c>
    </row>
    <row r="902" spans="1:10" ht="15" x14ac:dyDescent="0.4">
      <c r="A902" s="54">
        <v>46004</v>
      </c>
      <c r="B902" s="55" t="s">
        <v>57</v>
      </c>
      <c r="C902" s="55" t="s">
        <v>58</v>
      </c>
      <c r="D902" s="57">
        <v>23456</v>
      </c>
      <c r="E902" s="55">
        <v>4886</v>
      </c>
      <c r="F902" s="55">
        <v>266</v>
      </c>
      <c r="G902" s="55">
        <v>3</v>
      </c>
      <c r="H902" s="55">
        <v>1</v>
      </c>
      <c r="I902" s="55">
        <v>1</v>
      </c>
      <c r="J902" s="55">
        <v>0</v>
      </c>
    </row>
    <row r="903" spans="1:10" ht="15" x14ac:dyDescent="0.4">
      <c r="A903" s="54">
        <v>46004</v>
      </c>
      <c r="B903" s="55" t="s">
        <v>59</v>
      </c>
      <c r="C903" s="55" t="s">
        <v>60</v>
      </c>
      <c r="D903" s="57">
        <v>24023</v>
      </c>
      <c r="E903" s="55">
        <v>4619</v>
      </c>
      <c r="F903" s="55">
        <v>27</v>
      </c>
      <c r="G903" s="55">
        <v>1</v>
      </c>
      <c r="H903" s="55">
        <v>2</v>
      </c>
      <c r="I903" s="55">
        <v>0</v>
      </c>
      <c r="J903" s="55">
        <v>0</v>
      </c>
    </row>
    <row r="904" spans="1:10" ht="15" x14ac:dyDescent="0.4">
      <c r="A904" s="54">
        <v>46004</v>
      </c>
      <c r="B904" s="55" t="s">
        <v>55</v>
      </c>
      <c r="C904" s="55" t="s">
        <v>56</v>
      </c>
      <c r="D904" s="57">
        <v>32970</v>
      </c>
      <c r="E904" s="55">
        <v>23550</v>
      </c>
      <c r="F904" s="55">
        <v>295</v>
      </c>
      <c r="G904" s="55">
        <v>3</v>
      </c>
      <c r="H904" s="55">
        <v>1</v>
      </c>
      <c r="I904" s="55">
        <v>2</v>
      </c>
      <c r="J904" s="55">
        <v>0</v>
      </c>
    </row>
    <row r="905" spans="1:10" ht="15" x14ac:dyDescent="0.4">
      <c r="A905" s="54">
        <v>46004</v>
      </c>
      <c r="B905" s="55" t="s">
        <v>62</v>
      </c>
      <c r="C905" s="55" t="s">
        <v>56</v>
      </c>
      <c r="D905" s="57">
        <v>8437</v>
      </c>
      <c r="E905" s="55">
        <v>6026</v>
      </c>
      <c r="F905" s="55">
        <v>72</v>
      </c>
      <c r="G905" s="55">
        <v>0</v>
      </c>
      <c r="H905" s="55">
        <v>1</v>
      </c>
      <c r="I905" s="55">
        <v>0</v>
      </c>
      <c r="J905" s="55">
        <v>0</v>
      </c>
    </row>
    <row r="906" spans="1:10" ht="15" x14ac:dyDescent="0.4">
      <c r="A906" s="54">
        <v>46005</v>
      </c>
      <c r="B906" s="55" t="s">
        <v>61</v>
      </c>
      <c r="C906" s="55" t="s">
        <v>56</v>
      </c>
      <c r="D906" s="57">
        <v>16106</v>
      </c>
      <c r="E906" s="55">
        <v>11504</v>
      </c>
      <c r="F906" s="55">
        <v>121</v>
      </c>
      <c r="G906" s="55">
        <v>2</v>
      </c>
      <c r="H906" s="55">
        <v>1</v>
      </c>
      <c r="I906" s="55">
        <v>1</v>
      </c>
      <c r="J906" s="55">
        <v>0</v>
      </c>
    </row>
    <row r="907" spans="1:10" ht="15" x14ac:dyDescent="0.4">
      <c r="A907" s="54">
        <v>46005</v>
      </c>
      <c r="B907" s="55" t="s">
        <v>63</v>
      </c>
      <c r="C907" s="55" t="s">
        <v>58</v>
      </c>
      <c r="D907" s="57">
        <v>6596</v>
      </c>
      <c r="E907" s="55">
        <v>1374</v>
      </c>
      <c r="F907" s="55">
        <v>70</v>
      </c>
      <c r="G907" s="55">
        <v>3</v>
      </c>
      <c r="H907" s="55">
        <v>0</v>
      </c>
      <c r="I907" s="55">
        <v>0</v>
      </c>
      <c r="J907" s="55">
        <v>1</v>
      </c>
    </row>
    <row r="908" spans="1:10" ht="15" x14ac:dyDescent="0.4">
      <c r="A908" s="54">
        <v>46005</v>
      </c>
      <c r="B908" s="55" t="s">
        <v>57</v>
      </c>
      <c r="C908" s="55" t="s">
        <v>58</v>
      </c>
      <c r="D908" s="57">
        <v>21727</v>
      </c>
      <c r="E908" s="55">
        <v>4526</v>
      </c>
      <c r="F908" s="55">
        <v>205</v>
      </c>
      <c r="G908" s="55">
        <v>2</v>
      </c>
      <c r="H908" s="55">
        <v>0</v>
      </c>
      <c r="I908" s="55">
        <v>0</v>
      </c>
      <c r="J908" s="55">
        <v>1</v>
      </c>
    </row>
    <row r="909" spans="1:10" ht="15" x14ac:dyDescent="0.4">
      <c r="A909" s="54">
        <v>46005</v>
      </c>
      <c r="B909" s="55" t="s">
        <v>59</v>
      </c>
      <c r="C909" s="55" t="s">
        <v>60</v>
      </c>
      <c r="D909" s="57">
        <v>27064</v>
      </c>
      <c r="E909" s="55">
        <v>5204</v>
      </c>
      <c r="F909" s="55">
        <v>38</v>
      </c>
      <c r="G909" s="55">
        <v>2</v>
      </c>
      <c r="H909" s="55">
        <v>0</v>
      </c>
      <c r="I909" s="55">
        <v>2</v>
      </c>
      <c r="J909" s="55">
        <v>0</v>
      </c>
    </row>
    <row r="910" spans="1:10" ht="15" x14ac:dyDescent="0.4">
      <c r="A910" s="54">
        <v>46005</v>
      </c>
      <c r="B910" s="55" t="s">
        <v>55</v>
      </c>
      <c r="C910" s="55" t="s">
        <v>56</v>
      </c>
      <c r="D910" s="57">
        <v>29246</v>
      </c>
      <c r="E910" s="55">
        <v>20889</v>
      </c>
      <c r="F910" s="55">
        <v>202</v>
      </c>
      <c r="G910" s="55">
        <v>3</v>
      </c>
      <c r="H910" s="55">
        <v>1</v>
      </c>
      <c r="I910" s="55">
        <v>0</v>
      </c>
      <c r="J910" s="55">
        <v>0</v>
      </c>
    </row>
    <row r="911" spans="1:10" ht="15" x14ac:dyDescent="0.4">
      <c r="A911" s="54">
        <v>46005</v>
      </c>
      <c r="B911" s="55" t="s">
        <v>62</v>
      </c>
      <c r="C911" s="55" t="s">
        <v>56</v>
      </c>
      <c r="D911" s="57">
        <v>9446</v>
      </c>
      <c r="E911" s="55">
        <v>6747</v>
      </c>
      <c r="F911" s="55">
        <v>65</v>
      </c>
      <c r="G911" s="55">
        <v>0</v>
      </c>
      <c r="H911" s="55">
        <v>2</v>
      </c>
      <c r="I911" s="55">
        <v>1</v>
      </c>
      <c r="J911" s="55">
        <v>0</v>
      </c>
    </row>
    <row r="912" spans="1:10" ht="15" x14ac:dyDescent="0.4">
      <c r="A912" s="54">
        <v>46006</v>
      </c>
      <c r="B912" s="55" t="s">
        <v>61</v>
      </c>
      <c r="C912" s="55" t="s">
        <v>56</v>
      </c>
      <c r="D912" s="57">
        <v>17347</v>
      </c>
      <c r="E912" s="55">
        <v>12390</v>
      </c>
      <c r="F912" s="55">
        <v>117</v>
      </c>
      <c r="G912" s="55">
        <v>3</v>
      </c>
      <c r="H912" s="55">
        <v>1</v>
      </c>
      <c r="I912" s="55">
        <v>0</v>
      </c>
      <c r="J912" s="55">
        <v>0</v>
      </c>
    </row>
    <row r="913" spans="1:10" ht="15" x14ac:dyDescent="0.4">
      <c r="A913" s="54">
        <v>46006</v>
      </c>
      <c r="B913" s="55" t="s">
        <v>63</v>
      </c>
      <c r="C913" s="55" t="s">
        <v>58</v>
      </c>
      <c r="D913" s="57">
        <v>6285</v>
      </c>
      <c r="E913" s="55">
        <v>1309</v>
      </c>
      <c r="F913" s="55">
        <v>60</v>
      </c>
      <c r="G913" s="55">
        <v>3</v>
      </c>
      <c r="H913" s="55">
        <v>1</v>
      </c>
      <c r="I913" s="55">
        <v>1</v>
      </c>
      <c r="J913" s="55">
        <v>0</v>
      </c>
    </row>
    <row r="914" spans="1:10" ht="15" x14ac:dyDescent="0.4">
      <c r="A914" s="54">
        <v>46006</v>
      </c>
      <c r="B914" s="55" t="s">
        <v>57</v>
      </c>
      <c r="C914" s="55" t="s">
        <v>58</v>
      </c>
      <c r="D914" s="57">
        <v>20284</v>
      </c>
      <c r="E914" s="55">
        <v>4225</v>
      </c>
      <c r="F914" s="55">
        <v>235</v>
      </c>
      <c r="G914" s="55">
        <v>1</v>
      </c>
      <c r="H914" s="55">
        <v>1</v>
      </c>
      <c r="I914" s="55">
        <v>0</v>
      </c>
      <c r="J914" s="55">
        <v>0</v>
      </c>
    </row>
    <row r="915" spans="1:10" ht="15" x14ac:dyDescent="0.4">
      <c r="A915" s="54">
        <v>46006</v>
      </c>
      <c r="B915" s="55" t="s">
        <v>59</v>
      </c>
      <c r="C915" s="55" t="s">
        <v>60</v>
      </c>
      <c r="D915" s="57">
        <v>25657</v>
      </c>
      <c r="E915" s="55">
        <v>4934</v>
      </c>
      <c r="F915" s="55">
        <v>35</v>
      </c>
      <c r="G915" s="55">
        <v>0</v>
      </c>
      <c r="H915" s="55">
        <v>1</v>
      </c>
      <c r="I915" s="55">
        <v>1</v>
      </c>
      <c r="J915" s="55">
        <v>0</v>
      </c>
    </row>
    <row r="916" spans="1:10" ht="15" x14ac:dyDescent="0.4">
      <c r="A916" s="54">
        <v>46006</v>
      </c>
      <c r="B916" s="55" t="s">
        <v>55</v>
      </c>
      <c r="C916" s="55" t="s">
        <v>56</v>
      </c>
      <c r="D916" s="57">
        <v>34164</v>
      </c>
      <c r="E916" s="55">
        <v>24402</v>
      </c>
      <c r="F916" s="55">
        <v>254</v>
      </c>
      <c r="G916" s="55">
        <v>10</v>
      </c>
      <c r="H916" s="55">
        <v>2</v>
      </c>
      <c r="I916" s="55">
        <v>0</v>
      </c>
      <c r="J916" s="55">
        <v>0</v>
      </c>
    </row>
    <row r="917" spans="1:10" ht="15" x14ac:dyDescent="0.4">
      <c r="A917" s="54">
        <v>46006</v>
      </c>
      <c r="B917" s="55" t="s">
        <v>62</v>
      </c>
      <c r="C917" s="55" t="s">
        <v>56</v>
      </c>
      <c r="D917" s="57">
        <v>8788</v>
      </c>
      <c r="E917" s="55">
        <v>6277</v>
      </c>
      <c r="F917" s="55">
        <v>60</v>
      </c>
      <c r="G917" s="55">
        <v>2</v>
      </c>
      <c r="H917" s="55">
        <v>0</v>
      </c>
      <c r="I917" s="55">
        <v>1</v>
      </c>
      <c r="J917" s="55">
        <v>0</v>
      </c>
    </row>
    <row r="918" spans="1:10" ht="15" x14ac:dyDescent="0.4">
      <c r="A918" s="54">
        <v>46007</v>
      </c>
      <c r="B918" s="55" t="s">
        <v>61</v>
      </c>
      <c r="C918" s="55" t="s">
        <v>56</v>
      </c>
      <c r="D918" s="57">
        <v>17983</v>
      </c>
      <c r="E918" s="55">
        <v>12845</v>
      </c>
      <c r="F918" s="55">
        <v>152</v>
      </c>
      <c r="G918" s="55">
        <v>5</v>
      </c>
      <c r="H918" s="55">
        <v>0</v>
      </c>
      <c r="I918" s="55">
        <v>0</v>
      </c>
      <c r="J918" s="55">
        <v>0</v>
      </c>
    </row>
    <row r="919" spans="1:10" ht="15" x14ac:dyDescent="0.4">
      <c r="A919" s="54">
        <v>46007</v>
      </c>
      <c r="B919" s="55" t="s">
        <v>63</v>
      </c>
      <c r="C919" s="55" t="s">
        <v>58</v>
      </c>
      <c r="D919" s="57">
        <v>7385</v>
      </c>
      <c r="E919" s="55">
        <v>1538</v>
      </c>
      <c r="F919" s="55">
        <v>73</v>
      </c>
      <c r="G919" s="55">
        <v>2</v>
      </c>
      <c r="H919" s="55">
        <v>1</v>
      </c>
      <c r="I919" s="55">
        <v>0</v>
      </c>
      <c r="J919" s="55">
        <v>0</v>
      </c>
    </row>
    <row r="920" spans="1:10" ht="15" x14ac:dyDescent="0.4">
      <c r="A920" s="54">
        <v>46007</v>
      </c>
      <c r="B920" s="55" t="s">
        <v>57</v>
      </c>
      <c r="C920" s="55" t="s">
        <v>58</v>
      </c>
      <c r="D920" s="57">
        <v>24562</v>
      </c>
      <c r="E920" s="55">
        <v>5117</v>
      </c>
      <c r="F920" s="55">
        <v>264</v>
      </c>
      <c r="G920" s="55">
        <v>3</v>
      </c>
      <c r="H920" s="55">
        <v>0</v>
      </c>
      <c r="I920" s="55">
        <v>0</v>
      </c>
      <c r="J920" s="55">
        <v>0</v>
      </c>
    </row>
    <row r="921" spans="1:10" ht="15" x14ac:dyDescent="0.4">
      <c r="A921" s="54">
        <v>46007</v>
      </c>
      <c r="B921" s="55" t="s">
        <v>59</v>
      </c>
      <c r="C921" s="55" t="s">
        <v>60</v>
      </c>
      <c r="D921" s="57">
        <v>23290</v>
      </c>
      <c r="E921" s="55">
        <v>4478</v>
      </c>
      <c r="F921" s="55">
        <v>30</v>
      </c>
      <c r="G921" s="55">
        <v>1</v>
      </c>
      <c r="H921" s="55">
        <v>0</v>
      </c>
      <c r="I921" s="55">
        <v>0</v>
      </c>
      <c r="J921" s="55">
        <v>0</v>
      </c>
    </row>
    <row r="922" spans="1:10" ht="15" x14ac:dyDescent="0.4">
      <c r="A922" s="54">
        <v>46007</v>
      </c>
      <c r="B922" s="55" t="s">
        <v>55</v>
      </c>
      <c r="C922" s="55" t="s">
        <v>56</v>
      </c>
      <c r="D922" s="57">
        <v>33066</v>
      </c>
      <c r="E922" s="55">
        <v>23618</v>
      </c>
      <c r="F922" s="55">
        <v>288</v>
      </c>
      <c r="G922" s="55">
        <v>11</v>
      </c>
      <c r="H922" s="55">
        <v>2</v>
      </c>
      <c r="I922" s="55">
        <v>0</v>
      </c>
      <c r="J922" s="55">
        <v>0</v>
      </c>
    </row>
    <row r="923" spans="1:10" ht="15" x14ac:dyDescent="0.4">
      <c r="A923" s="54">
        <v>46007</v>
      </c>
      <c r="B923" s="55" t="s">
        <v>62</v>
      </c>
      <c r="C923" s="55" t="s">
        <v>56</v>
      </c>
      <c r="D923" s="57">
        <v>10015</v>
      </c>
      <c r="E923" s="55">
        <v>7153</v>
      </c>
      <c r="F923" s="55">
        <v>67</v>
      </c>
      <c r="G923" s="55">
        <v>3</v>
      </c>
      <c r="H923" s="55">
        <v>1</v>
      </c>
      <c r="I923" s="55">
        <v>2</v>
      </c>
      <c r="J923" s="55">
        <v>0</v>
      </c>
    </row>
    <row r="924" spans="1:10" ht="15" x14ac:dyDescent="0.4">
      <c r="A924" s="54">
        <v>46008</v>
      </c>
      <c r="B924" s="55" t="s">
        <v>61</v>
      </c>
      <c r="C924" s="55" t="s">
        <v>56</v>
      </c>
      <c r="D924" s="57">
        <v>17762</v>
      </c>
      <c r="E924" s="55">
        <v>12687</v>
      </c>
      <c r="F924" s="55">
        <v>149</v>
      </c>
      <c r="G924" s="55">
        <v>10</v>
      </c>
      <c r="H924" s="55">
        <v>0</v>
      </c>
      <c r="I924" s="55">
        <v>0</v>
      </c>
      <c r="J924" s="55">
        <v>0</v>
      </c>
    </row>
    <row r="925" spans="1:10" ht="15" x14ac:dyDescent="0.4">
      <c r="A925" s="54">
        <v>46008</v>
      </c>
      <c r="B925" s="55" t="s">
        <v>63</v>
      </c>
      <c r="C925" s="55" t="s">
        <v>58</v>
      </c>
      <c r="D925" s="57">
        <v>6626</v>
      </c>
      <c r="E925" s="55">
        <v>1380</v>
      </c>
      <c r="F925" s="55">
        <v>82</v>
      </c>
      <c r="G925" s="55">
        <v>3</v>
      </c>
      <c r="H925" s="55">
        <v>2</v>
      </c>
      <c r="I925" s="55">
        <v>0</v>
      </c>
      <c r="J925" s="55">
        <v>0</v>
      </c>
    </row>
    <row r="926" spans="1:10" ht="15" x14ac:dyDescent="0.4">
      <c r="A926" s="54">
        <v>46008</v>
      </c>
      <c r="B926" s="55" t="s">
        <v>57</v>
      </c>
      <c r="C926" s="55" t="s">
        <v>58</v>
      </c>
      <c r="D926" s="57">
        <v>24830</v>
      </c>
      <c r="E926" s="55">
        <v>5172</v>
      </c>
      <c r="F926" s="55">
        <v>293</v>
      </c>
      <c r="G926" s="55">
        <v>5</v>
      </c>
      <c r="H926" s="55">
        <v>3</v>
      </c>
      <c r="I926" s="55">
        <v>0</v>
      </c>
      <c r="J926" s="55">
        <v>0</v>
      </c>
    </row>
    <row r="927" spans="1:10" ht="15" x14ac:dyDescent="0.4">
      <c r="A927" s="54">
        <v>46008</v>
      </c>
      <c r="B927" s="55" t="s">
        <v>59</v>
      </c>
      <c r="C927" s="55" t="s">
        <v>60</v>
      </c>
      <c r="D927" s="57">
        <v>24448</v>
      </c>
      <c r="E927" s="55">
        <v>4701</v>
      </c>
      <c r="F927" s="55">
        <v>30</v>
      </c>
      <c r="G927" s="55">
        <v>3</v>
      </c>
      <c r="H927" s="55">
        <v>0</v>
      </c>
      <c r="I927" s="55">
        <v>1</v>
      </c>
      <c r="J927" s="55">
        <v>0</v>
      </c>
    </row>
    <row r="928" spans="1:10" ht="15" x14ac:dyDescent="0.4">
      <c r="A928" s="54">
        <v>46008</v>
      </c>
      <c r="B928" s="55" t="s">
        <v>55</v>
      </c>
      <c r="C928" s="55" t="s">
        <v>56</v>
      </c>
      <c r="D928" s="57">
        <v>32481</v>
      </c>
      <c r="E928" s="55">
        <v>23200</v>
      </c>
      <c r="F928" s="55">
        <v>279</v>
      </c>
      <c r="G928" s="55">
        <v>7</v>
      </c>
      <c r="H928" s="55">
        <v>1</v>
      </c>
      <c r="I928" s="55">
        <v>1</v>
      </c>
      <c r="J928" s="55">
        <v>0</v>
      </c>
    </row>
    <row r="929" spans="1:10" ht="15" x14ac:dyDescent="0.4">
      <c r="A929" s="54">
        <v>46008</v>
      </c>
      <c r="B929" s="55" t="s">
        <v>62</v>
      </c>
      <c r="C929" s="55" t="s">
        <v>56</v>
      </c>
      <c r="D929" s="57">
        <v>8903</v>
      </c>
      <c r="E929" s="55">
        <v>6359</v>
      </c>
      <c r="F929" s="55">
        <v>63</v>
      </c>
      <c r="G929" s="55">
        <v>6</v>
      </c>
      <c r="H929" s="55">
        <v>2</v>
      </c>
      <c r="I929" s="55">
        <v>0</v>
      </c>
      <c r="J929" s="55">
        <v>0</v>
      </c>
    </row>
    <row r="930" spans="1:10" ht="15" x14ac:dyDescent="0.4">
      <c r="A930" s="54">
        <v>46009</v>
      </c>
      <c r="B930" s="55" t="s">
        <v>61</v>
      </c>
      <c r="C930" s="55" t="s">
        <v>56</v>
      </c>
      <c r="D930" s="57">
        <v>17819</v>
      </c>
      <c r="E930" s="55">
        <v>12727</v>
      </c>
      <c r="F930" s="55">
        <v>157</v>
      </c>
      <c r="G930" s="55">
        <v>6</v>
      </c>
      <c r="H930" s="55">
        <v>3</v>
      </c>
      <c r="I930" s="55">
        <v>0</v>
      </c>
      <c r="J930" s="55">
        <v>0</v>
      </c>
    </row>
    <row r="931" spans="1:10" ht="15" x14ac:dyDescent="0.4">
      <c r="A931" s="54">
        <v>46009</v>
      </c>
      <c r="B931" s="55" t="s">
        <v>63</v>
      </c>
      <c r="C931" s="55" t="s">
        <v>58</v>
      </c>
      <c r="D931" s="57">
        <v>6994</v>
      </c>
      <c r="E931" s="55">
        <v>1457</v>
      </c>
      <c r="F931" s="55">
        <v>65</v>
      </c>
      <c r="G931" s="55">
        <v>4</v>
      </c>
      <c r="H931" s="55">
        <v>0</v>
      </c>
      <c r="I931" s="55">
        <v>0</v>
      </c>
      <c r="J931" s="55">
        <v>0</v>
      </c>
    </row>
    <row r="932" spans="1:10" ht="15" x14ac:dyDescent="0.4">
      <c r="A932" s="54">
        <v>46009</v>
      </c>
      <c r="B932" s="55" t="s">
        <v>57</v>
      </c>
      <c r="C932" s="55" t="s">
        <v>58</v>
      </c>
      <c r="D932" s="57">
        <v>23678</v>
      </c>
      <c r="E932" s="55">
        <v>4932</v>
      </c>
      <c r="F932" s="55">
        <v>246</v>
      </c>
      <c r="G932" s="55">
        <v>4</v>
      </c>
      <c r="H932" s="55">
        <v>0</v>
      </c>
      <c r="I932" s="55">
        <v>0</v>
      </c>
      <c r="J932" s="55">
        <v>0</v>
      </c>
    </row>
    <row r="933" spans="1:10" ht="15" x14ac:dyDescent="0.4">
      <c r="A933" s="54">
        <v>46009</v>
      </c>
      <c r="B933" s="55" t="s">
        <v>59</v>
      </c>
      <c r="C933" s="55" t="s">
        <v>60</v>
      </c>
      <c r="D933" s="57">
        <v>24800</v>
      </c>
      <c r="E933" s="55">
        <v>4769</v>
      </c>
      <c r="F933" s="55">
        <v>26</v>
      </c>
      <c r="G933" s="55">
        <v>4</v>
      </c>
      <c r="H933" s="55">
        <v>1</v>
      </c>
      <c r="I933" s="55">
        <v>0</v>
      </c>
      <c r="J933" s="55">
        <v>0</v>
      </c>
    </row>
    <row r="934" spans="1:10" ht="15" x14ac:dyDescent="0.4">
      <c r="A934" s="54">
        <v>46009</v>
      </c>
      <c r="B934" s="55" t="s">
        <v>55</v>
      </c>
      <c r="C934" s="55" t="s">
        <v>56</v>
      </c>
      <c r="D934" s="57">
        <v>31129</v>
      </c>
      <c r="E934" s="55">
        <v>22235</v>
      </c>
      <c r="F934" s="55">
        <v>260</v>
      </c>
      <c r="G934" s="55">
        <v>5</v>
      </c>
      <c r="H934" s="55">
        <v>1</v>
      </c>
      <c r="I934" s="55">
        <v>0</v>
      </c>
      <c r="J934" s="55">
        <v>0</v>
      </c>
    </row>
    <row r="935" spans="1:10" ht="15" x14ac:dyDescent="0.4">
      <c r="A935" s="54">
        <v>46009</v>
      </c>
      <c r="B935" s="55" t="s">
        <v>62</v>
      </c>
      <c r="C935" s="55" t="s">
        <v>56</v>
      </c>
      <c r="D935" s="57">
        <v>9598</v>
      </c>
      <c r="E935" s="55">
        <v>6855</v>
      </c>
      <c r="F935" s="55">
        <v>82</v>
      </c>
      <c r="G935" s="55">
        <v>1</v>
      </c>
      <c r="H935" s="55">
        <v>0</v>
      </c>
      <c r="I935" s="55">
        <v>1</v>
      </c>
      <c r="J935" s="55">
        <v>0</v>
      </c>
    </row>
    <row r="936" spans="1:10" ht="15" x14ac:dyDescent="0.4">
      <c r="A936" s="54">
        <v>46010</v>
      </c>
      <c r="B936" s="55" t="s">
        <v>61</v>
      </c>
      <c r="C936" s="55" t="s">
        <v>56</v>
      </c>
      <c r="D936" s="57">
        <v>16747</v>
      </c>
      <c r="E936" s="55">
        <v>11962</v>
      </c>
      <c r="F936" s="55">
        <v>138</v>
      </c>
      <c r="G936" s="55">
        <v>5</v>
      </c>
      <c r="H936" s="55">
        <v>2</v>
      </c>
      <c r="I936" s="55">
        <v>1</v>
      </c>
      <c r="J936" s="55">
        <v>0</v>
      </c>
    </row>
    <row r="937" spans="1:10" ht="15" x14ac:dyDescent="0.4">
      <c r="A937" s="54">
        <v>46010</v>
      </c>
      <c r="B937" s="55" t="s">
        <v>63</v>
      </c>
      <c r="C937" s="55" t="s">
        <v>58</v>
      </c>
      <c r="D937" s="57">
        <v>7441</v>
      </c>
      <c r="E937" s="55">
        <v>1550</v>
      </c>
      <c r="F937" s="55">
        <v>84</v>
      </c>
      <c r="G937" s="55">
        <v>1</v>
      </c>
      <c r="H937" s="55">
        <v>4</v>
      </c>
      <c r="I937" s="55">
        <v>0</v>
      </c>
      <c r="J937" s="55">
        <v>0</v>
      </c>
    </row>
    <row r="938" spans="1:10" ht="15" x14ac:dyDescent="0.4">
      <c r="A938" s="54">
        <v>46010</v>
      </c>
      <c r="B938" s="55" t="s">
        <v>57</v>
      </c>
      <c r="C938" s="55" t="s">
        <v>58</v>
      </c>
      <c r="D938" s="57">
        <v>22143</v>
      </c>
      <c r="E938" s="55">
        <v>4613</v>
      </c>
      <c r="F938" s="55">
        <v>237</v>
      </c>
      <c r="G938" s="55">
        <v>2</v>
      </c>
      <c r="H938" s="55">
        <v>2</v>
      </c>
      <c r="I938" s="55">
        <v>2</v>
      </c>
      <c r="J938" s="55">
        <v>1</v>
      </c>
    </row>
    <row r="939" spans="1:10" ht="15" x14ac:dyDescent="0.4">
      <c r="A939" s="54">
        <v>46010</v>
      </c>
      <c r="B939" s="55" t="s">
        <v>59</v>
      </c>
      <c r="C939" s="55" t="s">
        <v>60</v>
      </c>
      <c r="D939" s="57">
        <v>25205</v>
      </c>
      <c r="E939" s="55">
        <v>4847</v>
      </c>
      <c r="F939" s="55">
        <v>31</v>
      </c>
      <c r="G939" s="55">
        <v>3</v>
      </c>
      <c r="H939" s="55">
        <v>2</v>
      </c>
      <c r="I939" s="55">
        <v>1</v>
      </c>
      <c r="J939" s="55">
        <v>1</v>
      </c>
    </row>
    <row r="940" spans="1:10" ht="15" x14ac:dyDescent="0.4">
      <c r="A940" s="54">
        <v>46010</v>
      </c>
      <c r="B940" s="55" t="s">
        <v>55</v>
      </c>
      <c r="C940" s="55" t="s">
        <v>56</v>
      </c>
      <c r="D940" s="57">
        <v>32289</v>
      </c>
      <c r="E940" s="55">
        <v>23063</v>
      </c>
      <c r="F940" s="55">
        <v>284</v>
      </c>
      <c r="G940" s="55">
        <v>6</v>
      </c>
      <c r="H940" s="55">
        <v>2</v>
      </c>
      <c r="I940" s="55">
        <v>1</v>
      </c>
      <c r="J940" s="55">
        <v>0</v>
      </c>
    </row>
    <row r="941" spans="1:10" ht="15" x14ac:dyDescent="0.4">
      <c r="A941" s="54">
        <v>46010</v>
      </c>
      <c r="B941" s="55" t="s">
        <v>62</v>
      </c>
      <c r="C941" s="55" t="s">
        <v>56</v>
      </c>
      <c r="D941" s="57">
        <v>9561</v>
      </c>
      <c r="E941" s="55">
        <v>6829</v>
      </c>
      <c r="F941" s="55">
        <v>81</v>
      </c>
      <c r="G941" s="55">
        <v>1</v>
      </c>
      <c r="H941" s="55">
        <v>0</v>
      </c>
      <c r="I941" s="55">
        <v>1</v>
      </c>
      <c r="J941" s="55">
        <v>0</v>
      </c>
    </row>
    <row r="942" spans="1:10" ht="15" x14ac:dyDescent="0.4">
      <c r="A942" s="54">
        <v>46011</v>
      </c>
      <c r="B942" s="55" t="s">
        <v>61</v>
      </c>
      <c r="C942" s="55" t="s">
        <v>56</v>
      </c>
      <c r="D942" s="57">
        <v>16292</v>
      </c>
      <c r="E942" s="55">
        <v>11637</v>
      </c>
      <c r="F942" s="55">
        <v>137</v>
      </c>
      <c r="G942" s="55">
        <v>3</v>
      </c>
      <c r="H942" s="55">
        <v>1</v>
      </c>
      <c r="I942" s="55">
        <v>0</v>
      </c>
      <c r="J942" s="55">
        <v>0</v>
      </c>
    </row>
    <row r="943" spans="1:10" ht="15" x14ac:dyDescent="0.4">
      <c r="A943" s="54">
        <v>46011</v>
      </c>
      <c r="B943" s="55" t="s">
        <v>63</v>
      </c>
      <c r="C943" s="55" t="s">
        <v>58</v>
      </c>
      <c r="D943" s="57">
        <v>7250</v>
      </c>
      <c r="E943" s="55">
        <v>1510</v>
      </c>
      <c r="F943" s="55">
        <v>84</v>
      </c>
      <c r="G943" s="55">
        <v>0</v>
      </c>
      <c r="H943" s="55">
        <v>1</v>
      </c>
      <c r="I943" s="55">
        <v>2</v>
      </c>
      <c r="J943" s="55">
        <v>0</v>
      </c>
    </row>
    <row r="944" spans="1:10" ht="15" x14ac:dyDescent="0.4">
      <c r="A944" s="54">
        <v>46011</v>
      </c>
      <c r="B944" s="55" t="s">
        <v>57</v>
      </c>
      <c r="C944" s="55" t="s">
        <v>58</v>
      </c>
      <c r="D944" s="57">
        <v>23861</v>
      </c>
      <c r="E944" s="55">
        <v>4971</v>
      </c>
      <c r="F944" s="55">
        <v>253</v>
      </c>
      <c r="G944" s="55">
        <v>1</v>
      </c>
      <c r="H944" s="55">
        <v>1</v>
      </c>
      <c r="I944" s="55">
        <v>0</v>
      </c>
      <c r="J944" s="55">
        <v>0</v>
      </c>
    </row>
    <row r="945" spans="1:10" ht="15" x14ac:dyDescent="0.4">
      <c r="A945" s="54">
        <v>46011</v>
      </c>
      <c r="B945" s="55" t="s">
        <v>59</v>
      </c>
      <c r="C945" s="55" t="s">
        <v>60</v>
      </c>
      <c r="D945" s="57">
        <v>26283</v>
      </c>
      <c r="E945" s="55">
        <v>5054</v>
      </c>
      <c r="F945" s="55">
        <v>28</v>
      </c>
      <c r="G945" s="55">
        <v>0</v>
      </c>
      <c r="H945" s="55">
        <v>0</v>
      </c>
      <c r="I945" s="55">
        <v>0</v>
      </c>
      <c r="J945" s="55">
        <v>0</v>
      </c>
    </row>
    <row r="946" spans="1:10" ht="15" x14ac:dyDescent="0.4">
      <c r="A946" s="54">
        <v>46011</v>
      </c>
      <c r="B946" s="55" t="s">
        <v>55</v>
      </c>
      <c r="C946" s="55" t="s">
        <v>56</v>
      </c>
      <c r="D946" s="57">
        <v>34075</v>
      </c>
      <c r="E946" s="55">
        <v>24339</v>
      </c>
      <c r="F946" s="55">
        <v>300</v>
      </c>
      <c r="G946" s="55">
        <v>0</v>
      </c>
      <c r="H946" s="55">
        <v>3</v>
      </c>
      <c r="I946" s="55">
        <v>0</v>
      </c>
      <c r="J946" s="55">
        <v>1</v>
      </c>
    </row>
    <row r="947" spans="1:10" ht="15" x14ac:dyDescent="0.4">
      <c r="A947" s="54">
        <v>46011</v>
      </c>
      <c r="B947" s="55" t="s">
        <v>62</v>
      </c>
      <c r="C947" s="55" t="s">
        <v>56</v>
      </c>
      <c r="D947" s="57">
        <v>9420</v>
      </c>
      <c r="E947" s="55">
        <v>6728</v>
      </c>
      <c r="F947" s="55">
        <v>74</v>
      </c>
      <c r="G947" s="55">
        <v>0</v>
      </c>
      <c r="H947" s="55">
        <v>0</v>
      </c>
      <c r="I947" s="55">
        <v>0</v>
      </c>
      <c r="J947" s="55">
        <v>0</v>
      </c>
    </row>
    <row r="948" spans="1:10" ht="15" x14ac:dyDescent="0.4">
      <c r="A948" s="54">
        <v>46012</v>
      </c>
      <c r="B948" s="55" t="s">
        <v>61</v>
      </c>
      <c r="C948" s="55" t="s">
        <v>56</v>
      </c>
      <c r="D948" s="57">
        <v>17062</v>
      </c>
      <c r="E948" s="55">
        <v>12187</v>
      </c>
      <c r="F948" s="55">
        <v>117</v>
      </c>
      <c r="G948" s="55">
        <v>0</v>
      </c>
      <c r="H948" s="55">
        <v>1</v>
      </c>
      <c r="I948" s="55">
        <v>0</v>
      </c>
      <c r="J948" s="55">
        <v>0</v>
      </c>
    </row>
    <row r="949" spans="1:10" ht="15" x14ac:dyDescent="0.4">
      <c r="A949" s="54">
        <v>46012</v>
      </c>
      <c r="B949" s="55" t="s">
        <v>63</v>
      </c>
      <c r="C949" s="55" t="s">
        <v>58</v>
      </c>
      <c r="D949" s="57">
        <v>7309</v>
      </c>
      <c r="E949" s="55">
        <v>1522</v>
      </c>
      <c r="F949" s="55">
        <v>84</v>
      </c>
      <c r="G949" s="55">
        <v>2</v>
      </c>
      <c r="H949" s="55">
        <v>0</v>
      </c>
      <c r="I949" s="55">
        <v>0</v>
      </c>
      <c r="J949" s="55">
        <v>0</v>
      </c>
    </row>
    <row r="950" spans="1:10" ht="15" x14ac:dyDescent="0.4">
      <c r="A950" s="54">
        <v>46012</v>
      </c>
      <c r="B950" s="55" t="s">
        <v>57</v>
      </c>
      <c r="C950" s="55" t="s">
        <v>58</v>
      </c>
      <c r="D950" s="57">
        <v>23151</v>
      </c>
      <c r="E950" s="55">
        <v>4823</v>
      </c>
      <c r="F950" s="55">
        <v>287</v>
      </c>
      <c r="G950" s="55">
        <v>1</v>
      </c>
      <c r="H950" s="55">
        <v>0</v>
      </c>
      <c r="I950" s="55">
        <v>1</v>
      </c>
      <c r="J950" s="55">
        <v>0</v>
      </c>
    </row>
    <row r="951" spans="1:10" ht="15" x14ac:dyDescent="0.4">
      <c r="A951" s="54">
        <v>46012</v>
      </c>
      <c r="B951" s="55" t="s">
        <v>59</v>
      </c>
      <c r="C951" s="55" t="s">
        <v>60</v>
      </c>
      <c r="D951" s="57">
        <v>26478</v>
      </c>
      <c r="E951" s="55">
        <v>5091</v>
      </c>
      <c r="F951" s="55">
        <v>37</v>
      </c>
      <c r="G951" s="55">
        <v>1</v>
      </c>
      <c r="H951" s="55">
        <v>0</v>
      </c>
      <c r="I951" s="55">
        <v>1</v>
      </c>
      <c r="J951" s="55">
        <v>0</v>
      </c>
    </row>
    <row r="952" spans="1:10" ht="15" x14ac:dyDescent="0.4">
      <c r="A952" s="54">
        <v>46012</v>
      </c>
      <c r="B952" s="55" t="s">
        <v>55</v>
      </c>
      <c r="C952" s="55" t="s">
        <v>56</v>
      </c>
      <c r="D952" s="57">
        <v>29066</v>
      </c>
      <c r="E952" s="55">
        <v>20761</v>
      </c>
      <c r="F952" s="55">
        <v>235</v>
      </c>
      <c r="G952" s="55">
        <v>5</v>
      </c>
      <c r="H952" s="55">
        <v>1</v>
      </c>
      <c r="I952" s="55">
        <v>1</v>
      </c>
      <c r="J952" s="55">
        <v>0</v>
      </c>
    </row>
    <row r="953" spans="1:10" ht="15" x14ac:dyDescent="0.4">
      <c r="A953" s="54">
        <v>46012</v>
      </c>
      <c r="B953" s="55" t="s">
        <v>62</v>
      </c>
      <c r="C953" s="55" t="s">
        <v>56</v>
      </c>
      <c r="D953" s="57">
        <v>9346</v>
      </c>
      <c r="E953" s="55">
        <v>6675</v>
      </c>
      <c r="F953" s="55">
        <v>62</v>
      </c>
      <c r="G953" s="55">
        <v>3</v>
      </c>
      <c r="H953" s="55">
        <v>0</v>
      </c>
      <c r="I953" s="55">
        <v>0</v>
      </c>
      <c r="J953" s="55">
        <v>0</v>
      </c>
    </row>
    <row r="954" spans="1:10" ht="15" x14ac:dyDescent="0.4">
      <c r="A954" s="54">
        <v>46013</v>
      </c>
      <c r="B954" s="55" t="s">
        <v>61</v>
      </c>
      <c r="C954" s="55" t="s">
        <v>56</v>
      </c>
      <c r="D954" s="57">
        <v>15149</v>
      </c>
      <c r="E954" s="55">
        <v>10820</v>
      </c>
      <c r="F954" s="55">
        <v>120</v>
      </c>
      <c r="G954" s="55">
        <v>5</v>
      </c>
      <c r="H954" s="55">
        <v>0</v>
      </c>
      <c r="I954" s="55">
        <v>4</v>
      </c>
      <c r="J954" s="55">
        <v>0</v>
      </c>
    </row>
    <row r="955" spans="1:10" ht="15" x14ac:dyDescent="0.4">
      <c r="A955" s="54">
        <v>46013</v>
      </c>
      <c r="B955" s="55" t="s">
        <v>63</v>
      </c>
      <c r="C955" s="55" t="s">
        <v>58</v>
      </c>
      <c r="D955" s="57">
        <v>6599</v>
      </c>
      <c r="E955" s="55">
        <v>1374</v>
      </c>
      <c r="F955" s="55">
        <v>80</v>
      </c>
      <c r="G955" s="55">
        <v>2</v>
      </c>
      <c r="H955" s="55">
        <v>0</v>
      </c>
      <c r="I955" s="55">
        <v>1</v>
      </c>
      <c r="J955" s="55">
        <v>0</v>
      </c>
    </row>
    <row r="956" spans="1:10" ht="15" x14ac:dyDescent="0.4">
      <c r="A956" s="54">
        <v>46013</v>
      </c>
      <c r="B956" s="55" t="s">
        <v>57</v>
      </c>
      <c r="C956" s="55" t="s">
        <v>58</v>
      </c>
      <c r="D956" s="57">
        <v>24262</v>
      </c>
      <c r="E956" s="55">
        <v>5054</v>
      </c>
      <c r="F956" s="55">
        <v>231</v>
      </c>
      <c r="G956" s="55">
        <v>5</v>
      </c>
      <c r="H956" s="55">
        <v>0</v>
      </c>
      <c r="I956" s="55">
        <v>0</v>
      </c>
      <c r="J956" s="55">
        <v>0</v>
      </c>
    </row>
    <row r="957" spans="1:10" ht="15" x14ac:dyDescent="0.4">
      <c r="A957" s="54">
        <v>46013</v>
      </c>
      <c r="B957" s="55" t="s">
        <v>59</v>
      </c>
      <c r="C957" s="55" t="s">
        <v>60</v>
      </c>
      <c r="D957" s="57">
        <v>23414</v>
      </c>
      <c r="E957" s="55">
        <v>4502</v>
      </c>
      <c r="F957" s="55">
        <v>32</v>
      </c>
      <c r="G957" s="55">
        <v>1</v>
      </c>
      <c r="H957" s="55">
        <v>0</v>
      </c>
      <c r="I957" s="55">
        <v>1</v>
      </c>
      <c r="J957" s="55">
        <v>0</v>
      </c>
    </row>
    <row r="958" spans="1:10" ht="15" x14ac:dyDescent="0.4">
      <c r="A958" s="54">
        <v>46013</v>
      </c>
      <c r="B958" s="55" t="s">
        <v>55</v>
      </c>
      <c r="C958" s="55" t="s">
        <v>56</v>
      </c>
      <c r="D958" s="57">
        <v>30537</v>
      </c>
      <c r="E958" s="55">
        <v>21812</v>
      </c>
      <c r="F958" s="55">
        <v>219</v>
      </c>
      <c r="G958" s="55">
        <v>9</v>
      </c>
      <c r="H958" s="55">
        <v>0</v>
      </c>
      <c r="I958" s="55">
        <v>1</v>
      </c>
      <c r="J958" s="55">
        <v>0</v>
      </c>
    </row>
    <row r="959" spans="1:10" ht="15" x14ac:dyDescent="0.4">
      <c r="A959" s="54">
        <v>46013</v>
      </c>
      <c r="B959" s="55" t="s">
        <v>62</v>
      </c>
      <c r="C959" s="55" t="s">
        <v>56</v>
      </c>
      <c r="D959" s="57">
        <v>9257</v>
      </c>
      <c r="E959" s="55">
        <v>6612</v>
      </c>
      <c r="F959" s="55">
        <v>79</v>
      </c>
      <c r="G959" s="55">
        <v>0</v>
      </c>
      <c r="H959" s="55">
        <v>2</v>
      </c>
      <c r="I959" s="55">
        <v>0</v>
      </c>
      <c r="J959" s="55">
        <v>0</v>
      </c>
    </row>
    <row r="960" spans="1:10" ht="15" x14ac:dyDescent="0.4">
      <c r="A960" s="54">
        <v>46014</v>
      </c>
      <c r="B960" s="55" t="s">
        <v>61</v>
      </c>
      <c r="C960" s="55" t="s">
        <v>56</v>
      </c>
      <c r="D960" s="57">
        <v>16663</v>
      </c>
      <c r="E960" s="55">
        <v>11902</v>
      </c>
      <c r="F960" s="55">
        <v>147</v>
      </c>
      <c r="G960" s="55">
        <v>3</v>
      </c>
      <c r="H960" s="55">
        <v>0</v>
      </c>
      <c r="I960" s="55">
        <v>0</v>
      </c>
      <c r="J960" s="55">
        <v>0</v>
      </c>
    </row>
    <row r="961" spans="1:10" ht="15" x14ac:dyDescent="0.4">
      <c r="A961" s="54">
        <v>46014</v>
      </c>
      <c r="B961" s="55" t="s">
        <v>63</v>
      </c>
      <c r="C961" s="55" t="s">
        <v>58</v>
      </c>
      <c r="D961" s="57">
        <v>6220</v>
      </c>
      <c r="E961" s="55">
        <v>1295</v>
      </c>
      <c r="F961" s="55">
        <v>63</v>
      </c>
      <c r="G961" s="55">
        <v>2</v>
      </c>
      <c r="H961" s="55">
        <v>0</v>
      </c>
      <c r="I961" s="55">
        <v>0</v>
      </c>
      <c r="J961" s="55">
        <v>0</v>
      </c>
    </row>
    <row r="962" spans="1:10" ht="15" x14ac:dyDescent="0.4">
      <c r="A962" s="54">
        <v>46014</v>
      </c>
      <c r="B962" s="55" t="s">
        <v>57</v>
      </c>
      <c r="C962" s="55" t="s">
        <v>58</v>
      </c>
      <c r="D962" s="57">
        <v>20560</v>
      </c>
      <c r="E962" s="55">
        <v>4283</v>
      </c>
      <c r="F962" s="55">
        <v>213</v>
      </c>
      <c r="G962" s="55">
        <v>1</v>
      </c>
      <c r="H962" s="55">
        <v>2</v>
      </c>
      <c r="I962" s="55">
        <v>0</v>
      </c>
      <c r="J962" s="55">
        <v>0</v>
      </c>
    </row>
    <row r="963" spans="1:10" ht="15" x14ac:dyDescent="0.4">
      <c r="A963" s="54">
        <v>46014</v>
      </c>
      <c r="B963" s="55" t="s">
        <v>59</v>
      </c>
      <c r="C963" s="55" t="s">
        <v>60</v>
      </c>
      <c r="D963" s="57">
        <v>24232</v>
      </c>
      <c r="E963" s="55">
        <v>4660</v>
      </c>
      <c r="F963" s="55">
        <v>27</v>
      </c>
      <c r="G963" s="55">
        <v>1</v>
      </c>
      <c r="H963" s="55">
        <v>0</v>
      </c>
      <c r="I963" s="55">
        <v>0</v>
      </c>
      <c r="J963" s="55">
        <v>0</v>
      </c>
    </row>
    <row r="964" spans="1:10" ht="15" x14ac:dyDescent="0.4">
      <c r="A964" s="54">
        <v>46014</v>
      </c>
      <c r="B964" s="55" t="s">
        <v>55</v>
      </c>
      <c r="C964" s="55" t="s">
        <v>56</v>
      </c>
      <c r="D964" s="57">
        <v>29487</v>
      </c>
      <c r="E964" s="55">
        <v>21062</v>
      </c>
      <c r="F964" s="55">
        <v>205</v>
      </c>
      <c r="G964" s="55">
        <v>5</v>
      </c>
      <c r="H964" s="55">
        <v>0</v>
      </c>
      <c r="I964" s="55">
        <v>1</v>
      </c>
      <c r="J964" s="55">
        <v>1</v>
      </c>
    </row>
    <row r="965" spans="1:10" ht="15" x14ac:dyDescent="0.4">
      <c r="A965" s="54">
        <v>46014</v>
      </c>
      <c r="B965" s="55" t="s">
        <v>62</v>
      </c>
      <c r="C965" s="55" t="s">
        <v>56</v>
      </c>
      <c r="D965" s="57">
        <v>9824</v>
      </c>
      <c r="E965" s="55">
        <v>7017</v>
      </c>
      <c r="F965" s="55">
        <v>86</v>
      </c>
      <c r="G965" s="55">
        <v>2</v>
      </c>
      <c r="H965" s="55">
        <v>2</v>
      </c>
      <c r="I965" s="55">
        <v>0</v>
      </c>
      <c r="J965" s="55">
        <v>0</v>
      </c>
    </row>
    <row r="966" spans="1:10" ht="15" x14ac:dyDescent="0.4">
      <c r="A966" s="54">
        <v>46015</v>
      </c>
      <c r="B966" s="55" t="s">
        <v>61</v>
      </c>
      <c r="C966" s="55" t="s">
        <v>56</v>
      </c>
      <c r="D966" s="57">
        <v>18034</v>
      </c>
      <c r="E966" s="55">
        <v>12881</v>
      </c>
      <c r="F966" s="55">
        <v>152</v>
      </c>
      <c r="G966" s="55">
        <v>3</v>
      </c>
      <c r="H966" s="55">
        <v>1</v>
      </c>
      <c r="I966" s="55">
        <v>0</v>
      </c>
      <c r="J966" s="55">
        <v>0</v>
      </c>
    </row>
    <row r="967" spans="1:10" ht="15" x14ac:dyDescent="0.4">
      <c r="A967" s="54">
        <v>46015</v>
      </c>
      <c r="B967" s="55" t="s">
        <v>63</v>
      </c>
      <c r="C967" s="55" t="s">
        <v>58</v>
      </c>
      <c r="D967" s="57">
        <v>6191</v>
      </c>
      <c r="E967" s="55">
        <v>1289</v>
      </c>
      <c r="F967" s="55">
        <v>59</v>
      </c>
      <c r="G967" s="55">
        <v>1</v>
      </c>
      <c r="H967" s="55">
        <v>1</v>
      </c>
      <c r="I967" s="55">
        <v>0</v>
      </c>
      <c r="J967" s="55">
        <v>0</v>
      </c>
    </row>
    <row r="968" spans="1:10" ht="15" x14ac:dyDescent="0.4">
      <c r="A968" s="54">
        <v>46015</v>
      </c>
      <c r="B968" s="55" t="s">
        <v>57</v>
      </c>
      <c r="C968" s="55" t="s">
        <v>58</v>
      </c>
      <c r="D968" s="57">
        <v>20775</v>
      </c>
      <c r="E968" s="55">
        <v>4328</v>
      </c>
      <c r="F968" s="55">
        <v>233</v>
      </c>
      <c r="G968" s="55">
        <v>4</v>
      </c>
      <c r="H968" s="55">
        <v>1</v>
      </c>
      <c r="I968" s="55">
        <v>0</v>
      </c>
      <c r="J968" s="55">
        <v>0</v>
      </c>
    </row>
    <row r="969" spans="1:10" ht="15" x14ac:dyDescent="0.4">
      <c r="A969" s="54">
        <v>46015</v>
      </c>
      <c r="B969" s="55" t="s">
        <v>59</v>
      </c>
      <c r="C969" s="55" t="s">
        <v>60</v>
      </c>
      <c r="D969" s="57">
        <v>27971</v>
      </c>
      <c r="E969" s="55">
        <v>5379</v>
      </c>
      <c r="F969" s="55">
        <v>30</v>
      </c>
      <c r="G969" s="55">
        <v>0</v>
      </c>
      <c r="H969" s="55">
        <v>0</v>
      </c>
      <c r="I969" s="55">
        <v>1</v>
      </c>
      <c r="J969" s="55">
        <v>0</v>
      </c>
    </row>
    <row r="970" spans="1:10" ht="15" x14ac:dyDescent="0.4">
      <c r="A970" s="54">
        <v>46015</v>
      </c>
      <c r="B970" s="55" t="s">
        <v>55</v>
      </c>
      <c r="C970" s="55" t="s">
        <v>56</v>
      </c>
      <c r="D970" s="57">
        <v>35359</v>
      </c>
      <c r="E970" s="55">
        <v>25256</v>
      </c>
      <c r="F970" s="55">
        <v>313</v>
      </c>
      <c r="G970" s="55">
        <v>8</v>
      </c>
      <c r="H970" s="55">
        <v>2</v>
      </c>
      <c r="I970" s="55">
        <v>0</v>
      </c>
      <c r="J970" s="55">
        <v>1</v>
      </c>
    </row>
    <row r="971" spans="1:10" ht="15" x14ac:dyDescent="0.4">
      <c r="A971" s="54">
        <v>46015</v>
      </c>
      <c r="B971" s="55" t="s">
        <v>62</v>
      </c>
      <c r="C971" s="55" t="s">
        <v>56</v>
      </c>
      <c r="D971" s="57">
        <v>9319</v>
      </c>
      <c r="E971" s="55">
        <v>6656</v>
      </c>
      <c r="F971" s="55">
        <v>68</v>
      </c>
      <c r="G971" s="55">
        <v>1</v>
      </c>
      <c r="H971" s="55">
        <v>1</v>
      </c>
      <c r="I971" s="55">
        <v>0</v>
      </c>
      <c r="J971" s="55">
        <v>0</v>
      </c>
    </row>
    <row r="972" spans="1:10" ht="15" x14ac:dyDescent="0.4">
      <c r="A972" s="54">
        <v>46016</v>
      </c>
      <c r="B972" s="55" t="s">
        <v>61</v>
      </c>
      <c r="C972" s="55" t="s">
        <v>56</v>
      </c>
      <c r="D972" s="57">
        <v>15360</v>
      </c>
      <c r="E972" s="55">
        <v>10971</v>
      </c>
      <c r="F972" s="55">
        <v>136</v>
      </c>
      <c r="G972" s="55">
        <v>1</v>
      </c>
      <c r="H972" s="55">
        <v>0</v>
      </c>
      <c r="I972" s="55">
        <v>0</v>
      </c>
      <c r="J972" s="55">
        <v>0</v>
      </c>
    </row>
    <row r="973" spans="1:10" ht="15" x14ac:dyDescent="0.4">
      <c r="A973" s="54">
        <v>46016</v>
      </c>
      <c r="B973" s="55" t="s">
        <v>63</v>
      </c>
      <c r="C973" s="55" t="s">
        <v>58</v>
      </c>
      <c r="D973" s="57">
        <v>7466</v>
      </c>
      <c r="E973" s="55">
        <v>1555</v>
      </c>
      <c r="F973" s="55">
        <v>70</v>
      </c>
      <c r="G973" s="55">
        <v>0</v>
      </c>
      <c r="H973" s="55">
        <v>2</v>
      </c>
      <c r="I973" s="55">
        <v>1</v>
      </c>
      <c r="J973" s="55">
        <v>0</v>
      </c>
    </row>
    <row r="974" spans="1:10" ht="15" x14ac:dyDescent="0.4">
      <c r="A974" s="54">
        <v>46016</v>
      </c>
      <c r="B974" s="55" t="s">
        <v>57</v>
      </c>
      <c r="C974" s="55" t="s">
        <v>58</v>
      </c>
      <c r="D974" s="57">
        <v>22809</v>
      </c>
      <c r="E974" s="55">
        <v>4751</v>
      </c>
      <c r="F974" s="55">
        <v>231</v>
      </c>
      <c r="G974" s="55">
        <v>3</v>
      </c>
      <c r="H974" s="55">
        <v>0</v>
      </c>
      <c r="I974" s="55">
        <v>1</v>
      </c>
      <c r="J974" s="55">
        <v>0</v>
      </c>
    </row>
    <row r="975" spans="1:10" ht="15" x14ac:dyDescent="0.4">
      <c r="A975" s="54">
        <v>46016</v>
      </c>
      <c r="B975" s="55" t="s">
        <v>59</v>
      </c>
      <c r="C975" s="55" t="s">
        <v>60</v>
      </c>
      <c r="D975" s="57">
        <v>25383</v>
      </c>
      <c r="E975" s="55">
        <v>4881</v>
      </c>
      <c r="F975" s="55">
        <v>33</v>
      </c>
      <c r="G975" s="55">
        <v>0</v>
      </c>
      <c r="H975" s="55">
        <v>0</v>
      </c>
      <c r="I975" s="55">
        <v>0</v>
      </c>
      <c r="J975" s="55">
        <v>0</v>
      </c>
    </row>
    <row r="976" spans="1:10" ht="15" x14ac:dyDescent="0.4">
      <c r="A976" s="54">
        <v>46016</v>
      </c>
      <c r="B976" s="55" t="s">
        <v>55</v>
      </c>
      <c r="C976" s="55" t="s">
        <v>56</v>
      </c>
      <c r="D976" s="57">
        <v>34343</v>
      </c>
      <c r="E976" s="55">
        <v>24530</v>
      </c>
      <c r="F976" s="55">
        <v>279</v>
      </c>
      <c r="G976" s="55">
        <v>7</v>
      </c>
      <c r="H976" s="55">
        <v>4</v>
      </c>
      <c r="I976" s="55">
        <v>0</v>
      </c>
      <c r="J976" s="55">
        <v>1</v>
      </c>
    </row>
    <row r="977" spans="1:10" ht="15" x14ac:dyDescent="0.4">
      <c r="A977" s="54">
        <v>46016</v>
      </c>
      <c r="B977" s="55" t="s">
        <v>62</v>
      </c>
      <c r="C977" s="55" t="s">
        <v>56</v>
      </c>
      <c r="D977" s="57">
        <v>8776</v>
      </c>
      <c r="E977" s="55">
        <v>6268</v>
      </c>
      <c r="F977" s="55">
        <v>67</v>
      </c>
      <c r="G977" s="55">
        <v>0</v>
      </c>
      <c r="H977" s="55">
        <v>0</v>
      </c>
      <c r="I977" s="55">
        <v>1</v>
      </c>
      <c r="J977" s="55">
        <v>0</v>
      </c>
    </row>
    <row r="978" spans="1:10" ht="15" x14ac:dyDescent="0.4">
      <c r="A978" s="54">
        <v>46017</v>
      </c>
      <c r="B978" s="55" t="s">
        <v>61</v>
      </c>
      <c r="C978" s="55" t="s">
        <v>56</v>
      </c>
      <c r="D978" s="57">
        <v>15206</v>
      </c>
      <c r="E978" s="55">
        <v>10861</v>
      </c>
      <c r="F978" s="55">
        <v>117</v>
      </c>
      <c r="G978" s="55">
        <v>1</v>
      </c>
      <c r="H978" s="55">
        <v>0</v>
      </c>
      <c r="I978" s="55">
        <v>0</v>
      </c>
      <c r="J978" s="55">
        <v>0</v>
      </c>
    </row>
    <row r="979" spans="1:10" ht="15" x14ac:dyDescent="0.4">
      <c r="A979" s="54">
        <v>46017</v>
      </c>
      <c r="B979" s="55" t="s">
        <v>63</v>
      </c>
      <c r="C979" s="55" t="s">
        <v>58</v>
      </c>
      <c r="D979" s="57">
        <v>6622</v>
      </c>
      <c r="E979" s="55">
        <v>1379</v>
      </c>
      <c r="F979" s="55">
        <v>80</v>
      </c>
      <c r="G979" s="55">
        <v>4</v>
      </c>
      <c r="H979" s="55">
        <v>0</v>
      </c>
      <c r="I979" s="55">
        <v>0</v>
      </c>
      <c r="J979" s="55">
        <v>0</v>
      </c>
    </row>
    <row r="980" spans="1:10" ht="15" x14ac:dyDescent="0.4">
      <c r="A980" s="54">
        <v>46017</v>
      </c>
      <c r="B980" s="55" t="s">
        <v>57</v>
      </c>
      <c r="C980" s="55" t="s">
        <v>58</v>
      </c>
      <c r="D980" s="57">
        <v>21926</v>
      </c>
      <c r="E980" s="55">
        <v>4567</v>
      </c>
      <c r="F980" s="55">
        <v>271</v>
      </c>
      <c r="G980" s="55">
        <v>6</v>
      </c>
      <c r="H980" s="55">
        <v>1</v>
      </c>
      <c r="I980" s="55">
        <v>0</v>
      </c>
      <c r="J980" s="55">
        <v>0</v>
      </c>
    </row>
    <row r="981" spans="1:10" ht="15" x14ac:dyDescent="0.4">
      <c r="A981" s="54">
        <v>46017</v>
      </c>
      <c r="B981" s="55" t="s">
        <v>59</v>
      </c>
      <c r="C981" s="55" t="s">
        <v>60</v>
      </c>
      <c r="D981" s="57">
        <v>22987</v>
      </c>
      <c r="E981" s="55">
        <v>4420</v>
      </c>
      <c r="F981" s="55">
        <v>30</v>
      </c>
      <c r="G981" s="55">
        <v>1</v>
      </c>
      <c r="H981" s="55">
        <v>0</v>
      </c>
      <c r="I981" s="55">
        <v>0</v>
      </c>
      <c r="J981" s="55">
        <v>0</v>
      </c>
    </row>
    <row r="982" spans="1:10" ht="15" x14ac:dyDescent="0.4">
      <c r="A982" s="54">
        <v>46017</v>
      </c>
      <c r="B982" s="55" t="s">
        <v>55</v>
      </c>
      <c r="C982" s="55" t="s">
        <v>56</v>
      </c>
      <c r="D982" s="57">
        <v>29287</v>
      </c>
      <c r="E982" s="55">
        <v>20919</v>
      </c>
      <c r="F982" s="55">
        <v>257</v>
      </c>
      <c r="G982" s="55">
        <v>3</v>
      </c>
      <c r="H982" s="55">
        <v>1</v>
      </c>
      <c r="I982" s="55">
        <v>0</v>
      </c>
      <c r="J982" s="55">
        <v>0</v>
      </c>
    </row>
    <row r="983" spans="1:10" ht="15" x14ac:dyDescent="0.4">
      <c r="A983" s="54">
        <v>46017</v>
      </c>
      <c r="B983" s="55" t="s">
        <v>62</v>
      </c>
      <c r="C983" s="55" t="s">
        <v>56</v>
      </c>
      <c r="D983" s="57">
        <v>9745</v>
      </c>
      <c r="E983" s="55">
        <v>6960</v>
      </c>
      <c r="F983" s="55">
        <v>69</v>
      </c>
      <c r="G983" s="55">
        <v>2</v>
      </c>
      <c r="H983" s="55">
        <v>1</v>
      </c>
      <c r="I983" s="55">
        <v>0</v>
      </c>
      <c r="J983" s="55">
        <v>0</v>
      </c>
    </row>
    <row r="984" spans="1:10" ht="15" x14ac:dyDescent="0.4">
      <c r="A984" s="54">
        <v>46018</v>
      </c>
      <c r="B984" s="55" t="s">
        <v>61</v>
      </c>
      <c r="C984" s="55" t="s">
        <v>56</v>
      </c>
      <c r="D984" s="57">
        <v>16722</v>
      </c>
      <c r="E984" s="55">
        <v>11944</v>
      </c>
      <c r="F984" s="55">
        <v>134</v>
      </c>
      <c r="G984" s="55">
        <v>3</v>
      </c>
      <c r="H984" s="55">
        <v>0</v>
      </c>
      <c r="I984" s="55">
        <v>0</v>
      </c>
      <c r="J984" s="55">
        <v>0</v>
      </c>
    </row>
    <row r="985" spans="1:10" ht="15" x14ac:dyDescent="0.4">
      <c r="A985" s="54">
        <v>46018</v>
      </c>
      <c r="B985" s="55" t="s">
        <v>63</v>
      </c>
      <c r="C985" s="55" t="s">
        <v>58</v>
      </c>
      <c r="D985" s="57">
        <v>7363</v>
      </c>
      <c r="E985" s="55">
        <v>1533</v>
      </c>
      <c r="F985" s="55">
        <v>90</v>
      </c>
      <c r="G985" s="55">
        <v>3</v>
      </c>
      <c r="H985" s="55">
        <v>1</v>
      </c>
      <c r="I985" s="55">
        <v>1</v>
      </c>
      <c r="J985" s="55">
        <v>0</v>
      </c>
    </row>
    <row r="986" spans="1:10" ht="15" x14ac:dyDescent="0.4">
      <c r="A986" s="54">
        <v>46018</v>
      </c>
      <c r="B986" s="55" t="s">
        <v>57</v>
      </c>
      <c r="C986" s="55" t="s">
        <v>58</v>
      </c>
      <c r="D986" s="57">
        <v>22515</v>
      </c>
      <c r="E986" s="55">
        <v>4690</v>
      </c>
      <c r="F986" s="55">
        <v>224</v>
      </c>
      <c r="G986" s="55">
        <v>0</v>
      </c>
      <c r="H986" s="55">
        <v>2</v>
      </c>
      <c r="I986" s="55">
        <v>2</v>
      </c>
      <c r="J986" s="55">
        <v>0</v>
      </c>
    </row>
    <row r="987" spans="1:10" ht="15" x14ac:dyDescent="0.4">
      <c r="A987" s="54">
        <v>46018</v>
      </c>
      <c r="B987" s="55" t="s">
        <v>59</v>
      </c>
      <c r="C987" s="55" t="s">
        <v>60</v>
      </c>
      <c r="D987" s="57">
        <v>25122</v>
      </c>
      <c r="E987" s="55">
        <v>4831</v>
      </c>
      <c r="F987" s="55">
        <v>34</v>
      </c>
      <c r="G987" s="55">
        <v>0</v>
      </c>
      <c r="H987" s="55">
        <v>0</v>
      </c>
      <c r="I987" s="55">
        <v>0</v>
      </c>
      <c r="J987" s="55">
        <v>0</v>
      </c>
    </row>
    <row r="988" spans="1:10" ht="15" x14ac:dyDescent="0.4">
      <c r="A988" s="54">
        <v>46018</v>
      </c>
      <c r="B988" s="55" t="s">
        <v>55</v>
      </c>
      <c r="C988" s="55" t="s">
        <v>56</v>
      </c>
      <c r="D988" s="57">
        <v>34769</v>
      </c>
      <c r="E988" s="55">
        <v>24835</v>
      </c>
      <c r="F988" s="55">
        <v>310</v>
      </c>
      <c r="G988" s="55">
        <v>4</v>
      </c>
      <c r="H988" s="55">
        <v>0</v>
      </c>
      <c r="I988" s="55">
        <v>1</v>
      </c>
      <c r="J988" s="55">
        <v>1</v>
      </c>
    </row>
    <row r="989" spans="1:10" ht="15" x14ac:dyDescent="0.4">
      <c r="A989" s="54">
        <v>46018</v>
      </c>
      <c r="B989" s="55" t="s">
        <v>62</v>
      </c>
      <c r="C989" s="55" t="s">
        <v>56</v>
      </c>
      <c r="D989" s="57">
        <v>10175</v>
      </c>
      <c r="E989" s="55">
        <v>7267</v>
      </c>
      <c r="F989" s="55">
        <v>72</v>
      </c>
      <c r="G989" s="55">
        <v>2</v>
      </c>
      <c r="H989" s="55">
        <v>1</v>
      </c>
      <c r="I989" s="55">
        <v>1</v>
      </c>
      <c r="J989" s="55">
        <v>0</v>
      </c>
    </row>
    <row r="990" spans="1:10" ht="15" x14ac:dyDescent="0.4">
      <c r="A990" s="54">
        <v>46019</v>
      </c>
      <c r="B990" s="55" t="s">
        <v>61</v>
      </c>
      <c r="C990" s="55" t="s">
        <v>56</v>
      </c>
      <c r="D990" s="57">
        <v>16794</v>
      </c>
      <c r="E990" s="55">
        <v>11995</v>
      </c>
      <c r="F990" s="55">
        <v>149</v>
      </c>
      <c r="G990" s="55">
        <v>4</v>
      </c>
      <c r="H990" s="55">
        <v>0</v>
      </c>
      <c r="I990" s="55">
        <v>0</v>
      </c>
      <c r="J990" s="55">
        <v>0</v>
      </c>
    </row>
    <row r="991" spans="1:10" ht="15" x14ac:dyDescent="0.4">
      <c r="A991" s="54">
        <v>46019</v>
      </c>
      <c r="B991" s="55" t="s">
        <v>63</v>
      </c>
      <c r="C991" s="55" t="s">
        <v>58</v>
      </c>
      <c r="D991" s="57">
        <v>7420</v>
      </c>
      <c r="E991" s="55">
        <v>1545</v>
      </c>
      <c r="F991" s="55">
        <v>83</v>
      </c>
      <c r="G991" s="55">
        <v>4</v>
      </c>
      <c r="H991" s="55">
        <v>1</v>
      </c>
      <c r="I991" s="55">
        <v>1</v>
      </c>
      <c r="J991" s="55">
        <v>0</v>
      </c>
    </row>
    <row r="992" spans="1:10" ht="15" x14ac:dyDescent="0.4">
      <c r="A992" s="54">
        <v>46019</v>
      </c>
      <c r="B992" s="55" t="s">
        <v>57</v>
      </c>
      <c r="C992" s="55" t="s">
        <v>58</v>
      </c>
      <c r="D992" s="57">
        <v>22437</v>
      </c>
      <c r="E992" s="55">
        <v>4674</v>
      </c>
      <c r="F992" s="55">
        <v>262</v>
      </c>
      <c r="G992" s="55">
        <v>0</v>
      </c>
      <c r="H992" s="55">
        <v>0</v>
      </c>
      <c r="I992" s="55">
        <v>0</v>
      </c>
      <c r="J992" s="55">
        <v>1</v>
      </c>
    </row>
    <row r="993" spans="1:10" ht="15" x14ac:dyDescent="0.4">
      <c r="A993" s="54">
        <v>46019</v>
      </c>
      <c r="B993" s="55" t="s">
        <v>59</v>
      </c>
      <c r="C993" s="55" t="s">
        <v>60</v>
      </c>
      <c r="D993" s="57">
        <v>26065</v>
      </c>
      <c r="E993" s="55">
        <v>5012</v>
      </c>
      <c r="F993" s="55">
        <v>28</v>
      </c>
      <c r="G993" s="55">
        <v>0</v>
      </c>
      <c r="H993" s="55">
        <v>0</v>
      </c>
      <c r="I993" s="55">
        <v>0</v>
      </c>
      <c r="J993" s="55">
        <v>0</v>
      </c>
    </row>
    <row r="994" spans="1:10" ht="15" x14ac:dyDescent="0.4">
      <c r="A994" s="54">
        <v>46019</v>
      </c>
      <c r="B994" s="55" t="s">
        <v>55</v>
      </c>
      <c r="C994" s="55" t="s">
        <v>56</v>
      </c>
      <c r="D994" s="57">
        <v>32096</v>
      </c>
      <c r="E994" s="55">
        <v>22925</v>
      </c>
      <c r="F994" s="55">
        <v>259</v>
      </c>
      <c r="G994" s="55">
        <v>6</v>
      </c>
      <c r="H994" s="55">
        <v>0</v>
      </c>
      <c r="I994" s="55">
        <v>1</v>
      </c>
      <c r="J994" s="55">
        <v>0</v>
      </c>
    </row>
    <row r="995" spans="1:10" ht="15" x14ac:dyDescent="0.4">
      <c r="A995" s="54">
        <v>46019</v>
      </c>
      <c r="B995" s="55" t="s">
        <v>62</v>
      </c>
      <c r="C995" s="55" t="s">
        <v>56</v>
      </c>
      <c r="D995" s="57">
        <v>10234</v>
      </c>
      <c r="E995" s="55">
        <v>7310</v>
      </c>
      <c r="F995" s="55">
        <v>78</v>
      </c>
      <c r="G995" s="55">
        <v>1</v>
      </c>
      <c r="H995" s="55">
        <v>0</v>
      </c>
      <c r="I995" s="55">
        <v>1</v>
      </c>
      <c r="J995" s="55">
        <v>0</v>
      </c>
    </row>
    <row r="996" spans="1:10" ht="15" x14ac:dyDescent="0.4">
      <c r="A996" s="54">
        <v>46020</v>
      </c>
      <c r="B996" s="55" t="s">
        <v>61</v>
      </c>
      <c r="C996" s="55" t="s">
        <v>56</v>
      </c>
      <c r="D996" s="57">
        <v>17997</v>
      </c>
      <c r="E996" s="55">
        <v>12855</v>
      </c>
      <c r="F996" s="55">
        <v>154</v>
      </c>
      <c r="G996" s="55">
        <v>4</v>
      </c>
      <c r="H996" s="55">
        <v>0</v>
      </c>
      <c r="I996" s="55">
        <v>0</v>
      </c>
      <c r="J996" s="55">
        <v>0</v>
      </c>
    </row>
    <row r="997" spans="1:10" ht="15" x14ac:dyDescent="0.4">
      <c r="A997" s="54">
        <v>46020</v>
      </c>
      <c r="B997" s="55" t="s">
        <v>63</v>
      </c>
      <c r="C997" s="55" t="s">
        <v>58</v>
      </c>
      <c r="D997" s="57">
        <v>6851</v>
      </c>
      <c r="E997" s="55">
        <v>1427</v>
      </c>
      <c r="F997" s="55">
        <v>81</v>
      </c>
      <c r="G997" s="55">
        <v>1</v>
      </c>
      <c r="H997" s="55">
        <v>0</v>
      </c>
      <c r="I997" s="55">
        <v>0</v>
      </c>
      <c r="J997" s="55">
        <v>0</v>
      </c>
    </row>
    <row r="998" spans="1:10" ht="15" x14ac:dyDescent="0.4">
      <c r="A998" s="54">
        <v>46020</v>
      </c>
      <c r="B998" s="55" t="s">
        <v>57</v>
      </c>
      <c r="C998" s="55" t="s">
        <v>58</v>
      </c>
      <c r="D998" s="57">
        <v>21060</v>
      </c>
      <c r="E998" s="55">
        <v>4387</v>
      </c>
      <c r="F998" s="55">
        <v>249</v>
      </c>
      <c r="G998" s="55">
        <v>1</v>
      </c>
      <c r="H998" s="55">
        <v>2</v>
      </c>
      <c r="I998" s="55">
        <v>0</v>
      </c>
      <c r="J998" s="55">
        <v>0</v>
      </c>
    </row>
    <row r="999" spans="1:10" ht="15" x14ac:dyDescent="0.4">
      <c r="A999" s="54">
        <v>46020</v>
      </c>
      <c r="B999" s="55" t="s">
        <v>59</v>
      </c>
      <c r="C999" s="55" t="s">
        <v>60</v>
      </c>
      <c r="D999" s="57">
        <v>27775</v>
      </c>
      <c r="E999" s="55">
        <v>5341</v>
      </c>
      <c r="F999" s="55">
        <v>37</v>
      </c>
      <c r="G999" s="55">
        <v>2</v>
      </c>
      <c r="H999" s="55">
        <v>0</v>
      </c>
      <c r="I999" s="55">
        <v>0</v>
      </c>
      <c r="J999" s="55">
        <v>0</v>
      </c>
    </row>
    <row r="1000" spans="1:10" ht="15" x14ac:dyDescent="0.4">
      <c r="A1000" s="54">
        <v>46020</v>
      </c>
      <c r="B1000" s="55" t="s">
        <v>55</v>
      </c>
      <c r="C1000" s="55" t="s">
        <v>56</v>
      </c>
      <c r="D1000" s="57">
        <v>34360</v>
      </c>
      <c r="E1000" s="55">
        <v>24542</v>
      </c>
      <c r="F1000" s="55">
        <v>296</v>
      </c>
      <c r="G1000" s="55">
        <v>5</v>
      </c>
      <c r="H1000" s="55">
        <v>2</v>
      </c>
      <c r="I1000" s="55">
        <v>0</v>
      </c>
      <c r="J1000" s="55">
        <v>0</v>
      </c>
    </row>
    <row r="1001" spans="1:10" ht="15" x14ac:dyDescent="0.4">
      <c r="A1001" s="54">
        <v>46020</v>
      </c>
      <c r="B1001" s="55" t="s">
        <v>62</v>
      </c>
      <c r="C1001" s="55" t="s">
        <v>56</v>
      </c>
      <c r="D1001" s="57">
        <v>8860</v>
      </c>
      <c r="E1001" s="55">
        <v>6328</v>
      </c>
      <c r="F1001" s="55">
        <v>75</v>
      </c>
      <c r="G1001" s="55">
        <v>2</v>
      </c>
      <c r="H1001" s="55">
        <v>0</v>
      </c>
      <c r="I1001" s="55">
        <v>1</v>
      </c>
      <c r="J1001" s="55">
        <v>0</v>
      </c>
    </row>
    <row r="1002" spans="1:10" ht="15" x14ac:dyDescent="0.4">
      <c r="A1002" s="54">
        <v>46021</v>
      </c>
      <c r="B1002" s="55" t="s">
        <v>61</v>
      </c>
      <c r="C1002" s="55" t="s">
        <v>56</v>
      </c>
      <c r="D1002" s="57">
        <v>17114</v>
      </c>
      <c r="E1002" s="55">
        <v>12224</v>
      </c>
      <c r="F1002" s="55">
        <v>119</v>
      </c>
      <c r="G1002" s="55">
        <v>1</v>
      </c>
      <c r="H1002" s="55">
        <v>1</v>
      </c>
      <c r="I1002" s="55">
        <v>0</v>
      </c>
      <c r="J1002" s="55">
        <v>0</v>
      </c>
    </row>
    <row r="1003" spans="1:10" ht="15" x14ac:dyDescent="0.4">
      <c r="A1003" s="54">
        <v>46021</v>
      </c>
      <c r="B1003" s="55" t="s">
        <v>63</v>
      </c>
      <c r="C1003" s="55" t="s">
        <v>58</v>
      </c>
      <c r="D1003" s="57">
        <v>6820</v>
      </c>
      <c r="E1003" s="55">
        <v>1420</v>
      </c>
      <c r="F1003" s="55">
        <v>80</v>
      </c>
      <c r="G1003" s="55">
        <v>2</v>
      </c>
      <c r="H1003" s="55">
        <v>2</v>
      </c>
      <c r="I1003" s="55">
        <v>0</v>
      </c>
      <c r="J1003" s="55">
        <v>1</v>
      </c>
    </row>
    <row r="1004" spans="1:10" ht="15" x14ac:dyDescent="0.4">
      <c r="A1004" s="54">
        <v>46021</v>
      </c>
      <c r="B1004" s="55" t="s">
        <v>57</v>
      </c>
      <c r="C1004" s="55" t="s">
        <v>58</v>
      </c>
      <c r="D1004" s="57">
        <v>22267</v>
      </c>
      <c r="E1004" s="55">
        <v>4638</v>
      </c>
      <c r="F1004" s="55">
        <v>267</v>
      </c>
      <c r="G1004" s="55">
        <v>2</v>
      </c>
      <c r="H1004" s="55">
        <v>0</v>
      </c>
      <c r="I1004" s="55">
        <v>1</v>
      </c>
      <c r="J1004" s="55">
        <v>0</v>
      </c>
    </row>
    <row r="1005" spans="1:10" ht="15" x14ac:dyDescent="0.4">
      <c r="A1005" s="54">
        <v>46021</v>
      </c>
      <c r="B1005" s="55" t="s">
        <v>59</v>
      </c>
      <c r="C1005" s="55" t="s">
        <v>60</v>
      </c>
      <c r="D1005" s="57">
        <v>23703</v>
      </c>
      <c r="E1005" s="55">
        <v>4558</v>
      </c>
      <c r="F1005" s="55">
        <v>29</v>
      </c>
      <c r="G1005" s="55">
        <v>0</v>
      </c>
      <c r="H1005" s="55">
        <v>0</v>
      </c>
      <c r="I1005" s="55">
        <v>0</v>
      </c>
      <c r="J1005" s="55">
        <v>0</v>
      </c>
    </row>
    <row r="1006" spans="1:10" ht="15" x14ac:dyDescent="0.4">
      <c r="A1006" s="54">
        <v>46021</v>
      </c>
      <c r="B1006" s="55" t="s">
        <v>55</v>
      </c>
      <c r="C1006" s="55" t="s">
        <v>56</v>
      </c>
      <c r="D1006" s="57">
        <v>31776</v>
      </c>
      <c r="E1006" s="55">
        <v>22697</v>
      </c>
      <c r="F1006" s="55">
        <v>279</v>
      </c>
      <c r="G1006" s="55">
        <v>7</v>
      </c>
      <c r="H1006" s="55">
        <v>2</v>
      </c>
      <c r="I1006" s="55">
        <v>0</v>
      </c>
      <c r="J1006" s="55">
        <v>0</v>
      </c>
    </row>
    <row r="1007" spans="1:10" ht="15" x14ac:dyDescent="0.4">
      <c r="A1007" s="54">
        <v>46021</v>
      </c>
      <c r="B1007" s="55" t="s">
        <v>62</v>
      </c>
      <c r="C1007" s="55" t="s">
        <v>56</v>
      </c>
      <c r="D1007" s="57">
        <v>8717</v>
      </c>
      <c r="E1007" s="55">
        <v>6226</v>
      </c>
      <c r="F1007" s="55">
        <v>71</v>
      </c>
      <c r="G1007" s="55">
        <v>0</v>
      </c>
      <c r="H1007" s="55">
        <v>0</v>
      </c>
      <c r="I1007" s="55">
        <v>0</v>
      </c>
      <c r="J1007" s="55">
        <v>0</v>
      </c>
    </row>
    <row r="1008" spans="1:10" ht="15" x14ac:dyDescent="0.4">
      <c r="A1008" s="54">
        <v>46022</v>
      </c>
      <c r="B1008" s="55" t="s">
        <v>61</v>
      </c>
      <c r="C1008" s="55" t="s">
        <v>56</v>
      </c>
      <c r="D1008" s="57">
        <v>15391</v>
      </c>
      <c r="E1008" s="55">
        <v>10993</v>
      </c>
      <c r="F1008" s="55">
        <v>117</v>
      </c>
      <c r="G1008" s="55">
        <v>2</v>
      </c>
      <c r="H1008" s="55">
        <v>1</v>
      </c>
      <c r="I1008" s="55">
        <v>0</v>
      </c>
      <c r="J1008" s="55">
        <v>0</v>
      </c>
    </row>
    <row r="1009" spans="1:10" ht="15" x14ac:dyDescent="0.4">
      <c r="A1009" s="54">
        <v>46022</v>
      </c>
      <c r="B1009" s="55" t="s">
        <v>63</v>
      </c>
      <c r="C1009" s="55" t="s">
        <v>58</v>
      </c>
      <c r="D1009" s="57">
        <v>7112</v>
      </c>
      <c r="E1009" s="55">
        <v>1481</v>
      </c>
      <c r="F1009" s="55">
        <v>76</v>
      </c>
      <c r="G1009" s="55">
        <v>2</v>
      </c>
      <c r="H1009" s="55">
        <v>2</v>
      </c>
      <c r="I1009" s="55">
        <v>0</v>
      </c>
      <c r="J1009" s="55">
        <v>0</v>
      </c>
    </row>
    <row r="1010" spans="1:10" ht="15" x14ac:dyDescent="0.4">
      <c r="A1010" s="54">
        <v>46022</v>
      </c>
      <c r="B1010" s="55" t="s">
        <v>57</v>
      </c>
      <c r="C1010" s="55" t="s">
        <v>58</v>
      </c>
      <c r="D1010" s="57">
        <v>21174</v>
      </c>
      <c r="E1010" s="55">
        <v>4411</v>
      </c>
      <c r="F1010" s="55">
        <v>237</v>
      </c>
      <c r="G1010" s="55">
        <v>1</v>
      </c>
      <c r="H1010" s="55">
        <v>0</v>
      </c>
      <c r="I1010" s="55">
        <v>0</v>
      </c>
      <c r="J1010" s="55">
        <v>0</v>
      </c>
    </row>
    <row r="1011" spans="1:10" ht="15" x14ac:dyDescent="0.4">
      <c r="A1011" s="54">
        <v>46022</v>
      </c>
      <c r="B1011" s="55" t="s">
        <v>59</v>
      </c>
      <c r="C1011" s="55" t="s">
        <v>60</v>
      </c>
      <c r="D1011" s="57">
        <v>27974</v>
      </c>
      <c r="E1011" s="55">
        <v>5379</v>
      </c>
      <c r="F1011" s="55">
        <v>35</v>
      </c>
      <c r="G1011" s="55">
        <v>3</v>
      </c>
      <c r="H1011" s="55">
        <v>1</v>
      </c>
      <c r="I1011" s="55">
        <v>0</v>
      </c>
      <c r="J1011" s="55">
        <v>0</v>
      </c>
    </row>
    <row r="1012" spans="1:10" ht="15" x14ac:dyDescent="0.4">
      <c r="A1012" s="54">
        <v>46022</v>
      </c>
      <c r="B1012" s="55" t="s">
        <v>55</v>
      </c>
      <c r="C1012" s="55" t="s">
        <v>56</v>
      </c>
      <c r="D1012" s="57">
        <v>29653</v>
      </c>
      <c r="E1012" s="55">
        <v>21180</v>
      </c>
      <c r="F1012" s="55">
        <v>236</v>
      </c>
      <c r="G1012" s="55">
        <v>4</v>
      </c>
      <c r="H1012" s="55">
        <v>0</v>
      </c>
      <c r="I1012" s="55">
        <v>0</v>
      </c>
      <c r="J1012" s="55">
        <v>0</v>
      </c>
    </row>
    <row r="1013" spans="1:10" ht="15" x14ac:dyDescent="0.4">
      <c r="A1013" s="54">
        <v>46022</v>
      </c>
      <c r="B1013" s="55" t="s">
        <v>62</v>
      </c>
      <c r="C1013" s="55" t="s">
        <v>56</v>
      </c>
      <c r="D1013" s="57">
        <v>8833</v>
      </c>
      <c r="E1013" s="55">
        <v>6309</v>
      </c>
      <c r="F1013" s="55">
        <v>73</v>
      </c>
      <c r="G1013" s="55">
        <v>3</v>
      </c>
      <c r="H1013" s="55">
        <v>0</v>
      </c>
      <c r="I1013" s="55">
        <v>0</v>
      </c>
      <c r="J1013" s="55">
        <v>0</v>
      </c>
    </row>
    <row r="1014" spans="1:10" ht="15" x14ac:dyDescent="0.4">
      <c r="A1014" s="54">
        <v>46023</v>
      </c>
      <c r="B1014" s="55" t="s">
        <v>61</v>
      </c>
      <c r="C1014" s="55" t="s">
        <v>56</v>
      </c>
      <c r="D1014" s="57">
        <v>17424</v>
      </c>
      <c r="E1014" s="55">
        <v>12445</v>
      </c>
      <c r="F1014" s="55">
        <v>150</v>
      </c>
      <c r="G1014" s="55">
        <v>2</v>
      </c>
      <c r="H1014" s="55">
        <v>1</v>
      </c>
      <c r="I1014" s="55">
        <v>0</v>
      </c>
      <c r="J1014" s="55">
        <v>0</v>
      </c>
    </row>
    <row r="1015" spans="1:10" ht="15" x14ac:dyDescent="0.4">
      <c r="A1015" s="54">
        <v>46023</v>
      </c>
      <c r="B1015" s="55" t="s">
        <v>63</v>
      </c>
      <c r="C1015" s="55" t="s">
        <v>58</v>
      </c>
      <c r="D1015" s="57">
        <v>7534</v>
      </c>
      <c r="E1015" s="55">
        <v>1569</v>
      </c>
      <c r="F1015" s="55">
        <v>80</v>
      </c>
      <c r="G1015" s="55">
        <v>3</v>
      </c>
      <c r="H1015" s="55">
        <v>0</v>
      </c>
      <c r="I1015" s="55">
        <v>1</v>
      </c>
      <c r="J1015" s="55">
        <v>0</v>
      </c>
    </row>
    <row r="1016" spans="1:10" ht="15" x14ac:dyDescent="0.4">
      <c r="A1016" s="54">
        <v>46023</v>
      </c>
      <c r="B1016" s="55" t="s">
        <v>57</v>
      </c>
      <c r="C1016" s="55" t="s">
        <v>58</v>
      </c>
      <c r="D1016" s="57">
        <v>22088</v>
      </c>
      <c r="E1016" s="55">
        <v>4601</v>
      </c>
      <c r="F1016" s="55">
        <v>261</v>
      </c>
      <c r="G1016" s="55">
        <v>3</v>
      </c>
      <c r="H1016" s="55">
        <v>1</v>
      </c>
      <c r="I1016" s="55">
        <v>0</v>
      </c>
      <c r="J1016" s="55">
        <v>0</v>
      </c>
    </row>
    <row r="1017" spans="1:10" ht="15" x14ac:dyDescent="0.4">
      <c r="A1017" s="54">
        <v>46023</v>
      </c>
      <c r="B1017" s="55" t="s">
        <v>59</v>
      </c>
      <c r="C1017" s="55" t="s">
        <v>60</v>
      </c>
      <c r="D1017" s="57">
        <v>23698</v>
      </c>
      <c r="E1017" s="55">
        <v>4557</v>
      </c>
      <c r="F1017" s="55">
        <v>30</v>
      </c>
      <c r="G1017" s="55">
        <v>1</v>
      </c>
      <c r="H1017" s="55">
        <v>0</v>
      </c>
      <c r="I1017" s="55">
        <v>0</v>
      </c>
      <c r="J1017" s="55">
        <v>0</v>
      </c>
    </row>
    <row r="1018" spans="1:10" ht="15" x14ac:dyDescent="0.4">
      <c r="A1018" s="54">
        <v>46023</v>
      </c>
      <c r="B1018" s="55" t="s">
        <v>55</v>
      </c>
      <c r="C1018" s="55" t="s">
        <v>56</v>
      </c>
      <c r="D1018" s="57">
        <v>29259</v>
      </c>
      <c r="E1018" s="55">
        <v>20899</v>
      </c>
      <c r="F1018" s="55">
        <v>229</v>
      </c>
      <c r="G1018" s="55">
        <v>7</v>
      </c>
      <c r="H1018" s="55">
        <v>2</v>
      </c>
      <c r="I1018" s="55">
        <v>0</v>
      </c>
      <c r="J1018" s="55">
        <v>0</v>
      </c>
    </row>
    <row r="1019" spans="1:10" ht="15" x14ac:dyDescent="0.4">
      <c r="A1019" s="54">
        <v>46023</v>
      </c>
      <c r="B1019" s="55" t="s">
        <v>62</v>
      </c>
      <c r="C1019" s="55" t="s">
        <v>56</v>
      </c>
      <c r="D1019" s="57">
        <v>8613</v>
      </c>
      <c r="E1019" s="55">
        <v>6152</v>
      </c>
      <c r="F1019" s="55">
        <v>71</v>
      </c>
      <c r="G1019" s="55">
        <v>2</v>
      </c>
      <c r="H1019" s="55">
        <v>0</v>
      </c>
      <c r="I1019" s="55">
        <v>0</v>
      </c>
      <c r="J1019" s="55">
        <v>0</v>
      </c>
    </row>
    <row r="1020" spans="1:10" ht="15" x14ac:dyDescent="0.4">
      <c r="A1020" s="54">
        <v>46024</v>
      </c>
      <c r="B1020" s="55" t="s">
        <v>61</v>
      </c>
      <c r="C1020" s="55" t="s">
        <v>56</v>
      </c>
      <c r="D1020" s="57">
        <v>17846</v>
      </c>
      <c r="E1020" s="55">
        <v>12747</v>
      </c>
      <c r="F1020" s="55">
        <v>139</v>
      </c>
      <c r="G1020" s="55">
        <v>0</v>
      </c>
      <c r="H1020" s="55">
        <v>0</v>
      </c>
      <c r="I1020" s="55">
        <v>1</v>
      </c>
      <c r="J1020" s="55">
        <v>0</v>
      </c>
    </row>
    <row r="1021" spans="1:10" ht="15" x14ac:dyDescent="0.4">
      <c r="A1021" s="54">
        <v>46024</v>
      </c>
      <c r="B1021" s="55" t="s">
        <v>63</v>
      </c>
      <c r="C1021" s="55" t="s">
        <v>58</v>
      </c>
      <c r="D1021" s="57">
        <v>7262</v>
      </c>
      <c r="E1021" s="55">
        <v>1512</v>
      </c>
      <c r="F1021" s="55">
        <v>86</v>
      </c>
      <c r="G1021" s="55">
        <v>3</v>
      </c>
      <c r="H1021" s="55">
        <v>3</v>
      </c>
      <c r="I1021" s="55">
        <v>0</v>
      </c>
      <c r="J1021" s="55">
        <v>0</v>
      </c>
    </row>
    <row r="1022" spans="1:10" ht="15" x14ac:dyDescent="0.4">
      <c r="A1022" s="54">
        <v>46024</v>
      </c>
      <c r="B1022" s="55" t="s">
        <v>57</v>
      </c>
      <c r="C1022" s="55" t="s">
        <v>58</v>
      </c>
      <c r="D1022" s="57">
        <v>22575</v>
      </c>
      <c r="E1022" s="55">
        <v>4703</v>
      </c>
      <c r="F1022" s="55">
        <v>243</v>
      </c>
      <c r="G1022" s="55">
        <v>2</v>
      </c>
      <c r="H1022" s="55">
        <v>1</v>
      </c>
      <c r="I1022" s="55">
        <v>0</v>
      </c>
      <c r="J1022" s="55">
        <v>0</v>
      </c>
    </row>
    <row r="1023" spans="1:10" ht="15" x14ac:dyDescent="0.4">
      <c r="A1023" s="54">
        <v>46024</v>
      </c>
      <c r="B1023" s="55" t="s">
        <v>59</v>
      </c>
      <c r="C1023" s="55" t="s">
        <v>60</v>
      </c>
      <c r="D1023" s="57">
        <v>23555</v>
      </c>
      <c r="E1023" s="55">
        <v>4529</v>
      </c>
      <c r="F1023" s="55">
        <v>26</v>
      </c>
      <c r="G1023" s="55">
        <v>0</v>
      </c>
      <c r="H1023" s="55">
        <v>0</v>
      </c>
      <c r="I1023" s="55">
        <v>0</v>
      </c>
      <c r="J1023" s="55">
        <v>0</v>
      </c>
    </row>
    <row r="1024" spans="1:10" ht="15" x14ac:dyDescent="0.4">
      <c r="A1024" s="54">
        <v>46024</v>
      </c>
      <c r="B1024" s="55" t="s">
        <v>55</v>
      </c>
      <c r="C1024" s="55" t="s">
        <v>56</v>
      </c>
      <c r="D1024" s="57">
        <v>32375</v>
      </c>
      <c r="E1024" s="55">
        <v>23125</v>
      </c>
      <c r="F1024" s="55">
        <v>264</v>
      </c>
      <c r="G1024" s="55">
        <v>1</v>
      </c>
      <c r="H1024" s="55">
        <v>0</v>
      </c>
      <c r="I1024" s="55">
        <v>2</v>
      </c>
      <c r="J1024" s="55">
        <v>0</v>
      </c>
    </row>
    <row r="1025" spans="1:10" ht="15" x14ac:dyDescent="0.4">
      <c r="A1025" s="54">
        <v>46024</v>
      </c>
      <c r="B1025" s="55" t="s">
        <v>62</v>
      </c>
      <c r="C1025" s="55" t="s">
        <v>56</v>
      </c>
      <c r="D1025" s="57">
        <v>9452</v>
      </c>
      <c r="E1025" s="55">
        <v>6751</v>
      </c>
      <c r="F1025" s="55">
        <v>68</v>
      </c>
      <c r="G1025" s="55">
        <v>0</v>
      </c>
      <c r="H1025" s="55">
        <v>0</v>
      </c>
      <c r="I1025" s="55">
        <v>0</v>
      </c>
      <c r="J1025" s="55">
        <v>1</v>
      </c>
    </row>
    <row r="1026" spans="1:10" ht="15" x14ac:dyDescent="0.4">
      <c r="A1026" s="54">
        <v>46025</v>
      </c>
      <c r="B1026" s="55" t="s">
        <v>61</v>
      </c>
      <c r="C1026" s="55" t="s">
        <v>56</v>
      </c>
      <c r="D1026" s="57">
        <v>17018</v>
      </c>
      <c r="E1026" s="55">
        <v>12155</v>
      </c>
      <c r="F1026" s="55">
        <v>129</v>
      </c>
      <c r="G1026" s="55">
        <v>4</v>
      </c>
      <c r="H1026" s="55">
        <v>0</v>
      </c>
      <c r="I1026" s="55">
        <v>0</v>
      </c>
      <c r="J1026" s="55">
        <v>0</v>
      </c>
    </row>
    <row r="1027" spans="1:10" ht="15" x14ac:dyDescent="0.4">
      <c r="A1027" s="54">
        <v>46025</v>
      </c>
      <c r="B1027" s="55" t="s">
        <v>63</v>
      </c>
      <c r="C1027" s="55" t="s">
        <v>58</v>
      </c>
      <c r="D1027" s="57">
        <v>7450</v>
      </c>
      <c r="E1027" s="55">
        <v>1552</v>
      </c>
      <c r="F1027" s="55">
        <v>76</v>
      </c>
      <c r="G1027" s="55">
        <v>0</v>
      </c>
      <c r="H1027" s="55">
        <v>1</v>
      </c>
      <c r="I1027" s="55">
        <v>0</v>
      </c>
      <c r="J1027" s="55">
        <v>0</v>
      </c>
    </row>
    <row r="1028" spans="1:10" ht="15" x14ac:dyDescent="0.4">
      <c r="A1028" s="54">
        <v>46025</v>
      </c>
      <c r="B1028" s="55" t="s">
        <v>57</v>
      </c>
      <c r="C1028" s="55" t="s">
        <v>58</v>
      </c>
      <c r="D1028" s="57">
        <v>23179</v>
      </c>
      <c r="E1028" s="55">
        <v>4828</v>
      </c>
      <c r="F1028" s="55">
        <v>241</v>
      </c>
      <c r="G1028" s="55">
        <v>5</v>
      </c>
      <c r="H1028" s="55">
        <v>3</v>
      </c>
      <c r="I1028" s="55">
        <v>0</v>
      </c>
      <c r="J1028" s="55">
        <v>0</v>
      </c>
    </row>
    <row r="1029" spans="1:10" ht="15" x14ac:dyDescent="0.4">
      <c r="A1029" s="54">
        <v>46025</v>
      </c>
      <c r="B1029" s="55" t="s">
        <v>59</v>
      </c>
      <c r="C1029" s="55" t="s">
        <v>60</v>
      </c>
      <c r="D1029" s="57">
        <v>24788</v>
      </c>
      <c r="E1029" s="55">
        <v>4766</v>
      </c>
      <c r="F1029" s="55">
        <v>27</v>
      </c>
      <c r="G1029" s="55">
        <v>1</v>
      </c>
      <c r="H1029" s="55">
        <v>0</v>
      </c>
      <c r="I1029" s="55">
        <v>0</v>
      </c>
      <c r="J1029" s="55">
        <v>0</v>
      </c>
    </row>
    <row r="1030" spans="1:10" ht="15" x14ac:dyDescent="0.4">
      <c r="A1030" s="54">
        <v>46025</v>
      </c>
      <c r="B1030" s="55" t="s">
        <v>55</v>
      </c>
      <c r="C1030" s="55" t="s">
        <v>56</v>
      </c>
      <c r="D1030" s="57">
        <v>34000</v>
      </c>
      <c r="E1030" s="55">
        <v>24285</v>
      </c>
      <c r="F1030" s="55">
        <v>277</v>
      </c>
      <c r="G1030" s="55">
        <v>5</v>
      </c>
      <c r="H1030" s="55">
        <v>1</v>
      </c>
      <c r="I1030" s="55">
        <v>1</v>
      </c>
      <c r="J1030" s="55">
        <v>1</v>
      </c>
    </row>
    <row r="1031" spans="1:10" ht="15" x14ac:dyDescent="0.4">
      <c r="A1031" s="54">
        <v>46025</v>
      </c>
      <c r="B1031" s="55" t="s">
        <v>62</v>
      </c>
      <c r="C1031" s="55" t="s">
        <v>56</v>
      </c>
      <c r="D1031" s="57">
        <v>9849</v>
      </c>
      <c r="E1031" s="55">
        <v>7034</v>
      </c>
      <c r="F1031" s="55">
        <v>84</v>
      </c>
      <c r="G1031" s="55">
        <v>1</v>
      </c>
      <c r="H1031" s="55">
        <v>1</v>
      </c>
      <c r="I1031" s="55">
        <v>0</v>
      </c>
      <c r="J1031" s="55">
        <v>0</v>
      </c>
    </row>
    <row r="1032" spans="1:10" ht="15" x14ac:dyDescent="0.4">
      <c r="A1032" s="54">
        <v>46026</v>
      </c>
      <c r="B1032" s="55" t="s">
        <v>61</v>
      </c>
      <c r="C1032" s="55" t="s">
        <v>56</v>
      </c>
      <c r="D1032" s="57">
        <v>17147</v>
      </c>
      <c r="E1032" s="55">
        <v>12247</v>
      </c>
      <c r="F1032" s="55">
        <v>128</v>
      </c>
      <c r="G1032" s="55">
        <v>4</v>
      </c>
      <c r="H1032" s="55">
        <v>1</v>
      </c>
      <c r="I1032" s="55">
        <v>0</v>
      </c>
      <c r="J1032" s="55">
        <v>0</v>
      </c>
    </row>
    <row r="1033" spans="1:10" ht="15" x14ac:dyDescent="0.4">
      <c r="A1033" s="54">
        <v>46026</v>
      </c>
      <c r="B1033" s="55" t="s">
        <v>63</v>
      </c>
      <c r="C1033" s="55" t="s">
        <v>58</v>
      </c>
      <c r="D1033" s="57">
        <v>7082</v>
      </c>
      <c r="E1033" s="55">
        <v>1475</v>
      </c>
      <c r="F1033" s="55">
        <v>80</v>
      </c>
      <c r="G1033" s="55">
        <v>1</v>
      </c>
      <c r="H1033" s="55">
        <v>0</v>
      </c>
      <c r="I1033" s="55">
        <v>0</v>
      </c>
      <c r="J1033" s="55">
        <v>0</v>
      </c>
    </row>
    <row r="1034" spans="1:10" ht="15" x14ac:dyDescent="0.4">
      <c r="A1034" s="54">
        <v>46026</v>
      </c>
      <c r="B1034" s="55" t="s">
        <v>57</v>
      </c>
      <c r="C1034" s="55" t="s">
        <v>58</v>
      </c>
      <c r="D1034" s="57">
        <v>22672</v>
      </c>
      <c r="E1034" s="55">
        <v>4723</v>
      </c>
      <c r="F1034" s="55">
        <v>241</v>
      </c>
      <c r="G1034" s="55">
        <v>2</v>
      </c>
      <c r="H1034" s="55">
        <v>1</v>
      </c>
      <c r="I1034" s="55">
        <v>0</v>
      </c>
      <c r="J1034" s="55">
        <v>1</v>
      </c>
    </row>
    <row r="1035" spans="1:10" ht="15" x14ac:dyDescent="0.4">
      <c r="A1035" s="54">
        <v>46026</v>
      </c>
      <c r="B1035" s="55" t="s">
        <v>59</v>
      </c>
      <c r="C1035" s="55" t="s">
        <v>60</v>
      </c>
      <c r="D1035" s="57">
        <v>27294</v>
      </c>
      <c r="E1035" s="55">
        <v>5248</v>
      </c>
      <c r="F1035" s="55">
        <v>35</v>
      </c>
      <c r="G1035" s="55">
        <v>1</v>
      </c>
      <c r="H1035" s="55">
        <v>2</v>
      </c>
      <c r="I1035" s="55">
        <v>0</v>
      </c>
      <c r="J1035" s="55">
        <v>0</v>
      </c>
    </row>
    <row r="1036" spans="1:10" ht="15" x14ac:dyDescent="0.4">
      <c r="A1036" s="54">
        <v>46026</v>
      </c>
      <c r="B1036" s="55" t="s">
        <v>55</v>
      </c>
      <c r="C1036" s="55" t="s">
        <v>56</v>
      </c>
      <c r="D1036" s="57">
        <v>32473</v>
      </c>
      <c r="E1036" s="55">
        <v>23195</v>
      </c>
      <c r="F1036" s="55">
        <v>292</v>
      </c>
      <c r="G1036" s="55">
        <v>6</v>
      </c>
      <c r="H1036" s="55">
        <v>1</v>
      </c>
      <c r="I1036" s="55">
        <v>0</v>
      </c>
      <c r="J1036" s="55">
        <v>0</v>
      </c>
    </row>
    <row r="1037" spans="1:10" ht="15" x14ac:dyDescent="0.4">
      <c r="A1037" s="54">
        <v>46026</v>
      </c>
      <c r="B1037" s="55" t="s">
        <v>62</v>
      </c>
      <c r="C1037" s="55" t="s">
        <v>56</v>
      </c>
      <c r="D1037" s="57">
        <v>10048</v>
      </c>
      <c r="E1037" s="55">
        <v>7177</v>
      </c>
      <c r="F1037" s="55">
        <v>77</v>
      </c>
      <c r="G1037" s="55">
        <v>2</v>
      </c>
      <c r="H1037" s="55">
        <v>0</v>
      </c>
      <c r="I1037" s="55">
        <v>1</v>
      </c>
      <c r="J1037" s="55">
        <v>0</v>
      </c>
    </row>
    <row r="1038" spans="1:10" ht="15" x14ac:dyDescent="0.4">
      <c r="A1038" s="54">
        <v>46027</v>
      </c>
      <c r="B1038" s="55" t="s">
        <v>61</v>
      </c>
      <c r="C1038" s="55" t="s">
        <v>56</v>
      </c>
      <c r="D1038" s="57">
        <v>18058</v>
      </c>
      <c r="E1038" s="55">
        <v>12898</v>
      </c>
      <c r="F1038" s="55">
        <v>139</v>
      </c>
      <c r="G1038" s="55">
        <v>9</v>
      </c>
      <c r="H1038" s="55">
        <v>0</v>
      </c>
      <c r="I1038" s="55">
        <v>0</v>
      </c>
      <c r="J1038" s="55">
        <v>0</v>
      </c>
    </row>
    <row r="1039" spans="1:10" ht="15" x14ac:dyDescent="0.4">
      <c r="A1039" s="54">
        <v>46027</v>
      </c>
      <c r="B1039" s="55" t="s">
        <v>63</v>
      </c>
      <c r="C1039" s="55" t="s">
        <v>58</v>
      </c>
      <c r="D1039" s="57">
        <v>6319</v>
      </c>
      <c r="E1039" s="55">
        <v>1316</v>
      </c>
      <c r="F1039" s="55">
        <v>78</v>
      </c>
      <c r="G1039" s="55">
        <v>2</v>
      </c>
      <c r="H1039" s="55">
        <v>1</v>
      </c>
      <c r="I1039" s="55">
        <v>0</v>
      </c>
      <c r="J1039" s="55">
        <v>0</v>
      </c>
    </row>
    <row r="1040" spans="1:10" ht="15" x14ac:dyDescent="0.4">
      <c r="A1040" s="54">
        <v>46027</v>
      </c>
      <c r="B1040" s="55" t="s">
        <v>57</v>
      </c>
      <c r="C1040" s="55" t="s">
        <v>58</v>
      </c>
      <c r="D1040" s="57">
        <v>22324</v>
      </c>
      <c r="E1040" s="55">
        <v>4650</v>
      </c>
      <c r="F1040" s="55">
        <v>257</v>
      </c>
      <c r="G1040" s="55">
        <v>4</v>
      </c>
      <c r="H1040" s="55">
        <v>0</v>
      </c>
      <c r="I1040" s="55">
        <v>0</v>
      </c>
      <c r="J1040" s="55">
        <v>0</v>
      </c>
    </row>
    <row r="1041" spans="1:10" ht="15" x14ac:dyDescent="0.4">
      <c r="A1041" s="54">
        <v>46027</v>
      </c>
      <c r="B1041" s="55" t="s">
        <v>59</v>
      </c>
      <c r="C1041" s="55" t="s">
        <v>60</v>
      </c>
      <c r="D1041" s="57">
        <v>26817</v>
      </c>
      <c r="E1041" s="55">
        <v>5157</v>
      </c>
      <c r="F1041" s="55">
        <v>33</v>
      </c>
      <c r="G1041" s="55">
        <v>1</v>
      </c>
      <c r="H1041" s="55">
        <v>1</v>
      </c>
      <c r="I1041" s="55">
        <v>1</v>
      </c>
      <c r="J1041" s="55">
        <v>0</v>
      </c>
    </row>
    <row r="1042" spans="1:10" ht="15" x14ac:dyDescent="0.4">
      <c r="A1042" s="54">
        <v>46027</v>
      </c>
      <c r="B1042" s="55" t="s">
        <v>55</v>
      </c>
      <c r="C1042" s="55" t="s">
        <v>56</v>
      </c>
      <c r="D1042" s="57">
        <v>30400</v>
      </c>
      <c r="E1042" s="55">
        <v>21714</v>
      </c>
      <c r="F1042" s="55">
        <v>244</v>
      </c>
      <c r="G1042" s="55">
        <v>10</v>
      </c>
      <c r="H1042" s="55">
        <v>0</v>
      </c>
      <c r="I1042" s="55">
        <v>0</v>
      </c>
      <c r="J1042" s="55">
        <v>0</v>
      </c>
    </row>
    <row r="1043" spans="1:10" ht="15" x14ac:dyDescent="0.4">
      <c r="A1043" s="54">
        <v>46027</v>
      </c>
      <c r="B1043" s="55" t="s">
        <v>62</v>
      </c>
      <c r="C1043" s="55" t="s">
        <v>56</v>
      </c>
      <c r="D1043" s="57">
        <v>9150</v>
      </c>
      <c r="E1043" s="55">
        <v>6535</v>
      </c>
      <c r="F1043" s="55">
        <v>73</v>
      </c>
      <c r="G1043" s="55">
        <v>9</v>
      </c>
      <c r="H1043" s="55">
        <v>2</v>
      </c>
      <c r="I1043" s="55">
        <v>0</v>
      </c>
      <c r="J1043" s="55">
        <v>0</v>
      </c>
    </row>
    <row r="1044" spans="1:10" ht="15" x14ac:dyDescent="0.4">
      <c r="A1044" s="54">
        <v>46028</v>
      </c>
      <c r="B1044" s="55" t="s">
        <v>61</v>
      </c>
      <c r="C1044" s="55" t="s">
        <v>56</v>
      </c>
      <c r="D1044" s="57">
        <v>16347</v>
      </c>
      <c r="E1044" s="55">
        <v>11676</v>
      </c>
      <c r="F1044" s="55">
        <v>119</v>
      </c>
      <c r="G1044" s="55">
        <v>8</v>
      </c>
      <c r="H1044" s="55">
        <v>0</v>
      </c>
      <c r="I1044" s="55">
        <v>1</v>
      </c>
      <c r="J1044" s="55">
        <v>0</v>
      </c>
    </row>
    <row r="1045" spans="1:10" ht="15" x14ac:dyDescent="0.4">
      <c r="A1045" s="54">
        <v>46028</v>
      </c>
      <c r="B1045" s="55" t="s">
        <v>63</v>
      </c>
      <c r="C1045" s="55" t="s">
        <v>58</v>
      </c>
      <c r="D1045" s="57">
        <v>6745</v>
      </c>
      <c r="E1045" s="55">
        <v>1405</v>
      </c>
      <c r="F1045" s="55">
        <v>83</v>
      </c>
      <c r="G1045" s="55">
        <v>6</v>
      </c>
      <c r="H1045" s="55">
        <v>0</v>
      </c>
      <c r="I1045" s="55">
        <v>1</v>
      </c>
      <c r="J1045" s="55">
        <v>0</v>
      </c>
    </row>
    <row r="1046" spans="1:10" ht="15" x14ac:dyDescent="0.4">
      <c r="A1046" s="54">
        <v>46028</v>
      </c>
      <c r="B1046" s="55" t="s">
        <v>57</v>
      </c>
      <c r="C1046" s="55" t="s">
        <v>58</v>
      </c>
      <c r="D1046" s="57">
        <v>21610</v>
      </c>
      <c r="E1046" s="55">
        <v>4502</v>
      </c>
      <c r="F1046" s="55">
        <v>249</v>
      </c>
      <c r="G1046" s="55">
        <v>4</v>
      </c>
      <c r="H1046" s="55">
        <v>2</v>
      </c>
      <c r="I1046" s="55">
        <v>0</v>
      </c>
      <c r="J1046" s="55">
        <v>0</v>
      </c>
    </row>
    <row r="1047" spans="1:10" ht="15" x14ac:dyDescent="0.4">
      <c r="A1047" s="54">
        <v>46028</v>
      </c>
      <c r="B1047" s="55" t="s">
        <v>59</v>
      </c>
      <c r="C1047" s="55" t="s">
        <v>60</v>
      </c>
      <c r="D1047" s="57">
        <v>26151</v>
      </c>
      <c r="E1047" s="55">
        <v>5029</v>
      </c>
      <c r="F1047" s="55">
        <v>34</v>
      </c>
      <c r="G1047" s="55">
        <v>1</v>
      </c>
      <c r="H1047" s="55">
        <v>0</v>
      </c>
      <c r="I1047" s="55">
        <v>0</v>
      </c>
      <c r="J1047" s="55">
        <v>0</v>
      </c>
    </row>
    <row r="1048" spans="1:10" ht="15" x14ac:dyDescent="0.4">
      <c r="A1048" s="54">
        <v>46028</v>
      </c>
      <c r="B1048" s="55" t="s">
        <v>55</v>
      </c>
      <c r="C1048" s="55" t="s">
        <v>56</v>
      </c>
      <c r="D1048" s="57">
        <v>34315</v>
      </c>
      <c r="E1048" s="55">
        <v>24510</v>
      </c>
      <c r="F1048" s="55">
        <v>301</v>
      </c>
      <c r="G1048" s="55">
        <v>8</v>
      </c>
      <c r="H1048" s="55">
        <v>3</v>
      </c>
      <c r="I1048" s="55">
        <v>0</v>
      </c>
      <c r="J1048" s="55">
        <v>0</v>
      </c>
    </row>
    <row r="1049" spans="1:10" ht="15" x14ac:dyDescent="0.4">
      <c r="A1049" s="54">
        <v>46028</v>
      </c>
      <c r="B1049" s="55" t="s">
        <v>62</v>
      </c>
      <c r="C1049" s="55" t="s">
        <v>56</v>
      </c>
      <c r="D1049" s="57">
        <v>8561</v>
      </c>
      <c r="E1049" s="55">
        <v>6115</v>
      </c>
      <c r="F1049" s="55">
        <v>64</v>
      </c>
      <c r="G1049" s="55">
        <v>4</v>
      </c>
      <c r="H1049" s="55">
        <v>1</v>
      </c>
      <c r="I1049" s="55">
        <v>0</v>
      </c>
      <c r="J1049" s="55">
        <v>0</v>
      </c>
    </row>
    <row r="1050" spans="1:10" ht="15" x14ac:dyDescent="0.4">
      <c r="A1050" s="54">
        <v>46029</v>
      </c>
      <c r="B1050" s="55" t="s">
        <v>61</v>
      </c>
      <c r="C1050" s="55" t="s">
        <v>56</v>
      </c>
      <c r="D1050" s="57">
        <v>17417</v>
      </c>
      <c r="E1050" s="55">
        <v>12440</v>
      </c>
      <c r="F1050" s="55">
        <v>132</v>
      </c>
      <c r="G1050" s="55">
        <v>1</v>
      </c>
      <c r="H1050" s="55">
        <v>2</v>
      </c>
      <c r="I1050" s="55">
        <v>0</v>
      </c>
      <c r="J1050" s="55">
        <v>0</v>
      </c>
    </row>
    <row r="1051" spans="1:10" ht="15" x14ac:dyDescent="0.4">
      <c r="A1051" s="54">
        <v>46029</v>
      </c>
      <c r="B1051" s="55" t="s">
        <v>63</v>
      </c>
      <c r="C1051" s="55" t="s">
        <v>58</v>
      </c>
      <c r="D1051" s="57">
        <v>6390</v>
      </c>
      <c r="E1051" s="55">
        <v>1331</v>
      </c>
      <c r="F1051" s="55">
        <v>68</v>
      </c>
      <c r="G1051" s="55">
        <v>2</v>
      </c>
      <c r="H1051" s="55">
        <v>2</v>
      </c>
      <c r="I1051" s="55">
        <v>1</v>
      </c>
      <c r="J1051" s="55">
        <v>0</v>
      </c>
    </row>
    <row r="1052" spans="1:10" ht="15" x14ac:dyDescent="0.4">
      <c r="A1052" s="54">
        <v>46029</v>
      </c>
      <c r="B1052" s="55" t="s">
        <v>57</v>
      </c>
      <c r="C1052" s="55" t="s">
        <v>58</v>
      </c>
      <c r="D1052" s="57">
        <v>21756</v>
      </c>
      <c r="E1052" s="55">
        <v>4532</v>
      </c>
      <c r="F1052" s="55">
        <v>263</v>
      </c>
      <c r="G1052" s="55">
        <v>6</v>
      </c>
      <c r="H1052" s="55">
        <v>1</v>
      </c>
      <c r="I1052" s="55">
        <v>0</v>
      </c>
      <c r="J1052" s="55">
        <v>0</v>
      </c>
    </row>
    <row r="1053" spans="1:10" ht="15" x14ac:dyDescent="0.4">
      <c r="A1053" s="54">
        <v>46029</v>
      </c>
      <c r="B1053" s="55" t="s">
        <v>59</v>
      </c>
      <c r="C1053" s="55" t="s">
        <v>60</v>
      </c>
      <c r="D1053" s="57">
        <v>24488</v>
      </c>
      <c r="E1053" s="55">
        <v>4709</v>
      </c>
      <c r="F1053" s="55">
        <v>28</v>
      </c>
      <c r="G1053" s="55">
        <v>0</v>
      </c>
      <c r="H1053" s="55">
        <v>0</v>
      </c>
      <c r="I1053" s="55">
        <v>1</v>
      </c>
      <c r="J1053" s="55">
        <v>0</v>
      </c>
    </row>
    <row r="1054" spans="1:10" ht="15" x14ac:dyDescent="0.4">
      <c r="A1054" s="54">
        <v>46029</v>
      </c>
      <c r="B1054" s="55" t="s">
        <v>55</v>
      </c>
      <c r="C1054" s="55" t="s">
        <v>56</v>
      </c>
      <c r="D1054" s="57">
        <v>31163</v>
      </c>
      <c r="E1054" s="55">
        <v>22259</v>
      </c>
      <c r="F1054" s="55">
        <v>224</v>
      </c>
      <c r="G1054" s="55">
        <v>7</v>
      </c>
      <c r="H1054" s="55">
        <v>4</v>
      </c>
      <c r="I1054" s="55">
        <v>1</v>
      </c>
      <c r="J1054" s="55">
        <v>0</v>
      </c>
    </row>
    <row r="1055" spans="1:10" ht="15" x14ac:dyDescent="0.4">
      <c r="A1055" s="54">
        <v>46029</v>
      </c>
      <c r="B1055" s="55" t="s">
        <v>62</v>
      </c>
      <c r="C1055" s="55" t="s">
        <v>56</v>
      </c>
      <c r="D1055" s="57">
        <v>9408</v>
      </c>
      <c r="E1055" s="55">
        <v>6720</v>
      </c>
      <c r="F1055" s="55">
        <v>81</v>
      </c>
      <c r="G1055" s="55">
        <v>5</v>
      </c>
      <c r="H1055" s="55">
        <v>1</v>
      </c>
      <c r="I1055" s="55">
        <v>1</v>
      </c>
      <c r="J1055" s="55">
        <v>0</v>
      </c>
    </row>
    <row r="1056" spans="1:10" ht="15" x14ac:dyDescent="0.4">
      <c r="A1056" s="54">
        <v>46030</v>
      </c>
      <c r="B1056" s="55" t="s">
        <v>61</v>
      </c>
      <c r="C1056" s="55" t="s">
        <v>56</v>
      </c>
      <c r="D1056" s="57">
        <v>16869</v>
      </c>
      <c r="E1056" s="55">
        <v>12049</v>
      </c>
      <c r="F1056" s="55">
        <v>137</v>
      </c>
      <c r="G1056" s="55">
        <v>3</v>
      </c>
      <c r="H1056" s="55">
        <v>1</v>
      </c>
      <c r="I1056" s="55">
        <v>0</v>
      </c>
      <c r="J1056" s="55">
        <v>1</v>
      </c>
    </row>
    <row r="1057" spans="1:10" ht="15" x14ac:dyDescent="0.4">
      <c r="A1057" s="54">
        <v>46030</v>
      </c>
      <c r="B1057" s="55" t="s">
        <v>63</v>
      </c>
      <c r="C1057" s="55" t="s">
        <v>58</v>
      </c>
      <c r="D1057" s="57">
        <v>7503</v>
      </c>
      <c r="E1057" s="55">
        <v>1563</v>
      </c>
      <c r="F1057" s="55">
        <v>77</v>
      </c>
      <c r="G1057" s="55">
        <v>6</v>
      </c>
      <c r="H1057" s="55">
        <v>1</v>
      </c>
      <c r="I1057" s="55">
        <v>1</v>
      </c>
      <c r="J1057" s="55">
        <v>0</v>
      </c>
    </row>
    <row r="1058" spans="1:10" ht="15" x14ac:dyDescent="0.4">
      <c r="A1058" s="54">
        <v>46030</v>
      </c>
      <c r="B1058" s="55" t="s">
        <v>57</v>
      </c>
      <c r="C1058" s="55" t="s">
        <v>58</v>
      </c>
      <c r="D1058" s="57">
        <v>22734</v>
      </c>
      <c r="E1058" s="55">
        <v>4736</v>
      </c>
      <c r="F1058" s="55">
        <v>248</v>
      </c>
      <c r="G1058" s="55">
        <v>5</v>
      </c>
      <c r="H1058" s="55">
        <v>0</v>
      </c>
      <c r="I1058" s="55">
        <v>0</v>
      </c>
      <c r="J1058" s="55">
        <v>0</v>
      </c>
    </row>
    <row r="1059" spans="1:10" ht="15" x14ac:dyDescent="0.4">
      <c r="A1059" s="54">
        <v>46030</v>
      </c>
      <c r="B1059" s="55" t="s">
        <v>59</v>
      </c>
      <c r="C1059" s="55" t="s">
        <v>60</v>
      </c>
      <c r="D1059" s="57">
        <v>27649</v>
      </c>
      <c r="E1059" s="55">
        <v>5317</v>
      </c>
      <c r="F1059" s="55">
        <v>32</v>
      </c>
      <c r="G1059" s="55">
        <v>2</v>
      </c>
      <c r="H1059" s="55">
        <v>0</v>
      </c>
      <c r="I1059" s="55">
        <v>0</v>
      </c>
      <c r="J1059" s="55">
        <v>0</v>
      </c>
    </row>
    <row r="1060" spans="1:10" ht="15" x14ac:dyDescent="0.4">
      <c r="A1060" s="54">
        <v>46030</v>
      </c>
      <c r="B1060" s="55" t="s">
        <v>55</v>
      </c>
      <c r="C1060" s="55" t="s">
        <v>56</v>
      </c>
      <c r="D1060" s="57">
        <v>33367</v>
      </c>
      <c r="E1060" s="55">
        <v>23833</v>
      </c>
      <c r="F1060" s="55">
        <v>234</v>
      </c>
      <c r="G1060" s="55">
        <v>8</v>
      </c>
      <c r="H1060" s="55">
        <v>2</v>
      </c>
      <c r="I1060" s="55">
        <v>0</v>
      </c>
      <c r="J1060" s="55">
        <v>0</v>
      </c>
    </row>
    <row r="1061" spans="1:10" ht="15" x14ac:dyDescent="0.4">
      <c r="A1061" s="54">
        <v>46030</v>
      </c>
      <c r="B1061" s="55" t="s">
        <v>62</v>
      </c>
      <c r="C1061" s="55" t="s">
        <v>56</v>
      </c>
      <c r="D1061" s="57">
        <v>9208</v>
      </c>
      <c r="E1061" s="55">
        <v>6577</v>
      </c>
      <c r="F1061" s="55">
        <v>74</v>
      </c>
      <c r="G1061" s="55">
        <v>3</v>
      </c>
      <c r="H1061" s="55">
        <v>3</v>
      </c>
      <c r="I1061" s="55">
        <v>0</v>
      </c>
      <c r="J1061" s="55">
        <v>0</v>
      </c>
    </row>
    <row r="1062" spans="1:10" ht="15" x14ac:dyDescent="0.4">
      <c r="A1062" s="54">
        <v>46031</v>
      </c>
      <c r="B1062" s="55" t="s">
        <v>61</v>
      </c>
      <c r="C1062" s="55" t="s">
        <v>56</v>
      </c>
      <c r="D1062" s="57">
        <v>16298</v>
      </c>
      <c r="E1062" s="55">
        <v>11641</v>
      </c>
      <c r="F1062" s="55">
        <v>133</v>
      </c>
      <c r="G1062" s="55">
        <v>4</v>
      </c>
      <c r="H1062" s="55">
        <v>2</v>
      </c>
      <c r="I1062" s="55">
        <v>0</v>
      </c>
      <c r="J1062" s="55">
        <v>0</v>
      </c>
    </row>
    <row r="1063" spans="1:10" ht="15" x14ac:dyDescent="0.4">
      <c r="A1063" s="54">
        <v>46031</v>
      </c>
      <c r="B1063" s="55" t="s">
        <v>63</v>
      </c>
      <c r="C1063" s="55" t="s">
        <v>58</v>
      </c>
      <c r="D1063" s="57">
        <v>7136</v>
      </c>
      <c r="E1063" s="55">
        <v>1486</v>
      </c>
      <c r="F1063" s="55">
        <v>68</v>
      </c>
      <c r="G1063" s="55">
        <v>6</v>
      </c>
      <c r="H1063" s="55">
        <v>3</v>
      </c>
      <c r="I1063" s="55">
        <v>0</v>
      </c>
      <c r="J1063" s="55">
        <v>0</v>
      </c>
    </row>
    <row r="1064" spans="1:10" ht="15" x14ac:dyDescent="0.4">
      <c r="A1064" s="54">
        <v>46031</v>
      </c>
      <c r="B1064" s="55" t="s">
        <v>57</v>
      </c>
      <c r="C1064" s="55" t="s">
        <v>58</v>
      </c>
      <c r="D1064" s="57">
        <v>21758</v>
      </c>
      <c r="E1064" s="55">
        <v>4532</v>
      </c>
      <c r="F1064" s="55">
        <v>200</v>
      </c>
      <c r="G1064" s="55">
        <v>3</v>
      </c>
      <c r="H1064" s="55">
        <v>1</v>
      </c>
      <c r="I1064" s="55">
        <v>0</v>
      </c>
      <c r="J1064" s="55">
        <v>0</v>
      </c>
    </row>
    <row r="1065" spans="1:10" ht="15" x14ac:dyDescent="0.4">
      <c r="A1065" s="54">
        <v>46031</v>
      </c>
      <c r="B1065" s="55" t="s">
        <v>59</v>
      </c>
      <c r="C1065" s="55" t="s">
        <v>60</v>
      </c>
      <c r="D1065" s="57">
        <v>27425</v>
      </c>
      <c r="E1065" s="55">
        <v>5274</v>
      </c>
      <c r="F1065" s="55">
        <v>32</v>
      </c>
      <c r="G1065" s="55">
        <v>0</v>
      </c>
      <c r="H1065" s="55">
        <v>0</v>
      </c>
      <c r="I1065" s="55">
        <v>1</v>
      </c>
      <c r="J1065" s="55">
        <v>0</v>
      </c>
    </row>
    <row r="1066" spans="1:10" ht="15" x14ac:dyDescent="0.4">
      <c r="A1066" s="54">
        <v>46031</v>
      </c>
      <c r="B1066" s="55" t="s">
        <v>55</v>
      </c>
      <c r="C1066" s="55" t="s">
        <v>56</v>
      </c>
      <c r="D1066" s="57">
        <v>30579</v>
      </c>
      <c r="E1066" s="55">
        <v>21842</v>
      </c>
      <c r="F1066" s="55">
        <v>241</v>
      </c>
      <c r="G1066" s="55">
        <v>10</v>
      </c>
      <c r="H1066" s="55">
        <v>0</v>
      </c>
      <c r="I1066" s="55">
        <v>1</v>
      </c>
      <c r="J1066" s="55">
        <v>0</v>
      </c>
    </row>
    <row r="1067" spans="1:10" ht="15" x14ac:dyDescent="0.4">
      <c r="A1067" s="54">
        <v>46031</v>
      </c>
      <c r="B1067" s="55" t="s">
        <v>62</v>
      </c>
      <c r="C1067" s="55" t="s">
        <v>56</v>
      </c>
      <c r="D1067" s="57">
        <v>9026</v>
      </c>
      <c r="E1067" s="55">
        <v>6447</v>
      </c>
      <c r="F1067" s="55">
        <v>62</v>
      </c>
      <c r="G1067" s="55">
        <v>5</v>
      </c>
      <c r="H1067" s="55">
        <v>3</v>
      </c>
      <c r="I1067" s="55">
        <v>0</v>
      </c>
      <c r="J1067" s="55">
        <v>0</v>
      </c>
    </row>
    <row r="1068" spans="1:10" ht="15" x14ac:dyDescent="0.4">
      <c r="A1068" s="54">
        <v>46032</v>
      </c>
      <c r="B1068" s="55" t="s">
        <v>61</v>
      </c>
      <c r="C1068" s="55" t="s">
        <v>56</v>
      </c>
      <c r="D1068" s="57">
        <v>15900</v>
      </c>
      <c r="E1068" s="55">
        <v>11357</v>
      </c>
      <c r="F1068" s="55">
        <v>113</v>
      </c>
      <c r="G1068" s="55">
        <v>1</v>
      </c>
      <c r="H1068" s="55">
        <v>0</v>
      </c>
      <c r="I1068" s="55">
        <v>0</v>
      </c>
      <c r="J1068" s="55">
        <v>0</v>
      </c>
    </row>
    <row r="1069" spans="1:10" ht="15" x14ac:dyDescent="0.4">
      <c r="A1069" s="54">
        <v>46032</v>
      </c>
      <c r="B1069" s="55" t="s">
        <v>63</v>
      </c>
      <c r="C1069" s="55" t="s">
        <v>58</v>
      </c>
      <c r="D1069" s="57">
        <v>6432</v>
      </c>
      <c r="E1069" s="55">
        <v>1339</v>
      </c>
      <c r="F1069" s="55">
        <v>75</v>
      </c>
      <c r="G1069" s="55">
        <v>2</v>
      </c>
      <c r="H1069" s="55">
        <v>2</v>
      </c>
      <c r="I1069" s="55">
        <v>1</v>
      </c>
      <c r="J1069" s="55">
        <v>0</v>
      </c>
    </row>
    <row r="1070" spans="1:10" ht="15" x14ac:dyDescent="0.4">
      <c r="A1070" s="54">
        <v>46032</v>
      </c>
      <c r="B1070" s="55" t="s">
        <v>57</v>
      </c>
      <c r="C1070" s="55" t="s">
        <v>58</v>
      </c>
      <c r="D1070" s="57">
        <v>24713</v>
      </c>
      <c r="E1070" s="55">
        <v>5148</v>
      </c>
      <c r="F1070" s="55">
        <v>244</v>
      </c>
      <c r="G1070" s="55">
        <v>7</v>
      </c>
      <c r="H1070" s="55">
        <v>0</v>
      </c>
      <c r="I1070" s="55">
        <v>0</v>
      </c>
      <c r="J1070" s="55">
        <v>0</v>
      </c>
    </row>
    <row r="1071" spans="1:10" ht="15" x14ac:dyDescent="0.4">
      <c r="A1071" s="54">
        <v>46032</v>
      </c>
      <c r="B1071" s="55" t="s">
        <v>59</v>
      </c>
      <c r="C1071" s="55" t="s">
        <v>60</v>
      </c>
      <c r="D1071" s="57">
        <v>24205</v>
      </c>
      <c r="E1071" s="55">
        <v>4654</v>
      </c>
      <c r="F1071" s="55">
        <v>29</v>
      </c>
      <c r="G1071" s="55">
        <v>0</v>
      </c>
      <c r="H1071" s="55">
        <v>0</v>
      </c>
      <c r="I1071" s="55">
        <v>0</v>
      </c>
      <c r="J1071" s="55">
        <v>0</v>
      </c>
    </row>
    <row r="1072" spans="1:10" ht="15" x14ac:dyDescent="0.4">
      <c r="A1072" s="54">
        <v>46032</v>
      </c>
      <c r="B1072" s="55" t="s">
        <v>55</v>
      </c>
      <c r="C1072" s="55" t="s">
        <v>56</v>
      </c>
      <c r="D1072" s="57">
        <v>30941</v>
      </c>
      <c r="E1072" s="55">
        <v>22100</v>
      </c>
      <c r="F1072" s="55">
        <v>236</v>
      </c>
      <c r="G1072" s="55">
        <v>6</v>
      </c>
      <c r="H1072" s="55">
        <v>1</v>
      </c>
      <c r="I1072" s="55">
        <v>1</v>
      </c>
      <c r="J1072" s="55">
        <v>0</v>
      </c>
    </row>
    <row r="1073" spans="1:10" ht="15" x14ac:dyDescent="0.4">
      <c r="A1073" s="54">
        <v>46032</v>
      </c>
      <c r="B1073" s="55" t="s">
        <v>62</v>
      </c>
      <c r="C1073" s="55" t="s">
        <v>56</v>
      </c>
      <c r="D1073" s="57">
        <v>9940</v>
      </c>
      <c r="E1073" s="55">
        <v>7100</v>
      </c>
      <c r="F1073" s="55">
        <v>81</v>
      </c>
      <c r="G1073" s="55">
        <v>3</v>
      </c>
      <c r="H1073" s="55">
        <v>3</v>
      </c>
      <c r="I1073" s="55">
        <v>0</v>
      </c>
      <c r="J1073" s="55">
        <v>1</v>
      </c>
    </row>
    <row r="1074" spans="1:10" ht="15" x14ac:dyDescent="0.4">
      <c r="A1074" s="54">
        <v>46033</v>
      </c>
      <c r="B1074" s="55" t="s">
        <v>61</v>
      </c>
      <c r="C1074" s="55" t="s">
        <v>56</v>
      </c>
      <c r="D1074" s="57">
        <v>17598</v>
      </c>
      <c r="E1074" s="55">
        <v>12569</v>
      </c>
      <c r="F1074" s="55">
        <v>128</v>
      </c>
      <c r="G1074" s="55">
        <v>8</v>
      </c>
      <c r="H1074" s="55">
        <v>0</v>
      </c>
      <c r="I1074" s="55">
        <v>2</v>
      </c>
      <c r="J1074" s="55">
        <v>0</v>
      </c>
    </row>
    <row r="1075" spans="1:10" ht="15" x14ac:dyDescent="0.4">
      <c r="A1075" s="54">
        <v>46033</v>
      </c>
      <c r="B1075" s="55" t="s">
        <v>63</v>
      </c>
      <c r="C1075" s="55" t="s">
        <v>58</v>
      </c>
      <c r="D1075" s="57">
        <v>7520</v>
      </c>
      <c r="E1075" s="55">
        <v>1566</v>
      </c>
      <c r="F1075" s="55">
        <v>69</v>
      </c>
      <c r="G1075" s="55">
        <v>0</v>
      </c>
      <c r="H1075" s="55">
        <v>0</v>
      </c>
      <c r="I1075" s="55">
        <v>1</v>
      </c>
      <c r="J1075" s="55">
        <v>0</v>
      </c>
    </row>
    <row r="1076" spans="1:10" ht="15" x14ac:dyDescent="0.4">
      <c r="A1076" s="54">
        <v>46033</v>
      </c>
      <c r="B1076" s="55" t="s">
        <v>57</v>
      </c>
      <c r="C1076" s="55" t="s">
        <v>58</v>
      </c>
      <c r="D1076" s="57">
        <v>24510</v>
      </c>
      <c r="E1076" s="55">
        <v>5106</v>
      </c>
      <c r="F1076" s="55">
        <v>258</v>
      </c>
      <c r="G1076" s="55">
        <v>1</v>
      </c>
      <c r="H1076" s="55">
        <v>2</v>
      </c>
      <c r="I1076" s="55">
        <v>0</v>
      </c>
      <c r="J1076" s="55">
        <v>1</v>
      </c>
    </row>
    <row r="1077" spans="1:10" ht="15" x14ac:dyDescent="0.4">
      <c r="A1077" s="54">
        <v>46033</v>
      </c>
      <c r="B1077" s="55" t="s">
        <v>59</v>
      </c>
      <c r="C1077" s="55" t="s">
        <v>60</v>
      </c>
      <c r="D1077" s="57">
        <v>24230</v>
      </c>
      <c r="E1077" s="55">
        <v>4659</v>
      </c>
      <c r="F1077" s="55">
        <v>30</v>
      </c>
      <c r="G1077" s="55">
        <v>3</v>
      </c>
      <c r="H1077" s="55">
        <v>0</v>
      </c>
      <c r="I1077" s="55">
        <v>0</v>
      </c>
      <c r="J1077" s="55">
        <v>0</v>
      </c>
    </row>
    <row r="1078" spans="1:10" ht="15" x14ac:dyDescent="0.4">
      <c r="A1078" s="54">
        <v>46033</v>
      </c>
      <c r="B1078" s="55" t="s">
        <v>55</v>
      </c>
      <c r="C1078" s="55" t="s">
        <v>56</v>
      </c>
      <c r="D1078" s="57">
        <v>33047</v>
      </c>
      <c r="E1078" s="55">
        <v>23605</v>
      </c>
      <c r="F1078" s="55">
        <v>270</v>
      </c>
      <c r="G1078" s="55">
        <v>5</v>
      </c>
      <c r="H1078" s="55">
        <v>2</v>
      </c>
      <c r="I1078" s="55">
        <v>2</v>
      </c>
      <c r="J1078" s="55">
        <v>0</v>
      </c>
    </row>
    <row r="1079" spans="1:10" ht="15" x14ac:dyDescent="0.4">
      <c r="A1079" s="54">
        <v>46033</v>
      </c>
      <c r="B1079" s="55" t="s">
        <v>62</v>
      </c>
      <c r="C1079" s="55" t="s">
        <v>56</v>
      </c>
      <c r="D1079" s="57">
        <v>9140</v>
      </c>
      <c r="E1079" s="55">
        <v>6528</v>
      </c>
      <c r="F1079" s="55">
        <v>73</v>
      </c>
      <c r="G1079" s="55">
        <v>3</v>
      </c>
      <c r="H1079" s="55">
        <v>2</v>
      </c>
      <c r="I1079" s="55">
        <v>1</v>
      </c>
      <c r="J1079" s="55">
        <v>1</v>
      </c>
    </row>
    <row r="1080" spans="1:10" ht="15" x14ac:dyDescent="0.4">
      <c r="A1080" s="54">
        <v>46034</v>
      </c>
      <c r="B1080" s="55" t="s">
        <v>61</v>
      </c>
      <c r="C1080" s="55" t="s">
        <v>56</v>
      </c>
      <c r="D1080" s="57">
        <v>16833</v>
      </c>
      <c r="E1080" s="55">
        <v>12023</v>
      </c>
      <c r="F1080" s="55">
        <v>141</v>
      </c>
      <c r="G1080" s="55">
        <v>3</v>
      </c>
      <c r="H1080" s="55">
        <v>1</v>
      </c>
      <c r="I1080" s="55">
        <v>0</v>
      </c>
      <c r="J1080" s="55">
        <v>0</v>
      </c>
    </row>
    <row r="1081" spans="1:10" ht="15" x14ac:dyDescent="0.4">
      <c r="A1081" s="54">
        <v>46034</v>
      </c>
      <c r="B1081" s="55" t="s">
        <v>63</v>
      </c>
      <c r="C1081" s="55" t="s">
        <v>58</v>
      </c>
      <c r="D1081" s="57">
        <v>6739</v>
      </c>
      <c r="E1081" s="55">
        <v>1403</v>
      </c>
      <c r="F1081" s="55">
        <v>70</v>
      </c>
      <c r="G1081" s="55">
        <v>4</v>
      </c>
      <c r="H1081" s="55">
        <v>1</v>
      </c>
      <c r="I1081" s="55">
        <v>1</v>
      </c>
      <c r="J1081" s="55">
        <v>0</v>
      </c>
    </row>
    <row r="1082" spans="1:10" ht="15" x14ac:dyDescent="0.4">
      <c r="A1082" s="54">
        <v>46034</v>
      </c>
      <c r="B1082" s="55" t="s">
        <v>57</v>
      </c>
      <c r="C1082" s="55" t="s">
        <v>58</v>
      </c>
      <c r="D1082" s="57">
        <v>21304</v>
      </c>
      <c r="E1082" s="55">
        <v>4438</v>
      </c>
      <c r="F1082" s="55">
        <v>201</v>
      </c>
      <c r="G1082" s="55">
        <v>3</v>
      </c>
      <c r="H1082" s="55">
        <v>0</v>
      </c>
      <c r="I1082" s="55">
        <v>0</v>
      </c>
      <c r="J1082" s="55">
        <v>0</v>
      </c>
    </row>
    <row r="1083" spans="1:10" ht="15" x14ac:dyDescent="0.4">
      <c r="A1083" s="54">
        <v>46034</v>
      </c>
      <c r="B1083" s="55" t="s">
        <v>59</v>
      </c>
      <c r="C1083" s="55" t="s">
        <v>60</v>
      </c>
      <c r="D1083" s="57">
        <v>26245</v>
      </c>
      <c r="E1083" s="55">
        <v>5047</v>
      </c>
      <c r="F1083" s="55">
        <v>34</v>
      </c>
      <c r="G1083" s="55">
        <v>0</v>
      </c>
      <c r="H1083" s="55">
        <v>2</v>
      </c>
      <c r="I1083" s="55">
        <v>0</v>
      </c>
      <c r="J1083" s="55">
        <v>0</v>
      </c>
    </row>
    <row r="1084" spans="1:10" ht="15" x14ac:dyDescent="0.4">
      <c r="A1084" s="54">
        <v>46034</v>
      </c>
      <c r="B1084" s="55" t="s">
        <v>55</v>
      </c>
      <c r="C1084" s="55" t="s">
        <v>56</v>
      </c>
      <c r="D1084" s="57">
        <v>31354</v>
      </c>
      <c r="E1084" s="55">
        <v>22395</v>
      </c>
      <c r="F1084" s="55">
        <v>235</v>
      </c>
      <c r="G1084" s="55">
        <v>3</v>
      </c>
      <c r="H1084" s="55">
        <v>1</v>
      </c>
      <c r="I1084" s="55">
        <v>0</v>
      </c>
      <c r="J1084" s="55">
        <v>0</v>
      </c>
    </row>
    <row r="1085" spans="1:10" ht="15" x14ac:dyDescent="0.4">
      <c r="A1085" s="54">
        <v>46034</v>
      </c>
      <c r="B1085" s="55" t="s">
        <v>62</v>
      </c>
      <c r="C1085" s="55" t="s">
        <v>56</v>
      </c>
      <c r="D1085" s="57">
        <v>10220</v>
      </c>
      <c r="E1085" s="55">
        <v>7300</v>
      </c>
      <c r="F1085" s="55">
        <v>92</v>
      </c>
      <c r="G1085" s="55">
        <v>6</v>
      </c>
      <c r="H1085" s="55">
        <v>1</v>
      </c>
      <c r="I1085" s="55">
        <v>1</v>
      </c>
      <c r="J1085" s="55">
        <v>0</v>
      </c>
    </row>
    <row r="1086" spans="1:10" ht="15" x14ac:dyDescent="0.4">
      <c r="A1086" s="54">
        <v>46035</v>
      </c>
      <c r="B1086" s="55" t="s">
        <v>61</v>
      </c>
      <c r="C1086" s="55" t="s">
        <v>56</v>
      </c>
      <c r="D1086" s="57">
        <v>16133</v>
      </c>
      <c r="E1086" s="55">
        <v>11523</v>
      </c>
      <c r="F1086" s="55">
        <v>110</v>
      </c>
      <c r="G1086" s="55">
        <v>7</v>
      </c>
      <c r="H1086" s="55">
        <v>3</v>
      </c>
      <c r="I1086" s="55">
        <v>0</v>
      </c>
      <c r="J1086" s="55">
        <v>0</v>
      </c>
    </row>
    <row r="1087" spans="1:10" ht="15" x14ac:dyDescent="0.4">
      <c r="A1087" s="54">
        <v>46035</v>
      </c>
      <c r="B1087" s="55" t="s">
        <v>63</v>
      </c>
      <c r="C1087" s="55" t="s">
        <v>58</v>
      </c>
      <c r="D1087" s="57">
        <v>6253</v>
      </c>
      <c r="E1087" s="55">
        <v>1302</v>
      </c>
      <c r="F1087" s="55">
        <v>64</v>
      </c>
      <c r="G1087" s="55">
        <v>2</v>
      </c>
      <c r="H1087" s="55">
        <v>2</v>
      </c>
      <c r="I1087" s="55">
        <v>0</v>
      </c>
      <c r="J1087" s="55">
        <v>0</v>
      </c>
    </row>
    <row r="1088" spans="1:10" ht="15" x14ac:dyDescent="0.4">
      <c r="A1088" s="54">
        <v>46035</v>
      </c>
      <c r="B1088" s="55" t="s">
        <v>57</v>
      </c>
      <c r="C1088" s="55" t="s">
        <v>58</v>
      </c>
      <c r="D1088" s="57">
        <v>21940</v>
      </c>
      <c r="E1088" s="55">
        <v>4570</v>
      </c>
      <c r="F1088" s="55">
        <v>202</v>
      </c>
      <c r="G1088" s="55">
        <v>0</v>
      </c>
      <c r="H1088" s="55">
        <v>2</v>
      </c>
      <c r="I1088" s="55">
        <v>1</v>
      </c>
      <c r="J1088" s="55">
        <v>0</v>
      </c>
    </row>
    <row r="1089" spans="1:10" ht="15" x14ac:dyDescent="0.4">
      <c r="A1089" s="54">
        <v>46035</v>
      </c>
      <c r="B1089" s="55" t="s">
        <v>59</v>
      </c>
      <c r="C1089" s="55" t="s">
        <v>60</v>
      </c>
      <c r="D1089" s="57">
        <v>26820</v>
      </c>
      <c r="E1089" s="55">
        <v>5157</v>
      </c>
      <c r="F1089" s="55">
        <v>36</v>
      </c>
      <c r="G1089" s="55">
        <v>2</v>
      </c>
      <c r="H1089" s="55">
        <v>0</v>
      </c>
      <c r="I1089" s="55">
        <v>0</v>
      </c>
      <c r="J1089" s="55">
        <v>0</v>
      </c>
    </row>
    <row r="1090" spans="1:10" ht="15" x14ac:dyDescent="0.4">
      <c r="A1090" s="54">
        <v>46035</v>
      </c>
      <c r="B1090" s="55" t="s">
        <v>55</v>
      </c>
      <c r="C1090" s="55" t="s">
        <v>56</v>
      </c>
      <c r="D1090" s="57">
        <v>34431</v>
      </c>
      <c r="E1090" s="55">
        <v>24593</v>
      </c>
      <c r="F1090" s="55">
        <v>280</v>
      </c>
      <c r="G1090" s="55">
        <v>8</v>
      </c>
      <c r="H1090" s="55">
        <v>0</v>
      </c>
      <c r="I1090" s="55">
        <v>1</v>
      </c>
      <c r="J1090" s="55">
        <v>0</v>
      </c>
    </row>
    <row r="1091" spans="1:10" ht="15" x14ac:dyDescent="0.4">
      <c r="A1091" s="54">
        <v>46035</v>
      </c>
      <c r="B1091" s="55" t="s">
        <v>62</v>
      </c>
      <c r="C1091" s="55" t="s">
        <v>56</v>
      </c>
      <c r="D1091" s="57">
        <v>9761</v>
      </c>
      <c r="E1091" s="55">
        <v>6972</v>
      </c>
      <c r="F1091" s="55">
        <v>73</v>
      </c>
      <c r="G1091" s="55">
        <v>2</v>
      </c>
      <c r="H1091" s="55">
        <v>2</v>
      </c>
      <c r="I1091" s="55">
        <v>1</v>
      </c>
      <c r="J1091" s="55">
        <v>0</v>
      </c>
    </row>
    <row r="1092" spans="1:10" ht="15" x14ac:dyDescent="0.4">
      <c r="A1092" s="54">
        <v>46036</v>
      </c>
      <c r="B1092" s="55" t="s">
        <v>61</v>
      </c>
      <c r="C1092" s="55" t="s">
        <v>56</v>
      </c>
      <c r="D1092" s="57">
        <v>16923</v>
      </c>
      <c r="E1092" s="55">
        <v>12087</v>
      </c>
      <c r="F1092" s="55">
        <v>113</v>
      </c>
      <c r="G1092" s="55">
        <v>7</v>
      </c>
      <c r="H1092" s="55">
        <v>0</v>
      </c>
      <c r="I1092" s="55">
        <v>0</v>
      </c>
      <c r="J1092" s="55">
        <v>0</v>
      </c>
    </row>
    <row r="1093" spans="1:10" ht="15" x14ac:dyDescent="0.4">
      <c r="A1093" s="54">
        <v>46036</v>
      </c>
      <c r="B1093" s="55" t="s">
        <v>63</v>
      </c>
      <c r="C1093" s="55" t="s">
        <v>58</v>
      </c>
      <c r="D1093" s="57">
        <v>6595</v>
      </c>
      <c r="E1093" s="55">
        <v>1373</v>
      </c>
      <c r="F1093" s="55">
        <v>66</v>
      </c>
      <c r="G1093" s="55">
        <v>5</v>
      </c>
      <c r="H1093" s="55">
        <v>3</v>
      </c>
      <c r="I1093" s="55">
        <v>0</v>
      </c>
      <c r="J1093" s="55">
        <v>0</v>
      </c>
    </row>
    <row r="1094" spans="1:10" ht="15" x14ac:dyDescent="0.4">
      <c r="A1094" s="54">
        <v>46036</v>
      </c>
      <c r="B1094" s="55" t="s">
        <v>57</v>
      </c>
      <c r="C1094" s="55" t="s">
        <v>58</v>
      </c>
      <c r="D1094" s="57">
        <v>24374</v>
      </c>
      <c r="E1094" s="55">
        <v>5077</v>
      </c>
      <c r="F1094" s="55">
        <v>235</v>
      </c>
      <c r="G1094" s="55">
        <v>1</v>
      </c>
      <c r="H1094" s="55">
        <v>0</v>
      </c>
      <c r="I1094" s="55">
        <v>0</v>
      </c>
      <c r="J1094" s="55">
        <v>0</v>
      </c>
    </row>
    <row r="1095" spans="1:10" ht="15" x14ac:dyDescent="0.4">
      <c r="A1095" s="54">
        <v>46036</v>
      </c>
      <c r="B1095" s="55" t="s">
        <v>59</v>
      </c>
      <c r="C1095" s="55" t="s">
        <v>60</v>
      </c>
      <c r="D1095" s="57">
        <v>26130</v>
      </c>
      <c r="E1095" s="55">
        <v>5025</v>
      </c>
      <c r="F1095" s="55">
        <v>34</v>
      </c>
      <c r="G1095" s="55">
        <v>0</v>
      </c>
      <c r="H1095" s="55">
        <v>0</v>
      </c>
      <c r="I1095" s="55">
        <v>1</v>
      </c>
      <c r="J1095" s="55">
        <v>0</v>
      </c>
    </row>
    <row r="1096" spans="1:10" ht="15" x14ac:dyDescent="0.4">
      <c r="A1096" s="54">
        <v>46036</v>
      </c>
      <c r="B1096" s="55" t="s">
        <v>55</v>
      </c>
      <c r="C1096" s="55" t="s">
        <v>56</v>
      </c>
      <c r="D1096" s="57">
        <v>33402</v>
      </c>
      <c r="E1096" s="55">
        <v>23858</v>
      </c>
      <c r="F1096" s="55">
        <v>301</v>
      </c>
      <c r="G1096" s="55">
        <v>5</v>
      </c>
      <c r="H1096" s="55">
        <v>0</v>
      </c>
      <c r="I1096" s="55">
        <v>2</v>
      </c>
      <c r="J1096" s="55">
        <v>0</v>
      </c>
    </row>
    <row r="1097" spans="1:10" ht="15" x14ac:dyDescent="0.4">
      <c r="A1097" s="54">
        <v>46036</v>
      </c>
      <c r="B1097" s="55" t="s">
        <v>62</v>
      </c>
      <c r="C1097" s="55" t="s">
        <v>56</v>
      </c>
      <c r="D1097" s="57">
        <v>9270</v>
      </c>
      <c r="E1097" s="55">
        <v>6621</v>
      </c>
      <c r="F1097" s="55">
        <v>67</v>
      </c>
      <c r="G1097" s="55">
        <v>5</v>
      </c>
      <c r="H1097" s="55">
        <v>1</v>
      </c>
      <c r="I1097" s="55">
        <v>0</v>
      </c>
      <c r="J1097" s="55">
        <v>0</v>
      </c>
    </row>
    <row r="1098" spans="1:10" ht="15" x14ac:dyDescent="0.4">
      <c r="A1098" s="54">
        <v>46037</v>
      </c>
      <c r="B1098" s="55" t="s">
        <v>61</v>
      </c>
      <c r="C1098" s="55" t="s">
        <v>56</v>
      </c>
      <c r="D1098" s="57">
        <v>16124</v>
      </c>
      <c r="E1098" s="55">
        <v>11517</v>
      </c>
      <c r="F1098" s="55">
        <v>132</v>
      </c>
      <c r="G1098" s="55">
        <v>1</v>
      </c>
      <c r="H1098" s="55">
        <v>0</v>
      </c>
      <c r="I1098" s="55">
        <v>1</v>
      </c>
      <c r="J1098" s="55">
        <v>0</v>
      </c>
    </row>
    <row r="1099" spans="1:10" ht="15" x14ac:dyDescent="0.4">
      <c r="A1099" s="54">
        <v>46037</v>
      </c>
      <c r="B1099" s="55" t="s">
        <v>63</v>
      </c>
      <c r="C1099" s="55" t="s">
        <v>58</v>
      </c>
      <c r="D1099" s="57">
        <v>6819</v>
      </c>
      <c r="E1099" s="55">
        <v>1420</v>
      </c>
      <c r="F1099" s="55">
        <v>78</v>
      </c>
      <c r="G1099" s="55">
        <v>4</v>
      </c>
      <c r="H1099" s="55">
        <v>1</v>
      </c>
      <c r="I1099" s="55">
        <v>0</v>
      </c>
      <c r="J1099" s="55">
        <v>0</v>
      </c>
    </row>
    <row r="1100" spans="1:10" ht="15" x14ac:dyDescent="0.4">
      <c r="A1100" s="54">
        <v>46037</v>
      </c>
      <c r="B1100" s="55" t="s">
        <v>57</v>
      </c>
      <c r="C1100" s="55" t="s">
        <v>58</v>
      </c>
      <c r="D1100" s="57">
        <v>20687</v>
      </c>
      <c r="E1100" s="55">
        <v>4309</v>
      </c>
      <c r="F1100" s="55">
        <v>243</v>
      </c>
      <c r="G1100" s="55">
        <v>9</v>
      </c>
      <c r="H1100" s="55">
        <v>0</v>
      </c>
      <c r="I1100" s="55">
        <v>1</v>
      </c>
      <c r="J1100" s="55">
        <v>0</v>
      </c>
    </row>
    <row r="1101" spans="1:10" ht="15" x14ac:dyDescent="0.4">
      <c r="A1101" s="54">
        <v>46037</v>
      </c>
      <c r="B1101" s="55" t="s">
        <v>59</v>
      </c>
      <c r="C1101" s="55" t="s">
        <v>60</v>
      </c>
      <c r="D1101" s="57">
        <v>24153</v>
      </c>
      <c r="E1101" s="55">
        <v>4644</v>
      </c>
      <c r="F1101" s="55">
        <v>31</v>
      </c>
      <c r="G1101" s="55">
        <v>2</v>
      </c>
      <c r="H1101" s="55">
        <v>0</v>
      </c>
      <c r="I1101" s="55">
        <v>0</v>
      </c>
      <c r="J1101" s="55">
        <v>0</v>
      </c>
    </row>
    <row r="1102" spans="1:10" ht="15" x14ac:dyDescent="0.4">
      <c r="A1102" s="54">
        <v>46037</v>
      </c>
      <c r="B1102" s="55" t="s">
        <v>55</v>
      </c>
      <c r="C1102" s="55" t="s">
        <v>56</v>
      </c>
      <c r="D1102" s="57">
        <v>31754</v>
      </c>
      <c r="E1102" s="55">
        <v>22681</v>
      </c>
      <c r="F1102" s="55">
        <v>223</v>
      </c>
      <c r="G1102" s="55">
        <v>8</v>
      </c>
      <c r="H1102" s="55">
        <v>1</v>
      </c>
      <c r="I1102" s="55">
        <v>0</v>
      </c>
      <c r="J1102" s="55">
        <v>0</v>
      </c>
    </row>
    <row r="1103" spans="1:10" ht="15" x14ac:dyDescent="0.4">
      <c r="A1103" s="54">
        <v>46037</v>
      </c>
      <c r="B1103" s="55" t="s">
        <v>62</v>
      </c>
      <c r="C1103" s="55" t="s">
        <v>56</v>
      </c>
      <c r="D1103" s="57">
        <v>8544</v>
      </c>
      <c r="E1103" s="55">
        <v>6102</v>
      </c>
      <c r="F1103" s="55">
        <v>60</v>
      </c>
      <c r="G1103" s="55">
        <v>4</v>
      </c>
      <c r="H1103" s="55">
        <v>1</v>
      </c>
      <c r="I1103" s="55">
        <v>2</v>
      </c>
      <c r="J1103" s="55">
        <v>0</v>
      </c>
    </row>
    <row r="1104" spans="1:10" ht="15" x14ac:dyDescent="0.4">
      <c r="A1104" s="54">
        <v>46038</v>
      </c>
      <c r="B1104" s="55" t="s">
        <v>61</v>
      </c>
      <c r="C1104" s="55" t="s">
        <v>56</v>
      </c>
      <c r="D1104" s="57">
        <v>17767</v>
      </c>
      <c r="E1104" s="55">
        <v>12690</v>
      </c>
      <c r="F1104" s="55">
        <v>151</v>
      </c>
      <c r="G1104" s="55">
        <v>3</v>
      </c>
      <c r="H1104" s="55">
        <v>0</v>
      </c>
      <c r="I1104" s="55">
        <v>0</v>
      </c>
      <c r="J1104" s="55">
        <v>0</v>
      </c>
    </row>
    <row r="1105" spans="1:10" ht="15" x14ac:dyDescent="0.4">
      <c r="A1105" s="54">
        <v>46038</v>
      </c>
      <c r="B1105" s="55" t="s">
        <v>63</v>
      </c>
      <c r="C1105" s="55" t="s">
        <v>58</v>
      </c>
      <c r="D1105" s="57">
        <v>6512</v>
      </c>
      <c r="E1105" s="55">
        <v>1356</v>
      </c>
      <c r="F1105" s="55">
        <v>60</v>
      </c>
      <c r="G1105" s="55">
        <v>4</v>
      </c>
      <c r="H1105" s="55">
        <v>1</v>
      </c>
      <c r="I1105" s="55">
        <v>0</v>
      </c>
      <c r="J1105" s="55">
        <v>0</v>
      </c>
    </row>
    <row r="1106" spans="1:10" ht="15" x14ac:dyDescent="0.4">
      <c r="A1106" s="54">
        <v>46038</v>
      </c>
      <c r="B1106" s="55" t="s">
        <v>57</v>
      </c>
      <c r="C1106" s="55" t="s">
        <v>58</v>
      </c>
      <c r="D1106" s="57">
        <v>23710</v>
      </c>
      <c r="E1106" s="55">
        <v>4939</v>
      </c>
      <c r="F1106" s="55">
        <v>262</v>
      </c>
      <c r="G1106" s="55">
        <v>7</v>
      </c>
      <c r="H1106" s="55">
        <v>2</v>
      </c>
      <c r="I1106" s="55">
        <v>0</v>
      </c>
      <c r="J1106" s="55">
        <v>0</v>
      </c>
    </row>
    <row r="1107" spans="1:10" ht="15" x14ac:dyDescent="0.4">
      <c r="A1107" s="54">
        <v>46038</v>
      </c>
      <c r="B1107" s="55" t="s">
        <v>59</v>
      </c>
      <c r="C1107" s="55" t="s">
        <v>60</v>
      </c>
      <c r="D1107" s="57">
        <v>23428</v>
      </c>
      <c r="E1107" s="55">
        <v>4505</v>
      </c>
      <c r="F1107" s="55">
        <v>33</v>
      </c>
      <c r="G1107" s="55">
        <v>2</v>
      </c>
      <c r="H1107" s="55">
        <v>1</v>
      </c>
      <c r="I1107" s="55">
        <v>0</v>
      </c>
      <c r="J1107" s="55">
        <v>0</v>
      </c>
    </row>
    <row r="1108" spans="1:10" ht="15" x14ac:dyDescent="0.4">
      <c r="A1108" s="54">
        <v>46038</v>
      </c>
      <c r="B1108" s="55" t="s">
        <v>55</v>
      </c>
      <c r="C1108" s="55" t="s">
        <v>56</v>
      </c>
      <c r="D1108" s="57">
        <v>32496</v>
      </c>
      <c r="E1108" s="55">
        <v>23211</v>
      </c>
      <c r="F1108" s="55">
        <v>264</v>
      </c>
      <c r="G1108" s="55">
        <v>9</v>
      </c>
      <c r="H1108" s="55">
        <v>3</v>
      </c>
      <c r="I1108" s="55">
        <v>0</v>
      </c>
      <c r="J1108" s="55">
        <v>0</v>
      </c>
    </row>
    <row r="1109" spans="1:10" ht="15" x14ac:dyDescent="0.4">
      <c r="A1109" s="54">
        <v>46038</v>
      </c>
      <c r="B1109" s="55" t="s">
        <v>62</v>
      </c>
      <c r="C1109" s="55" t="s">
        <v>56</v>
      </c>
      <c r="D1109" s="57">
        <v>9992</v>
      </c>
      <c r="E1109" s="55">
        <v>7137</v>
      </c>
      <c r="F1109" s="55">
        <v>76</v>
      </c>
      <c r="G1109" s="55">
        <v>2</v>
      </c>
      <c r="H1109" s="55">
        <v>1</v>
      </c>
      <c r="I1109" s="55">
        <v>0</v>
      </c>
      <c r="J1109" s="55">
        <v>0</v>
      </c>
    </row>
    <row r="1110" spans="1:10" ht="15" x14ac:dyDescent="0.4">
      <c r="A1110" s="54">
        <v>46039</v>
      </c>
      <c r="B1110" s="55" t="s">
        <v>61</v>
      </c>
      <c r="C1110" s="55" t="s">
        <v>56</v>
      </c>
      <c r="D1110" s="57">
        <v>16417</v>
      </c>
      <c r="E1110" s="55">
        <v>11726</v>
      </c>
      <c r="F1110" s="55">
        <v>121</v>
      </c>
      <c r="G1110" s="55">
        <v>7</v>
      </c>
      <c r="H1110" s="55">
        <v>0</v>
      </c>
      <c r="I1110" s="55">
        <v>1</v>
      </c>
      <c r="J1110" s="55">
        <v>0</v>
      </c>
    </row>
    <row r="1111" spans="1:10" ht="15" x14ac:dyDescent="0.4">
      <c r="A1111" s="54">
        <v>46039</v>
      </c>
      <c r="B1111" s="55" t="s">
        <v>63</v>
      </c>
      <c r="C1111" s="55" t="s">
        <v>58</v>
      </c>
      <c r="D1111" s="57">
        <v>7374</v>
      </c>
      <c r="E1111" s="55">
        <v>1536</v>
      </c>
      <c r="F1111" s="55">
        <v>68</v>
      </c>
      <c r="G1111" s="55">
        <v>2</v>
      </c>
      <c r="H1111" s="55">
        <v>2</v>
      </c>
      <c r="I1111" s="55">
        <v>2</v>
      </c>
      <c r="J1111" s="55">
        <v>0</v>
      </c>
    </row>
    <row r="1112" spans="1:10" ht="15" x14ac:dyDescent="0.4">
      <c r="A1112" s="54">
        <v>46039</v>
      </c>
      <c r="B1112" s="55" t="s">
        <v>57</v>
      </c>
      <c r="C1112" s="55" t="s">
        <v>58</v>
      </c>
      <c r="D1112" s="57">
        <v>21563</v>
      </c>
      <c r="E1112" s="55">
        <v>4492</v>
      </c>
      <c r="F1112" s="55">
        <v>238</v>
      </c>
      <c r="G1112" s="55">
        <v>2</v>
      </c>
      <c r="H1112" s="55">
        <v>1</v>
      </c>
      <c r="I1112" s="55">
        <v>0</v>
      </c>
      <c r="J1112" s="55">
        <v>0</v>
      </c>
    </row>
    <row r="1113" spans="1:10" ht="15" x14ac:dyDescent="0.4">
      <c r="A1113" s="54">
        <v>46039</v>
      </c>
      <c r="B1113" s="55" t="s">
        <v>59</v>
      </c>
      <c r="C1113" s="55" t="s">
        <v>60</v>
      </c>
      <c r="D1113" s="57">
        <v>27882</v>
      </c>
      <c r="E1113" s="55">
        <v>5361</v>
      </c>
      <c r="F1113" s="55">
        <v>37</v>
      </c>
      <c r="G1113" s="55">
        <v>0</v>
      </c>
      <c r="H1113" s="55">
        <v>0</v>
      </c>
      <c r="I1113" s="55">
        <v>0</v>
      </c>
      <c r="J1113" s="55">
        <v>0</v>
      </c>
    </row>
    <row r="1114" spans="1:10" ht="15" x14ac:dyDescent="0.4">
      <c r="A1114" s="54">
        <v>46039</v>
      </c>
      <c r="B1114" s="55" t="s">
        <v>55</v>
      </c>
      <c r="C1114" s="55" t="s">
        <v>56</v>
      </c>
      <c r="D1114" s="57">
        <v>31515</v>
      </c>
      <c r="E1114" s="55">
        <v>22510</v>
      </c>
      <c r="F1114" s="55">
        <v>234</v>
      </c>
      <c r="G1114" s="55">
        <v>6</v>
      </c>
      <c r="H1114" s="55">
        <v>1</v>
      </c>
      <c r="I1114" s="55">
        <v>0</v>
      </c>
      <c r="J1114" s="55">
        <v>0</v>
      </c>
    </row>
    <row r="1115" spans="1:10" ht="15" x14ac:dyDescent="0.4">
      <c r="A1115" s="54">
        <v>46039</v>
      </c>
      <c r="B1115" s="55" t="s">
        <v>62</v>
      </c>
      <c r="C1115" s="55" t="s">
        <v>56</v>
      </c>
      <c r="D1115" s="57">
        <v>8408</v>
      </c>
      <c r="E1115" s="55">
        <v>6005</v>
      </c>
      <c r="F1115" s="55">
        <v>67</v>
      </c>
      <c r="G1115" s="55">
        <v>0</v>
      </c>
      <c r="H1115" s="55">
        <v>1</v>
      </c>
      <c r="I1115" s="55">
        <v>1</v>
      </c>
      <c r="J1115" s="55">
        <v>0</v>
      </c>
    </row>
    <row r="1116" spans="1:10" ht="15" x14ac:dyDescent="0.4">
      <c r="A1116" s="54">
        <v>46040</v>
      </c>
      <c r="B1116" s="55" t="s">
        <v>61</v>
      </c>
      <c r="C1116" s="55" t="s">
        <v>56</v>
      </c>
      <c r="D1116" s="57">
        <v>15031</v>
      </c>
      <c r="E1116" s="55">
        <v>10736</v>
      </c>
      <c r="F1116" s="55">
        <v>102</v>
      </c>
      <c r="G1116" s="55">
        <v>1</v>
      </c>
      <c r="H1116" s="55">
        <v>2</v>
      </c>
      <c r="I1116" s="55">
        <v>0</v>
      </c>
      <c r="J1116" s="55">
        <v>0</v>
      </c>
    </row>
    <row r="1117" spans="1:10" ht="15" x14ac:dyDescent="0.4">
      <c r="A1117" s="54">
        <v>46040</v>
      </c>
      <c r="B1117" s="55" t="s">
        <v>63</v>
      </c>
      <c r="C1117" s="55" t="s">
        <v>58</v>
      </c>
      <c r="D1117" s="57">
        <v>6210</v>
      </c>
      <c r="E1117" s="55">
        <v>1293</v>
      </c>
      <c r="F1117" s="55">
        <v>63</v>
      </c>
      <c r="G1117" s="55">
        <v>3</v>
      </c>
      <c r="H1117" s="55">
        <v>1</v>
      </c>
      <c r="I1117" s="55">
        <v>1</v>
      </c>
      <c r="J1117" s="55">
        <v>0</v>
      </c>
    </row>
    <row r="1118" spans="1:10" ht="15" x14ac:dyDescent="0.4">
      <c r="A1118" s="54">
        <v>46040</v>
      </c>
      <c r="B1118" s="55" t="s">
        <v>57</v>
      </c>
      <c r="C1118" s="55" t="s">
        <v>58</v>
      </c>
      <c r="D1118" s="57">
        <v>24387</v>
      </c>
      <c r="E1118" s="55">
        <v>5080</v>
      </c>
      <c r="F1118" s="55">
        <v>236</v>
      </c>
      <c r="G1118" s="55">
        <v>5</v>
      </c>
      <c r="H1118" s="55">
        <v>2</v>
      </c>
      <c r="I1118" s="55">
        <v>0</v>
      </c>
      <c r="J1118" s="55">
        <v>0</v>
      </c>
    </row>
    <row r="1119" spans="1:10" ht="15" x14ac:dyDescent="0.4">
      <c r="A1119" s="54">
        <v>46040</v>
      </c>
      <c r="B1119" s="55" t="s">
        <v>59</v>
      </c>
      <c r="C1119" s="55" t="s">
        <v>60</v>
      </c>
      <c r="D1119" s="57">
        <v>23648</v>
      </c>
      <c r="E1119" s="55">
        <v>4547</v>
      </c>
      <c r="F1119" s="55">
        <v>26</v>
      </c>
      <c r="G1119" s="55">
        <v>2</v>
      </c>
      <c r="H1119" s="55">
        <v>0</v>
      </c>
      <c r="I1119" s="55">
        <v>0</v>
      </c>
      <c r="J1119" s="55">
        <v>0</v>
      </c>
    </row>
    <row r="1120" spans="1:10" ht="15" x14ac:dyDescent="0.4">
      <c r="A1120" s="54">
        <v>46040</v>
      </c>
      <c r="B1120" s="55" t="s">
        <v>55</v>
      </c>
      <c r="C1120" s="55" t="s">
        <v>56</v>
      </c>
      <c r="D1120" s="57">
        <v>31742</v>
      </c>
      <c r="E1120" s="55">
        <v>22672</v>
      </c>
      <c r="F1120" s="55">
        <v>255</v>
      </c>
      <c r="G1120" s="55">
        <v>6</v>
      </c>
      <c r="H1120" s="55">
        <v>3</v>
      </c>
      <c r="I1120" s="55">
        <v>0</v>
      </c>
      <c r="J1120" s="55">
        <v>0</v>
      </c>
    </row>
    <row r="1121" spans="1:10" ht="15" x14ac:dyDescent="0.4">
      <c r="A1121" s="54">
        <v>46040</v>
      </c>
      <c r="B1121" s="55" t="s">
        <v>62</v>
      </c>
      <c r="C1121" s="55" t="s">
        <v>56</v>
      </c>
      <c r="D1121" s="57">
        <v>9778</v>
      </c>
      <c r="E1121" s="55">
        <v>6984</v>
      </c>
      <c r="F1121" s="55">
        <v>71</v>
      </c>
      <c r="G1121" s="55">
        <v>3</v>
      </c>
      <c r="H1121" s="55">
        <v>0</v>
      </c>
      <c r="I1121" s="55">
        <v>1</v>
      </c>
      <c r="J1121" s="55">
        <v>1</v>
      </c>
    </row>
    <row r="1122" spans="1:10" ht="15" x14ac:dyDescent="0.4">
      <c r="A1122" s="54">
        <v>46041</v>
      </c>
      <c r="B1122" s="55" t="s">
        <v>61</v>
      </c>
      <c r="C1122" s="55" t="s">
        <v>56</v>
      </c>
      <c r="D1122" s="57">
        <v>16348</v>
      </c>
      <c r="E1122" s="55">
        <v>11677</v>
      </c>
      <c r="F1122" s="55">
        <v>139</v>
      </c>
      <c r="G1122" s="55">
        <v>1</v>
      </c>
      <c r="H1122" s="55">
        <v>0</v>
      </c>
      <c r="I1122" s="55">
        <v>0</v>
      </c>
      <c r="J1122" s="55">
        <v>0</v>
      </c>
    </row>
    <row r="1123" spans="1:10" ht="15" x14ac:dyDescent="0.4">
      <c r="A1123" s="54">
        <v>46041</v>
      </c>
      <c r="B1123" s="55" t="s">
        <v>63</v>
      </c>
      <c r="C1123" s="55" t="s">
        <v>58</v>
      </c>
      <c r="D1123" s="57">
        <v>7473</v>
      </c>
      <c r="E1123" s="55">
        <v>1556</v>
      </c>
      <c r="F1123" s="55">
        <v>69</v>
      </c>
      <c r="G1123" s="55">
        <v>3</v>
      </c>
      <c r="H1123" s="55">
        <v>1</v>
      </c>
      <c r="I1123" s="55">
        <v>1</v>
      </c>
      <c r="J1123" s="55">
        <v>0</v>
      </c>
    </row>
    <row r="1124" spans="1:10" ht="15" x14ac:dyDescent="0.4">
      <c r="A1124" s="54">
        <v>46041</v>
      </c>
      <c r="B1124" s="55" t="s">
        <v>57</v>
      </c>
      <c r="C1124" s="55" t="s">
        <v>58</v>
      </c>
      <c r="D1124" s="57">
        <v>22535</v>
      </c>
      <c r="E1124" s="55">
        <v>4694</v>
      </c>
      <c r="F1124" s="55">
        <v>263</v>
      </c>
      <c r="G1124" s="55">
        <v>6</v>
      </c>
      <c r="H1124" s="55">
        <v>3</v>
      </c>
      <c r="I1124" s="55">
        <v>1</v>
      </c>
      <c r="J1124" s="55">
        <v>0</v>
      </c>
    </row>
    <row r="1125" spans="1:10" ht="15" x14ac:dyDescent="0.4">
      <c r="A1125" s="54">
        <v>46041</v>
      </c>
      <c r="B1125" s="55" t="s">
        <v>59</v>
      </c>
      <c r="C1125" s="55" t="s">
        <v>60</v>
      </c>
      <c r="D1125" s="57">
        <v>24825</v>
      </c>
      <c r="E1125" s="55">
        <v>4774</v>
      </c>
      <c r="F1125" s="55">
        <v>35</v>
      </c>
      <c r="G1125" s="55">
        <v>2</v>
      </c>
      <c r="H1125" s="55">
        <v>0</v>
      </c>
      <c r="I1125" s="55">
        <v>1</v>
      </c>
      <c r="J1125" s="55">
        <v>0</v>
      </c>
    </row>
    <row r="1126" spans="1:10" ht="15" x14ac:dyDescent="0.4">
      <c r="A1126" s="54">
        <v>46041</v>
      </c>
      <c r="B1126" s="55" t="s">
        <v>55</v>
      </c>
      <c r="C1126" s="55" t="s">
        <v>56</v>
      </c>
      <c r="D1126" s="57">
        <v>29053</v>
      </c>
      <c r="E1126" s="55">
        <v>20752</v>
      </c>
      <c r="F1126" s="55">
        <v>240</v>
      </c>
      <c r="G1126" s="55">
        <v>10</v>
      </c>
      <c r="H1126" s="55">
        <v>0</v>
      </c>
      <c r="I1126" s="55">
        <v>0</v>
      </c>
      <c r="J1126" s="55">
        <v>0</v>
      </c>
    </row>
    <row r="1127" spans="1:10" ht="15" x14ac:dyDescent="0.4">
      <c r="A1127" s="54">
        <v>46041</v>
      </c>
      <c r="B1127" s="55" t="s">
        <v>62</v>
      </c>
      <c r="C1127" s="55" t="s">
        <v>56</v>
      </c>
      <c r="D1127" s="57">
        <v>9002</v>
      </c>
      <c r="E1127" s="55">
        <v>6430</v>
      </c>
      <c r="F1127" s="55">
        <v>72</v>
      </c>
      <c r="G1127" s="55">
        <v>2</v>
      </c>
      <c r="H1127" s="55">
        <v>1</v>
      </c>
      <c r="I1127" s="55">
        <v>1</v>
      </c>
      <c r="J1127" s="55">
        <v>0</v>
      </c>
    </row>
    <row r="1128" spans="1:10" ht="15" x14ac:dyDescent="0.4">
      <c r="A1128" s="54">
        <v>46042</v>
      </c>
      <c r="B1128" s="55" t="s">
        <v>61</v>
      </c>
      <c r="C1128" s="55" t="s">
        <v>56</v>
      </c>
      <c r="D1128" s="57">
        <v>15374</v>
      </c>
      <c r="E1128" s="55">
        <v>10981</v>
      </c>
      <c r="F1128" s="55">
        <v>110</v>
      </c>
      <c r="G1128" s="55">
        <v>4</v>
      </c>
      <c r="H1128" s="55">
        <v>0</v>
      </c>
      <c r="I1128" s="55">
        <v>1</v>
      </c>
      <c r="J1128" s="55">
        <v>0</v>
      </c>
    </row>
    <row r="1129" spans="1:10" ht="15" x14ac:dyDescent="0.4">
      <c r="A1129" s="54">
        <v>46042</v>
      </c>
      <c r="B1129" s="55" t="s">
        <v>63</v>
      </c>
      <c r="C1129" s="55" t="s">
        <v>58</v>
      </c>
      <c r="D1129" s="57">
        <v>7131</v>
      </c>
      <c r="E1129" s="55">
        <v>1485</v>
      </c>
      <c r="F1129" s="55">
        <v>78</v>
      </c>
      <c r="G1129" s="55">
        <v>3</v>
      </c>
      <c r="H1129" s="55">
        <v>1</v>
      </c>
      <c r="I1129" s="55">
        <v>1</v>
      </c>
      <c r="J1129" s="55">
        <v>0</v>
      </c>
    </row>
    <row r="1130" spans="1:10" ht="15" x14ac:dyDescent="0.4">
      <c r="A1130" s="54">
        <v>46042</v>
      </c>
      <c r="B1130" s="55" t="s">
        <v>57</v>
      </c>
      <c r="C1130" s="55" t="s">
        <v>58</v>
      </c>
      <c r="D1130" s="57">
        <v>22944</v>
      </c>
      <c r="E1130" s="55">
        <v>4780</v>
      </c>
      <c r="F1130" s="55">
        <v>242</v>
      </c>
      <c r="G1130" s="55">
        <v>7</v>
      </c>
      <c r="H1130" s="55">
        <v>3</v>
      </c>
      <c r="I1130" s="55">
        <v>1</v>
      </c>
      <c r="J1130" s="55">
        <v>0</v>
      </c>
    </row>
    <row r="1131" spans="1:10" ht="15" x14ac:dyDescent="0.4">
      <c r="A1131" s="54">
        <v>46042</v>
      </c>
      <c r="B1131" s="55" t="s">
        <v>59</v>
      </c>
      <c r="C1131" s="55" t="s">
        <v>60</v>
      </c>
      <c r="D1131" s="57">
        <v>23987</v>
      </c>
      <c r="E1131" s="55">
        <v>4612</v>
      </c>
      <c r="F1131" s="55">
        <v>28</v>
      </c>
      <c r="G1131" s="55">
        <v>2</v>
      </c>
      <c r="H1131" s="55">
        <v>1</v>
      </c>
      <c r="I1131" s="55">
        <v>0</v>
      </c>
      <c r="J1131" s="55">
        <v>0</v>
      </c>
    </row>
    <row r="1132" spans="1:10" ht="15" x14ac:dyDescent="0.4">
      <c r="A1132" s="54">
        <v>46042</v>
      </c>
      <c r="B1132" s="55" t="s">
        <v>55</v>
      </c>
      <c r="C1132" s="55" t="s">
        <v>56</v>
      </c>
      <c r="D1132" s="57">
        <v>35469</v>
      </c>
      <c r="E1132" s="55">
        <v>25335</v>
      </c>
      <c r="F1132" s="55">
        <v>308</v>
      </c>
      <c r="G1132" s="55">
        <v>14</v>
      </c>
      <c r="H1132" s="55">
        <v>3</v>
      </c>
      <c r="I1132" s="55">
        <v>1</v>
      </c>
      <c r="J1132" s="55">
        <v>0</v>
      </c>
    </row>
    <row r="1133" spans="1:10" ht="15" x14ac:dyDescent="0.4">
      <c r="A1133" s="54">
        <v>46042</v>
      </c>
      <c r="B1133" s="55" t="s">
        <v>62</v>
      </c>
      <c r="C1133" s="55" t="s">
        <v>56</v>
      </c>
      <c r="D1133" s="57">
        <v>8831</v>
      </c>
      <c r="E1133" s="55">
        <v>6307</v>
      </c>
      <c r="F1133" s="55">
        <v>78</v>
      </c>
      <c r="G1133" s="55">
        <v>4</v>
      </c>
      <c r="H1133" s="55">
        <v>0</v>
      </c>
      <c r="I1133" s="55">
        <v>0</v>
      </c>
      <c r="J1133" s="55">
        <v>0</v>
      </c>
    </row>
    <row r="1134" spans="1:10" ht="15" x14ac:dyDescent="0.4">
      <c r="A1134" s="54">
        <v>46043</v>
      </c>
      <c r="B1134" s="55" t="s">
        <v>61</v>
      </c>
      <c r="C1134" s="55" t="s">
        <v>56</v>
      </c>
      <c r="D1134" s="57">
        <v>17244</v>
      </c>
      <c r="E1134" s="55">
        <v>12317</v>
      </c>
      <c r="F1134" s="55">
        <v>135</v>
      </c>
      <c r="G1134" s="55">
        <v>8</v>
      </c>
      <c r="H1134" s="55">
        <v>0</v>
      </c>
      <c r="I1134" s="55">
        <v>0</v>
      </c>
      <c r="J1134" s="55">
        <v>0</v>
      </c>
    </row>
    <row r="1135" spans="1:10" ht="15" x14ac:dyDescent="0.4">
      <c r="A1135" s="54">
        <v>46043</v>
      </c>
      <c r="B1135" s="55" t="s">
        <v>63</v>
      </c>
      <c r="C1135" s="55" t="s">
        <v>58</v>
      </c>
      <c r="D1135" s="57">
        <v>6342</v>
      </c>
      <c r="E1135" s="55">
        <v>1321</v>
      </c>
      <c r="F1135" s="55">
        <v>66</v>
      </c>
      <c r="G1135" s="55">
        <v>4</v>
      </c>
      <c r="H1135" s="55">
        <v>1</v>
      </c>
      <c r="I1135" s="55">
        <v>0</v>
      </c>
      <c r="J1135" s="55">
        <v>0</v>
      </c>
    </row>
    <row r="1136" spans="1:10" ht="15" x14ac:dyDescent="0.4">
      <c r="A1136" s="54">
        <v>46043</v>
      </c>
      <c r="B1136" s="55" t="s">
        <v>57</v>
      </c>
      <c r="C1136" s="55" t="s">
        <v>58</v>
      </c>
      <c r="D1136" s="57">
        <v>22686</v>
      </c>
      <c r="E1136" s="55">
        <v>4726</v>
      </c>
      <c r="F1136" s="55">
        <v>252</v>
      </c>
      <c r="G1136" s="55">
        <v>2</v>
      </c>
      <c r="H1136" s="55">
        <v>0</v>
      </c>
      <c r="I1136" s="55">
        <v>1</v>
      </c>
      <c r="J1136" s="55">
        <v>0</v>
      </c>
    </row>
    <row r="1137" spans="1:10" ht="15" x14ac:dyDescent="0.4">
      <c r="A1137" s="54">
        <v>46043</v>
      </c>
      <c r="B1137" s="55" t="s">
        <v>59</v>
      </c>
      <c r="C1137" s="55" t="s">
        <v>60</v>
      </c>
      <c r="D1137" s="57">
        <v>25828</v>
      </c>
      <c r="E1137" s="55">
        <v>4966</v>
      </c>
      <c r="F1137" s="55">
        <v>34</v>
      </c>
      <c r="G1137" s="55">
        <v>3</v>
      </c>
      <c r="H1137" s="55">
        <v>1</v>
      </c>
      <c r="I1137" s="55">
        <v>0</v>
      </c>
      <c r="J1137" s="55">
        <v>0</v>
      </c>
    </row>
    <row r="1138" spans="1:10" ht="15" x14ac:dyDescent="0.4">
      <c r="A1138" s="54">
        <v>46043</v>
      </c>
      <c r="B1138" s="55" t="s">
        <v>55</v>
      </c>
      <c r="C1138" s="55" t="s">
        <v>56</v>
      </c>
      <c r="D1138" s="57">
        <v>31870</v>
      </c>
      <c r="E1138" s="55">
        <v>22764</v>
      </c>
      <c r="F1138" s="55">
        <v>273</v>
      </c>
      <c r="G1138" s="55">
        <v>7</v>
      </c>
      <c r="H1138" s="55">
        <v>5</v>
      </c>
      <c r="I1138" s="55">
        <v>0</v>
      </c>
      <c r="J1138" s="55">
        <v>0</v>
      </c>
    </row>
    <row r="1139" spans="1:10" ht="15" x14ac:dyDescent="0.4">
      <c r="A1139" s="54">
        <v>46043</v>
      </c>
      <c r="B1139" s="55" t="s">
        <v>62</v>
      </c>
      <c r="C1139" s="55" t="s">
        <v>56</v>
      </c>
      <c r="D1139" s="57">
        <v>10153</v>
      </c>
      <c r="E1139" s="55">
        <v>7252</v>
      </c>
      <c r="F1139" s="55">
        <v>81</v>
      </c>
      <c r="G1139" s="55">
        <v>7</v>
      </c>
      <c r="H1139" s="55">
        <v>2</v>
      </c>
      <c r="I1139" s="55">
        <v>1</v>
      </c>
      <c r="J1139" s="55">
        <v>0</v>
      </c>
    </row>
    <row r="1140" spans="1:10" ht="15" x14ac:dyDescent="0.4">
      <c r="A1140" s="54">
        <v>46044</v>
      </c>
      <c r="B1140" s="55" t="s">
        <v>61</v>
      </c>
      <c r="C1140" s="55" t="s">
        <v>56</v>
      </c>
      <c r="D1140" s="57">
        <v>17145</v>
      </c>
      <c r="E1140" s="55">
        <v>12246</v>
      </c>
      <c r="F1140" s="55">
        <v>143</v>
      </c>
      <c r="G1140" s="55">
        <v>6</v>
      </c>
      <c r="H1140" s="55">
        <v>0</v>
      </c>
      <c r="I1140" s="55">
        <v>1</v>
      </c>
      <c r="J1140" s="55">
        <v>1</v>
      </c>
    </row>
    <row r="1141" spans="1:10" ht="15" x14ac:dyDescent="0.4">
      <c r="A1141" s="54">
        <v>46044</v>
      </c>
      <c r="B1141" s="55" t="s">
        <v>63</v>
      </c>
      <c r="C1141" s="55" t="s">
        <v>58</v>
      </c>
      <c r="D1141" s="57">
        <v>6847</v>
      </c>
      <c r="E1141" s="55">
        <v>1426</v>
      </c>
      <c r="F1141" s="55">
        <v>79</v>
      </c>
      <c r="G1141" s="55">
        <v>3</v>
      </c>
      <c r="H1141" s="55">
        <v>1</v>
      </c>
      <c r="I1141" s="55">
        <v>0</v>
      </c>
      <c r="J1141" s="55">
        <v>0</v>
      </c>
    </row>
    <row r="1142" spans="1:10" ht="15" x14ac:dyDescent="0.4">
      <c r="A1142" s="54">
        <v>46044</v>
      </c>
      <c r="B1142" s="55" t="s">
        <v>57</v>
      </c>
      <c r="C1142" s="55" t="s">
        <v>58</v>
      </c>
      <c r="D1142" s="57">
        <v>23432</v>
      </c>
      <c r="E1142" s="55">
        <v>4881</v>
      </c>
      <c r="F1142" s="55">
        <v>220</v>
      </c>
      <c r="G1142" s="55">
        <v>1</v>
      </c>
      <c r="H1142" s="55">
        <v>0</v>
      </c>
      <c r="I1142" s="55">
        <v>0</v>
      </c>
      <c r="J1142" s="55">
        <v>0</v>
      </c>
    </row>
    <row r="1143" spans="1:10" ht="15" x14ac:dyDescent="0.4">
      <c r="A1143" s="54">
        <v>46044</v>
      </c>
      <c r="B1143" s="55" t="s">
        <v>59</v>
      </c>
      <c r="C1143" s="55" t="s">
        <v>60</v>
      </c>
      <c r="D1143" s="57">
        <v>25600</v>
      </c>
      <c r="E1143" s="55">
        <v>4923</v>
      </c>
      <c r="F1143" s="55">
        <v>29</v>
      </c>
      <c r="G1143" s="55">
        <v>4</v>
      </c>
      <c r="H1143" s="55">
        <v>2</v>
      </c>
      <c r="I1143" s="55">
        <v>0</v>
      </c>
      <c r="J1143" s="55">
        <v>0</v>
      </c>
    </row>
    <row r="1144" spans="1:10" ht="15" x14ac:dyDescent="0.4">
      <c r="A1144" s="54">
        <v>46044</v>
      </c>
      <c r="B1144" s="55" t="s">
        <v>55</v>
      </c>
      <c r="C1144" s="55" t="s">
        <v>56</v>
      </c>
      <c r="D1144" s="57">
        <v>31658</v>
      </c>
      <c r="E1144" s="55">
        <v>22612</v>
      </c>
      <c r="F1144" s="55">
        <v>285</v>
      </c>
      <c r="G1144" s="55">
        <v>10</v>
      </c>
      <c r="H1144" s="55">
        <v>4</v>
      </c>
      <c r="I1144" s="55">
        <v>3</v>
      </c>
      <c r="J1144" s="55">
        <v>0</v>
      </c>
    </row>
    <row r="1145" spans="1:10" ht="15" x14ac:dyDescent="0.4">
      <c r="A1145" s="54">
        <v>46044</v>
      </c>
      <c r="B1145" s="55" t="s">
        <v>62</v>
      </c>
      <c r="C1145" s="55" t="s">
        <v>56</v>
      </c>
      <c r="D1145" s="57">
        <v>8619</v>
      </c>
      <c r="E1145" s="55">
        <v>6156</v>
      </c>
      <c r="F1145" s="55">
        <v>63</v>
      </c>
      <c r="G1145" s="55">
        <v>0</v>
      </c>
      <c r="H1145" s="55">
        <v>2</v>
      </c>
      <c r="I1145" s="55">
        <v>1</v>
      </c>
      <c r="J1145" s="55">
        <v>0</v>
      </c>
    </row>
    <row r="1146" spans="1:10" ht="15" x14ac:dyDescent="0.4">
      <c r="A1146" s="54">
        <v>46045</v>
      </c>
      <c r="B1146" s="55" t="s">
        <v>61</v>
      </c>
      <c r="C1146" s="55" t="s">
        <v>56</v>
      </c>
      <c r="D1146" s="57">
        <v>15678</v>
      </c>
      <c r="E1146" s="55">
        <v>11198</v>
      </c>
      <c r="F1146" s="55">
        <v>133</v>
      </c>
      <c r="G1146" s="55">
        <v>4</v>
      </c>
      <c r="H1146" s="55">
        <v>3</v>
      </c>
      <c r="I1146" s="55">
        <v>0</v>
      </c>
      <c r="J1146" s="55">
        <v>1</v>
      </c>
    </row>
    <row r="1147" spans="1:10" ht="15" x14ac:dyDescent="0.4">
      <c r="A1147" s="54">
        <v>46045</v>
      </c>
      <c r="B1147" s="55" t="s">
        <v>63</v>
      </c>
      <c r="C1147" s="55" t="s">
        <v>58</v>
      </c>
      <c r="D1147" s="57">
        <v>6422</v>
      </c>
      <c r="E1147" s="55">
        <v>1337</v>
      </c>
      <c r="F1147" s="55">
        <v>63</v>
      </c>
      <c r="G1147" s="55">
        <v>2</v>
      </c>
      <c r="H1147" s="55">
        <v>2</v>
      </c>
      <c r="I1147" s="55">
        <v>0</v>
      </c>
      <c r="J1147" s="55">
        <v>0</v>
      </c>
    </row>
    <row r="1148" spans="1:10" ht="15" x14ac:dyDescent="0.4">
      <c r="A1148" s="54">
        <v>46045</v>
      </c>
      <c r="B1148" s="55" t="s">
        <v>57</v>
      </c>
      <c r="C1148" s="55" t="s">
        <v>58</v>
      </c>
      <c r="D1148" s="57">
        <v>21356</v>
      </c>
      <c r="E1148" s="55">
        <v>4449</v>
      </c>
      <c r="F1148" s="55">
        <v>249</v>
      </c>
      <c r="G1148" s="55">
        <v>2</v>
      </c>
      <c r="H1148" s="55">
        <v>1</v>
      </c>
      <c r="I1148" s="55">
        <v>0</v>
      </c>
      <c r="J1148" s="55">
        <v>0</v>
      </c>
    </row>
    <row r="1149" spans="1:10" ht="15" x14ac:dyDescent="0.4">
      <c r="A1149" s="54">
        <v>46045</v>
      </c>
      <c r="B1149" s="55" t="s">
        <v>59</v>
      </c>
      <c r="C1149" s="55" t="s">
        <v>60</v>
      </c>
      <c r="D1149" s="57">
        <v>26736</v>
      </c>
      <c r="E1149" s="55">
        <v>5141</v>
      </c>
      <c r="F1149" s="55">
        <v>30</v>
      </c>
      <c r="G1149" s="55">
        <v>2</v>
      </c>
      <c r="H1149" s="55">
        <v>0</v>
      </c>
      <c r="I1149" s="55">
        <v>0</v>
      </c>
      <c r="J1149" s="55">
        <v>0</v>
      </c>
    </row>
    <row r="1150" spans="1:10" ht="15" x14ac:dyDescent="0.4">
      <c r="A1150" s="54">
        <v>46045</v>
      </c>
      <c r="B1150" s="55" t="s">
        <v>55</v>
      </c>
      <c r="C1150" s="55" t="s">
        <v>56</v>
      </c>
      <c r="D1150" s="57">
        <v>34321</v>
      </c>
      <c r="E1150" s="55">
        <v>24514</v>
      </c>
      <c r="F1150" s="55">
        <v>290</v>
      </c>
      <c r="G1150" s="55">
        <v>9</v>
      </c>
      <c r="H1150" s="55">
        <v>6</v>
      </c>
      <c r="I1150" s="55">
        <v>1</v>
      </c>
      <c r="J1150" s="55">
        <v>0</v>
      </c>
    </row>
    <row r="1151" spans="1:10" ht="15" x14ac:dyDescent="0.4">
      <c r="A1151" s="54">
        <v>46045</v>
      </c>
      <c r="B1151" s="55" t="s">
        <v>62</v>
      </c>
      <c r="C1151" s="55" t="s">
        <v>56</v>
      </c>
      <c r="D1151" s="57">
        <v>8808</v>
      </c>
      <c r="E1151" s="55">
        <v>6291</v>
      </c>
      <c r="F1151" s="55">
        <v>62</v>
      </c>
      <c r="G1151" s="55">
        <v>3</v>
      </c>
      <c r="H1151" s="55">
        <v>1</v>
      </c>
      <c r="I1151" s="55">
        <v>0</v>
      </c>
      <c r="J1151" s="55">
        <v>0</v>
      </c>
    </row>
    <row r="1152" spans="1:10" ht="15" x14ac:dyDescent="0.4">
      <c r="A1152" s="54">
        <v>46046</v>
      </c>
      <c r="B1152" s="55" t="s">
        <v>61</v>
      </c>
      <c r="C1152" s="55" t="s">
        <v>56</v>
      </c>
      <c r="D1152" s="57">
        <v>16095</v>
      </c>
      <c r="E1152" s="55">
        <v>11496</v>
      </c>
      <c r="F1152" s="55">
        <v>141</v>
      </c>
      <c r="G1152" s="55">
        <v>3</v>
      </c>
      <c r="H1152" s="55">
        <v>0</v>
      </c>
      <c r="I1152" s="55">
        <v>0</v>
      </c>
      <c r="J1152" s="55">
        <v>0</v>
      </c>
    </row>
    <row r="1153" spans="1:10" ht="15" x14ac:dyDescent="0.4">
      <c r="A1153" s="54">
        <v>46046</v>
      </c>
      <c r="B1153" s="55" t="s">
        <v>63</v>
      </c>
      <c r="C1153" s="55" t="s">
        <v>58</v>
      </c>
      <c r="D1153" s="57">
        <v>7414</v>
      </c>
      <c r="E1153" s="55">
        <v>1544</v>
      </c>
      <c r="F1153" s="55">
        <v>79</v>
      </c>
      <c r="G1153" s="55">
        <v>2</v>
      </c>
      <c r="H1153" s="55">
        <v>0</v>
      </c>
      <c r="I1153" s="55">
        <v>0</v>
      </c>
      <c r="J1153" s="55">
        <v>1</v>
      </c>
    </row>
    <row r="1154" spans="1:10" ht="15" x14ac:dyDescent="0.4">
      <c r="A1154" s="54">
        <v>46046</v>
      </c>
      <c r="B1154" s="55" t="s">
        <v>57</v>
      </c>
      <c r="C1154" s="55" t="s">
        <v>58</v>
      </c>
      <c r="D1154" s="57">
        <v>20248</v>
      </c>
      <c r="E1154" s="55">
        <v>4218</v>
      </c>
      <c r="F1154" s="55">
        <v>187</v>
      </c>
      <c r="G1154" s="55">
        <v>1</v>
      </c>
      <c r="H1154" s="55">
        <v>1</v>
      </c>
      <c r="I1154" s="55">
        <v>3</v>
      </c>
      <c r="J1154" s="55">
        <v>0</v>
      </c>
    </row>
    <row r="1155" spans="1:10" ht="15" x14ac:dyDescent="0.4">
      <c r="A1155" s="54">
        <v>46046</v>
      </c>
      <c r="B1155" s="55" t="s">
        <v>59</v>
      </c>
      <c r="C1155" s="55" t="s">
        <v>60</v>
      </c>
      <c r="D1155" s="57">
        <v>25703</v>
      </c>
      <c r="E1155" s="55">
        <v>4942</v>
      </c>
      <c r="F1155" s="55">
        <v>35</v>
      </c>
      <c r="G1155" s="55">
        <v>2</v>
      </c>
      <c r="H1155" s="55">
        <v>0</v>
      </c>
      <c r="I1155" s="55">
        <v>1</v>
      </c>
      <c r="J1155" s="55">
        <v>0</v>
      </c>
    </row>
    <row r="1156" spans="1:10" ht="15" x14ac:dyDescent="0.4">
      <c r="A1156" s="54">
        <v>46046</v>
      </c>
      <c r="B1156" s="55" t="s">
        <v>55</v>
      </c>
      <c r="C1156" s="55" t="s">
        <v>56</v>
      </c>
      <c r="D1156" s="57">
        <v>30248</v>
      </c>
      <c r="E1156" s="55">
        <v>21605</v>
      </c>
      <c r="F1156" s="55">
        <v>249</v>
      </c>
      <c r="G1156" s="55">
        <v>5</v>
      </c>
      <c r="H1156" s="55">
        <v>2</v>
      </c>
      <c r="I1156" s="55">
        <v>3</v>
      </c>
      <c r="J1156" s="55">
        <v>0</v>
      </c>
    </row>
    <row r="1157" spans="1:10" ht="15" x14ac:dyDescent="0.4">
      <c r="A1157" s="54">
        <v>46046</v>
      </c>
      <c r="B1157" s="55" t="s">
        <v>62</v>
      </c>
      <c r="C1157" s="55" t="s">
        <v>56</v>
      </c>
      <c r="D1157" s="57">
        <v>9526</v>
      </c>
      <c r="E1157" s="55">
        <v>6804</v>
      </c>
      <c r="F1157" s="55">
        <v>79</v>
      </c>
      <c r="G1157" s="55">
        <v>2</v>
      </c>
      <c r="H1157" s="55">
        <v>1</v>
      </c>
      <c r="I1157" s="55">
        <v>0</v>
      </c>
      <c r="J1157" s="55">
        <v>0</v>
      </c>
    </row>
    <row r="1158" spans="1:10" ht="15" x14ac:dyDescent="0.4">
      <c r="A1158" s="54">
        <v>46047</v>
      </c>
      <c r="B1158" s="55" t="s">
        <v>61</v>
      </c>
      <c r="C1158" s="55" t="s">
        <v>56</v>
      </c>
      <c r="D1158" s="57">
        <v>16942</v>
      </c>
      <c r="E1158" s="55">
        <v>12101</v>
      </c>
      <c r="F1158" s="55">
        <v>134</v>
      </c>
      <c r="G1158" s="55">
        <v>2</v>
      </c>
      <c r="H1158" s="55">
        <v>0</v>
      </c>
      <c r="I1158" s="55">
        <v>0</v>
      </c>
      <c r="J1158" s="55">
        <v>0</v>
      </c>
    </row>
    <row r="1159" spans="1:10" ht="15" x14ac:dyDescent="0.4">
      <c r="A1159" s="54">
        <v>46047</v>
      </c>
      <c r="B1159" s="55" t="s">
        <v>63</v>
      </c>
      <c r="C1159" s="55" t="s">
        <v>58</v>
      </c>
      <c r="D1159" s="57">
        <v>6652</v>
      </c>
      <c r="E1159" s="55">
        <v>1385</v>
      </c>
      <c r="F1159" s="55">
        <v>73</v>
      </c>
      <c r="G1159" s="55">
        <v>1</v>
      </c>
      <c r="H1159" s="55">
        <v>2</v>
      </c>
      <c r="I1159" s="55">
        <v>0</v>
      </c>
      <c r="J1159" s="55">
        <v>1</v>
      </c>
    </row>
    <row r="1160" spans="1:10" ht="15" x14ac:dyDescent="0.4">
      <c r="A1160" s="54">
        <v>46047</v>
      </c>
      <c r="B1160" s="55" t="s">
        <v>57</v>
      </c>
      <c r="C1160" s="55" t="s">
        <v>58</v>
      </c>
      <c r="D1160" s="57">
        <v>22033</v>
      </c>
      <c r="E1160" s="55">
        <v>4590</v>
      </c>
      <c r="F1160" s="55">
        <v>207</v>
      </c>
      <c r="G1160" s="55">
        <v>4</v>
      </c>
      <c r="H1160" s="55">
        <v>0</v>
      </c>
      <c r="I1160" s="55">
        <v>0</v>
      </c>
      <c r="J1160" s="55">
        <v>0</v>
      </c>
    </row>
    <row r="1161" spans="1:10" ht="15" x14ac:dyDescent="0.4">
      <c r="A1161" s="54">
        <v>46047</v>
      </c>
      <c r="B1161" s="55" t="s">
        <v>59</v>
      </c>
      <c r="C1161" s="55" t="s">
        <v>60</v>
      </c>
      <c r="D1161" s="57">
        <v>24197</v>
      </c>
      <c r="E1161" s="55">
        <v>4653</v>
      </c>
      <c r="F1161" s="55">
        <v>27</v>
      </c>
      <c r="G1161" s="55">
        <v>1</v>
      </c>
      <c r="H1161" s="55">
        <v>3</v>
      </c>
      <c r="I1161" s="55">
        <v>1</v>
      </c>
      <c r="J1161" s="55">
        <v>0</v>
      </c>
    </row>
    <row r="1162" spans="1:10" ht="15" x14ac:dyDescent="0.4">
      <c r="A1162" s="54">
        <v>46047</v>
      </c>
      <c r="B1162" s="55" t="s">
        <v>55</v>
      </c>
      <c r="C1162" s="55" t="s">
        <v>56</v>
      </c>
      <c r="D1162" s="57">
        <v>30104</v>
      </c>
      <c r="E1162" s="55">
        <v>21502</v>
      </c>
      <c r="F1162" s="55">
        <v>248</v>
      </c>
      <c r="G1162" s="55">
        <v>4</v>
      </c>
      <c r="H1162" s="55">
        <v>4</v>
      </c>
      <c r="I1162" s="55">
        <v>0</v>
      </c>
      <c r="J1162" s="55">
        <v>0</v>
      </c>
    </row>
    <row r="1163" spans="1:10" ht="15" x14ac:dyDescent="0.4">
      <c r="A1163" s="54">
        <v>46047</v>
      </c>
      <c r="B1163" s="55" t="s">
        <v>62</v>
      </c>
      <c r="C1163" s="55" t="s">
        <v>56</v>
      </c>
      <c r="D1163" s="57">
        <v>9163</v>
      </c>
      <c r="E1163" s="55">
        <v>6545</v>
      </c>
      <c r="F1163" s="55">
        <v>79</v>
      </c>
      <c r="G1163" s="55">
        <v>3</v>
      </c>
      <c r="H1163" s="55">
        <v>2</v>
      </c>
      <c r="I1163" s="55">
        <v>0</v>
      </c>
      <c r="J1163" s="55">
        <v>0</v>
      </c>
    </row>
    <row r="1164" spans="1:10" ht="15" x14ac:dyDescent="0.4">
      <c r="A1164" s="54">
        <v>46048</v>
      </c>
      <c r="B1164" s="55" t="s">
        <v>61</v>
      </c>
      <c r="C1164" s="55" t="s">
        <v>56</v>
      </c>
      <c r="D1164" s="57">
        <v>15091</v>
      </c>
      <c r="E1164" s="55">
        <v>10779</v>
      </c>
      <c r="F1164" s="55">
        <v>107</v>
      </c>
      <c r="G1164" s="55">
        <v>2</v>
      </c>
      <c r="H1164" s="55">
        <v>0</v>
      </c>
      <c r="I1164" s="55">
        <v>1</v>
      </c>
      <c r="J1164" s="55">
        <v>0</v>
      </c>
    </row>
    <row r="1165" spans="1:10" ht="15" x14ac:dyDescent="0.4">
      <c r="A1165" s="54">
        <v>46048</v>
      </c>
      <c r="B1165" s="55" t="s">
        <v>63</v>
      </c>
      <c r="C1165" s="55" t="s">
        <v>58</v>
      </c>
      <c r="D1165" s="57">
        <v>6308</v>
      </c>
      <c r="E1165" s="55">
        <v>1314</v>
      </c>
      <c r="F1165" s="55">
        <v>66</v>
      </c>
      <c r="G1165" s="55">
        <v>5</v>
      </c>
      <c r="H1165" s="55">
        <v>1</v>
      </c>
      <c r="I1165" s="55">
        <v>0</v>
      </c>
      <c r="J1165" s="55">
        <v>0</v>
      </c>
    </row>
    <row r="1166" spans="1:10" ht="15" x14ac:dyDescent="0.4">
      <c r="A1166" s="54">
        <v>46048</v>
      </c>
      <c r="B1166" s="55" t="s">
        <v>57</v>
      </c>
      <c r="C1166" s="55" t="s">
        <v>58</v>
      </c>
      <c r="D1166" s="57">
        <v>21677</v>
      </c>
      <c r="E1166" s="55">
        <v>4516</v>
      </c>
      <c r="F1166" s="55">
        <v>239</v>
      </c>
      <c r="G1166" s="55">
        <v>1</v>
      </c>
      <c r="H1166" s="55">
        <v>1</v>
      </c>
      <c r="I1166" s="55">
        <v>0</v>
      </c>
      <c r="J1166" s="55">
        <v>0</v>
      </c>
    </row>
    <row r="1167" spans="1:10" ht="15" x14ac:dyDescent="0.4">
      <c r="A1167" s="54">
        <v>46048</v>
      </c>
      <c r="B1167" s="55" t="s">
        <v>59</v>
      </c>
      <c r="C1167" s="55" t="s">
        <v>60</v>
      </c>
      <c r="D1167" s="57">
        <v>26249</v>
      </c>
      <c r="E1167" s="55">
        <v>5047</v>
      </c>
      <c r="F1167" s="55">
        <v>36</v>
      </c>
      <c r="G1167" s="55">
        <v>2</v>
      </c>
      <c r="H1167" s="55">
        <v>0</v>
      </c>
      <c r="I1167" s="55">
        <v>0</v>
      </c>
      <c r="J1167" s="55">
        <v>0</v>
      </c>
    </row>
    <row r="1168" spans="1:10" ht="15" x14ac:dyDescent="0.4">
      <c r="A1168" s="54">
        <v>46048</v>
      </c>
      <c r="B1168" s="55" t="s">
        <v>55</v>
      </c>
      <c r="C1168" s="55" t="s">
        <v>56</v>
      </c>
      <c r="D1168" s="57">
        <v>29703</v>
      </c>
      <c r="E1168" s="55">
        <v>21216</v>
      </c>
      <c r="F1168" s="55">
        <v>232</v>
      </c>
      <c r="G1168" s="55">
        <v>8</v>
      </c>
      <c r="H1168" s="55">
        <v>3</v>
      </c>
      <c r="I1168" s="55">
        <v>2</v>
      </c>
      <c r="J1168" s="55">
        <v>0</v>
      </c>
    </row>
    <row r="1169" spans="1:10" ht="15" x14ac:dyDescent="0.4">
      <c r="A1169" s="54">
        <v>46048</v>
      </c>
      <c r="B1169" s="55" t="s">
        <v>62</v>
      </c>
      <c r="C1169" s="55" t="s">
        <v>56</v>
      </c>
      <c r="D1169" s="57">
        <v>9616</v>
      </c>
      <c r="E1169" s="55">
        <v>6868</v>
      </c>
      <c r="F1169" s="55">
        <v>83</v>
      </c>
      <c r="G1169" s="55">
        <v>5</v>
      </c>
      <c r="H1169" s="55">
        <v>1</v>
      </c>
      <c r="I1169" s="55">
        <v>1</v>
      </c>
      <c r="J1169" s="55">
        <v>0</v>
      </c>
    </row>
    <row r="1170" spans="1:10" ht="15" x14ac:dyDescent="0.4">
      <c r="A1170" s="54">
        <v>46049</v>
      </c>
      <c r="B1170" s="55" t="s">
        <v>61</v>
      </c>
      <c r="C1170" s="55" t="s">
        <v>56</v>
      </c>
      <c r="D1170" s="57">
        <v>18221</v>
      </c>
      <c r="E1170" s="55">
        <v>13015</v>
      </c>
      <c r="F1170" s="55">
        <v>128</v>
      </c>
      <c r="G1170" s="55">
        <v>5</v>
      </c>
      <c r="H1170" s="55">
        <v>0</v>
      </c>
      <c r="I1170" s="55">
        <v>0</v>
      </c>
      <c r="J1170" s="55">
        <v>0</v>
      </c>
    </row>
    <row r="1171" spans="1:10" ht="15" x14ac:dyDescent="0.4">
      <c r="A1171" s="54">
        <v>46049</v>
      </c>
      <c r="B1171" s="55" t="s">
        <v>63</v>
      </c>
      <c r="C1171" s="55" t="s">
        <v>58</v>
      </c>
      <c r="D1171" s="57">
        <v>6188</v>
      </c>
      <c r="E1171" s="55">
        <v>1289</v>
      </c>
      <c r="F1171" s="55">
        <v>68</v>
      </c>
      <c r="G1171" s="55">
        <v>4</v>
      </c>
      <c r="H1171" s="55">
        <v>1</v>
      </c>
      <c r="I1171" s="55">
        <v>0</v>
      </c>
      <c r="J1171" s="55">
        <v>0</v>
      </c>
    </row>
    <row r="1172" spans="1:10" ht="15" x14ac:dyDescent="0.4">
      <c r="A1172" s="54">
        <v>46049</v>
      </c>
      <c r="B1172" s="55" t="s">
        <v>57</v>
      </c>
      <c r="C1172" s="55" t="s">
        <v>58</v>
      </c>
      <c r="D1172" s="57">
        <v>24097</v>
      </c>
      <c r="E1172" s="55">
        <v>5020</v>
      </c>
      <c r="F1172" s="55">
        <v>278</v>
      </c>
      <c r="G1172" s="55">
        <v>4</v>
      </c>
      <c r="H1172" s="55">
        <v>0</v>
      </c>
      <c r="I1172" s="55">
        <v>1</v>
      </c>
      <c r="J1172" s="55">
        <v>0</v>
      </c>
    </row>
    <row r="1173" spans="1:10" ht="15" x14ac:dyDescent="0.4">
      <c r="A1173" s="54">
        <v>46049</v>
      </c>
      <c r="B1173" s="55" t="s">
        <v>59</v>
      </c>
      <c r="C1173" s="55" t="s">
        <v>60</v>
      </c>
      <c r="D1173" s="57">
        <v>23767</v>
      </c>
      <c r="E1173" s="55">
        <v>4570</v>
      </c>
      <c r="F1173" s="55">
        <v>31</v>
      </c>
      <c r="G1173" s="55">
        <v>1</v>
      </c>
      <c r="H1173" s="55">
        <v>0</v>
      </c>
      <c r="I1173" s="55">
        <v>0</v>
      </c>
      <c r="J1173" s="55">
        <v>0</v>
      </c>
    </row>
    <row r="1174" spans="1:10" ht="15" x14ac:dyDescent="0.4">
      <c r="A1174" s="54">
        <v>46049</v>
      </c>
      <c r="B1174" s="55" t="s">
        <v>55</v>
      </c>
      <c r="C1174" s="55" t="s">
        <v>56</v>
      </c>
      <c r="D1174" s="57">
        <v>29091</v>
      </c>
      <c r="E1174" s="55">
        <v>20779</v>
      </c>
      <c r="F1174" s="55">
        <v>250</v>
      </c>
      <c r="G1174" s="55">
        <v>14</v>
      </c>
      <c r="H1174" s="55">
        <v>0</v>
      </c>
      <c r="I1174" s="55">
        <v>0</v>
      </c>
      <c r="J1174" s="55">
        <v>0</v>
      </c>
    </row>
    <row r="1175" spans="1:10" ht="15" x14ac:dyDescent="0.4">
      <c r="A1175" s="54">
        <v>46049</v>
      </c>
      <c r="B1175" s="55" t="s">
        <v>62</v>
      </c>
      <c r="C1175" s="55" t="s">
        <v>56</v>
      </c>
      <c r="D1175" s="57">
        <v>8865</v>
      </c>
      <c r="E1175" s="55">
        <v>6332</v>
      </c>
      <c r="F1175" s="55">
        <v>75</v>
      </c>
      <c r="G1175" s="55">
        <v>2</v>
      </c>
      <c r="H1175" s="55">
        <v>0</v>
      </c>
      <c r="I1175" s="55">
        <v>0</v>
      </c>
      <c r="J1175" s="55">
        <v>0</v>
      </c>
    </row>
    <row r="1176" spans="1:10" ht="15" x14ac:dyDescent="0.4">
      <c r="A1176" s="54">
        <v>46050</v>
      </c>
      <c r="B1176" s="55" t="s">
        <v>61</v>
      </c>
      <c r="C1176" s="55" t="s">
        <v>56</v>
      </c>
      <c r="D1176" s="57">
        <v>15862</v>
      </c>
      <c r="E1176" s="55">
        <v>11330</v>
      </c>
      <c r="F1176" s="55">
        <v>141</v>
      </c>
      <c r="G1176" s="55">
        <v>2</v>
      </c>
      <c r="H1176" s="55">
        <v>0</v>
      </c>
      <c r="I1176" s="55">
        <v>0</v>
      </c>
      <c r="J1176" s="55">
        <v>0</v>
      </c>
    </row>
    <row r="1177" spans="1:10" ht="15" x14ac:dyDescent="0.4">
      <c r="A1177" s="54">
        <v>46050</v>
      </c>
      <c r="B1177" s="55" t="s">
        <v>63</v>
      </c>
      <c r="C1177" s="55" t="s">
        <v>58</v>
      </c>
      <c r="D1177" s="57">
        <v>6266</v>
      </c>
      <c r="E1177" s="55">
        <v>1305</v>
      </c>
      <c r="F1177" s="55">
        <v>65</v>
      </c>
      <c r="G1177" s="55">
        <v>7</v>
      </c>
      <c r="H1177" s="55">
        <v>3</v>
      </c>
      <c r="I1177" s="55">
        <v>0</v>
      </c>
      <c r="J1177" s="55">
        <v>1</v>
      </c>
    </row>
    <row r="1178" spans="1:10" ht="15" x14ac:dyDescent="0.4">
      <c r="A1178" s="54">
        <v>46050</v>
      </c>
      <c r="B1178" s="55" t="s">
        <v>57</v>
      </c>
      <c r="C1178" s="55" t="s">
        <v>58</v>
      </c>
      <c r="D1178" s="57">
        <v>24362</v>
      </c>
      <c r="E1178" s="55">
        <v>5075</v>
      </c>
      <c r="F1178" s="55">
        <v>242</v>
      </c>
      <c r="G1178" s="55">
        <v>9</v>
      </c>
      <c r="H1178" s="55">
        <v>1</v>
      </c>
      <c r="I1178" s="55">
        <v>0</v>
      </c>
      <c r="J1178" s="55">
        <v>1</v>
      </c>
    </row>
    <row r="1179" spans="1:10" ht="15" x14ac:dyDescent="0.4">
      <c r="A1179" s="54">
        <v>46050</v>
      </c>
      <c r="B1179" s="55" t="s">
        <v>59</v>
      </c>
      <c r="C1179" s="55" t="s">
        <v>60</v>
      </c>
      <c r="D1179" s="57">
        <v>24208</v>
      </c>
      <c r="E1179" s="55">
        <v>4655</v>
      </c>
      <c r="F1179" s="55">
        <v>32</v>
      </c>
      <c r="G1179" s="55">
        <v>6</v>
      </c>
      <c r="H1179" s="55">
        <v>1</v>
      </c>
      <c r="I1179" s="55">
        <v>0</v>
      </c>
      <c r="J1179" s="55">
        <v>0</v>
      </c>
    </row>
    <row r="1180" spans="1:10" ht="15" x14ac:dyDescent="0.4">
      <c r="A1180" s="54">
        <v>46050</v>
      </c>
      <c r="B1180" s="55" t="s">
        <v>55</v>
      </c>
      <c r="C1180" s="55" t="s">
        <v>56</v>
      </c>
      <c r="D1180" s="57">
        <v>29724</v>
      </c>
      <c r="E1180" s="55">
        <v>21231</v>
      </c>
      <c r="F1180" s="55">
        <v>240</v>
      </c>
      <c r="G1180" s="55">
        <v>8</v>
      </c>
      <c r="H1180" s="55">
        <v>4</v>
      </c>
      <c r="I1180" s="55">
        <v>2</v>
      </c>
      <c r="J1180" s="55">
        <v>0</v>
      </c>
    </row>
    <row r="1181" spans="1:10" ht="15" x14ac:dyDescent="0.4">
      <c r="A1181" s="54">
        <v>46050</v>
      </c>
      <c r="B1181" s="55" t="s">
        <v>62</v>
      </c>
      <c r="C1181" s="55" t="s">
        <v>56</v>
      </c>
      <c r="D1181" s="57">
        <v>9712</v>
      </c>
      <c r="E1181" s="55">
        <v>6937</v>
      </c>
      <c r="F1181" s="55">
        <v>84</v>
      </c>
      <c r="G1181" s="55">
        <v>5</v>
      </c>
      <c r="H1181" s="55">
        <v>2</v>
      </c>
      <c r="I1181" s="55">
        <v>0</v>
      </c>
      <c r="J1181" s="55">
        <v>0</v>
      </c>
    </row>
    <row r="1182" spans="1:10" ht="15" x14ac:dyDescent="0.4">
      <c r="A1182" s="54">
        <v>46051</v>
      </c>
      <c r="B1182" s="55" t="s">
        <v>61</v>
      </c>
      <c r="C1182" s="55" t="s">
        <v>56</v>
      </c>
      <c r="D1182" s="57">
        <v>15187</v>
      </c>
      <c r="E1182" s="55">
        <v>10847</v>
      </c>
      <c r="F1182" s="55">
        <v>105</v>
      </c>
      <c r="G1182" s="55">
        <v>9</v>
      </c>
      <c r="H1182" s="55">
        <v>1</v>
      </c>
      <c r="I1182" s="55">
        <v>0</v>
      </c>
      <c r="J1182" s="55">
        <v>0</v>
      </c>
    </row>
    <row r="1183" spans="1:10" ht="15" x14ac:dyDescent="0.4">
      <c r="A1183" s="54">
        <v>46051</v>
      </c>
      <c r="B1183" s="55" t="s">
        <v>63</v>
      </c>
      <c r="C1183" s="55" t="s">
        <v>58</v>
      </c>
      <c r="D1183" s="57">
        <v>6903</v>
      </c>
      <c r="E1183" s="55">
        <v>1438</v>
      </c>
      <c r="F1183" s="55">
        <v>82</v>
      </c>
      <c r="G1183" s="55">
        <v>4</v>
      </c>
      <c r="H1183" s="55">
        <v>3</v>
      </c>
      <c r="I1183" s="55">
        <v>1</v>
      </c>
      <c r="J1183" s="55">
        <v>0</v>
      </c>
    </row>
    <row r="1184" spans="1:10" ht="15" x14ac:dyDescent="0.4">
      <c r="A1184" s="54">
        <v>46051</v>
      </c>
      <c r="B1184" s="55" t="s">
        <v>57</v>
      </c>
      <c r="C1184" s="55" t="s">
        <v>58</v>
      </c>
      <c r="D1184" s="57">
        <v>21169</v>
      </c>
      <c r="E1184" s="55">
        <v>4410</v>
      </c>
      <c r="F1184" s="55">
        <v>198</v>
      </c>
      <c r="G1184" s="55">
        <v>1</v>
      </c>
      <c r="H1184" s="55">
        <v>2</v>
      </c>
      <c r="I1184" s="55">
        <v>0</v>
      </c>
      <c r="J1184" s="55">
        <v>0</v>
      </c>
    </row>
    <row r="1185" spans="1:10" ht="15" x14ac:dyDescent="0.4">
      <c r="A1185" s="54">
        <v>46051</v>
      </c>
      <c r="B1185" s="55" t="s">
        <v>59</v>
      </c>
      <c r="C1185" s="55" t="s">
        <v>60</v>
      </c>
      <c r="D1185" s="57">
        <v>26541</v>
      </c>
      <c r="E1185" s="55">
        <v>5104</v>
      </c>
      <c r="F1185" s="55">
        <v>35</v>
      </c>
      <c r="G1185" s="55">
        <v>1</v>
      </c>
      <c r="H1185" s="55">
        <v>2</v>
      </c>
      <c r="I1185" s="55">
        <v>0</v>
      </c>
      <c r="J1185" s="55">
        <v>0</v>
      </c>
    </row>
    <row r="1186" spans="1:10" ht="15" x14ac:dyDescent="0.4">
      <c r="A1186" s="54">
        <v>46051</v>
      </c>
      <c r="B1186" s="55" t="s">
        <v>55</v>
      </c>
      <c r="C1186" s="55" t="s">
        <v>56</v>
      </c>
      <c r="D1186" s="57">
        <v>31799</v>
      </c>
      <c r="E1186" s="55">
        <v>22713</v>
      </c>
      <c r="F1186" s="55">
        <v>286</v>
      </c>
      <c r="G1186" s="55">
        <v>8</v>
      </c>
      <c r="H1186" s="55">
        <v>2</v>
      </c>
      <c r="I1186" s="55">
        <v>1</v>
      </c>
      <c r="J1186" s="55">
        <v>0</v>
      </c>
    </row>
    <row r="1187" spans="1:10" ht="15" x14ac:dyDescent="0.4">
      <c r="A1187" s="54">
        <v>46051</v>
      </c>
      <c r="B1187" s="55" t="s">
        <v>62</v>
      </c>
      <c r="C1187" s="55" t="s">
        <v>56</v>
      </c>
      <c r="D1187" s="57">
        <v>9064</v>
      </c>
      <c r="E1187" s="55">
        <v>6474</v>
      </c>
      <c r="F1187" s="55">
        <v>69</v>
      </c>
      <c r="G1187" s="55">
        <v>4</v>
      </c>
      <c r="H1187" s="55">
        <v>1</v>
      </c>
      <c r="I1187" s="55">
        <v>0</v>
      </c>
      <c r="J1187" s="55">
        <v>0</v>
      </c>
    </row>
    <row r="1188" spans="1:10" ht="15" x14ac:dyDescent="0.4">
      <c r="A1188" s="54">
        <v>46052</v>
      </c>
      <c r="B1188" s="55" t="s">
        <v>61</v>
      </c>
      <c r="C1188" s="55" t="s">
        <v>56</v>
      </c>
      <c r="D1188" s="57">
        <v>15904</v>
      </c>
      <c r="E1188" s="55">
        <v>11360</v>
      </c>
      <c r="F1188" s="55">
        <v>124</v>
      </c>
      <c r="G1188" s="55">
        <v>3</v>
      </c>
      <c r="H1188" s="55">
        <v>0</v>
      </c>
      <c r="I1188" s="55">
        <v>0</v>
      </c>
      <c r="J1188" s="55">
        <v>0</v>
      </c>
    </row>
    <row r="1189" spans="1:10" ht="15" x14ac:dyDescent="0.4">
      <c r="A1189" s="54">
        <v>46052</v>
      </c>
      <c r="B1189" s="55" t="s">
        <v>63</v>
      </c>
      <c r="C1189" s="55" t="s">
        <v>58</v>
      </c>
      <c r="D1189" s="57">
        <v>6499</v>
      </c>
      <c r="E1189" s="55">
        <v>1353</v>
      </c>
      <c r="F1189" s="55">
        <v>62</v>
      </c>
      <c r="G1189" s="55">
        <v>2</v>
      </c>
      <c r="H1189" s="55">
        <v>1</v>
      </c>
      <c r="I1189" s="55">
        <v>1</v>
      </c>
      <c r="J1189" s="55">
        <v>0</v>
      </c>
    </row>
    <row r="1190" spans="1:10" ht="15" x14ac:dyDescent="0.4">
      <c r="A1190" s="54">
        <v>46052</v>
      </c>
      <c r="B1190" s="55" t="s">
        <v>57</v>
      </c>
      <c r="C1190" s="55" t="s">
        <v>58</v>
      </c>
      <c r="D1190" s="57">
        <v>24632</v>
      </c>
      <c r="E1190" s="55">
        <v>5131</v>
      </c>
      <c r="F1190" s="55">
        <v>230</v>
      </c>
      <c r="G1190" s="55">
        <v>2</v>
      </c>
      <c r="H1190" s="55">
        <v>1</v>
      </c>
      <c r="I1190" s="55">
        <v>1</v>
      </c>
      <c r="J1190" s="55">
        <v>0</v>
      </c>
    </row>
    <row r="1191" spans="1:10" ht="15" x14ac:dyDescent="0.4">
      <c r="A1191" s="54">
        <v>46052</v>
      </c>
      <c r="B1191" s="55" t="s">
        <v>59</v>
      </c>
      <c r="C1191" s="55" t="s">
        <v>60</v>
      </c>
      <c r="D1191" s="57">
        <v>23856</v>
      </c>
      <c r="E1191" s="55">
        <v>4587</v>
      </c>
      <c r="F1191" s="55">
        <v>32</v>
      </c>
      <c r="G1191" s="55">
        <v>2</v>
      </c>
      <c r="H1191" s="55">
        <v>2</v>
      </c>
      <c r="I1191" s="55">
        <v>1</v>
      </c>
      <c r="J1191" s="55">
        <v>1</v>
      </c>
    </row>
    <row r="1192" spans="1:10" ht="15" x14ac:dyDescent="0.4">
      <c r="A1192" s="54">
        <v>46052</v>
      </c>
      <c r="B1192" s="55" t="s">
        <v>55</v>
      </c>
      <c r="C1192" s="55" t="s">
        <v>56</v>
      </c>
      <c r="D1192" s="57">
        <v>31863</v>
      </c>
      <c r="E1192" s="55">
        <v>22759</v>
      </c>
      <c r="F1192" s="55">
        <v>276</v>
      </c>
      <c r="G1192" s="55">
        <v>8</v>
      </c>
      <c r="H1192" s="55">
        <v>2</v>
      </c>
      <c r="I1192" s="55">
        <v>0</v>
      </c>
      <c r="J1192" s="55">
        <v>0</v>
      </c>
    </row>
    <row r="1193" spans="1:10" ht="15" x14ac:dyDescent="0.4">
      <c r="A1193" s="54">
        <v>46052</v>
      </c>
      <c r="B1193" s="55" t="s">
        <v>62</v>
      </c>
      <c r="C1193" s="55" t="s">
        <v>56</v>
      </c>
      <c r="D1193" s="57">
        <v>9156</v>
      </c>
      <c r="E1193" s="55">
        <v>6540</v>
      </c>
      <c r="F1193" s="55">
        <v>76</v>
      </c>
      <c r="G1193" s="55">
        <v>2</v>
      </c>
      <c r="H1193" s="55">
        <v>0</v>
      </c>
      <c r="I1193" s="55">
        <v>0</v>
      </c>
      <c r="J1193" s="55">
        <v>0</v>
      </c>
    </row>
    <row r="1194" spans="1:10" ht="15" x14ac:dyDescent="0.4">
      <c r="A1194" s="54">
        <v>46053</v>
      </c>
      <c r="B1194" s="55" t="s">
        <v>61</v>
      </c>
      <c r="C1194" s="55" t="s">
        <v>56</v>
      </c>
      <c r="D1194" s="57">
        <v>16299</v>
      </c>
      <c r="E1194" s="55">
        <v>11642</v>
      </c>
      <c r="F1194" s="55">
        <v>135</v>
      </c>
      <c r="G1194" s="55">
        <v>4</v>
      </c>
      <c r="H1194" s="55">
        <v>1</v>
      </c>
      <c r="I1194" s="55">
        <v>1</v>
      </c>
      <c r="J1194" s="55">
        <v>0</v>
      </c>
    </row>
    <row r="1195" spans="1:10" ht="15" x14ac:dyDescent="0.4">
      <c r="A1195" s="54">
        <v>46053</v>
      </c>
      <c r="B1195" s="55" t="s">
        <v>63</v>
      </c>
      <c r="C1195" s="55" t="s">
        <v>58</v>
      </c>
      <c r="D1195" s="57">
        <v>6593</v>
      </c>
      <c r="E1195" s="55">
        <v>1373</v>
      </c>
      <c r="F1195" s="55">
        <v>62</v>
      </c>
      <c r="G1195" s="55">
        <v>0</v>
      </c>
      <c r="H1195" s="55">
        <v>0</v>
      </c>
      <c r="I1195" s="55">
        <v>1</v>
      </c>
      <c r="J1195" s="55">
        <v>0</v>
      </c>
    </row>
    <row r="1196" spans="1:10" ht="15" x14ac:dyDescent="0.4">
      <c r="A1196" s="54">
        <v>46053</v>
      </c>
      <c r="B1196" s="55" t="s">
        <v>57</v>
      </c>
      <c r="C1196" s="55" t="s">
        <v>58</v>
      </c>
      <c r="D1196" s="57">
        <v>21702</v>
      </c>
      <c r="E1196" s="55">
        <v>4521</v>
      </c>
      <c r="F1196" s="55">
        <v>248</v>
      </c>
      <c r="G1196" s="55">
        <v>1</v>
      </c>
      <c r="H1196" s="55">
        <v>0</v>
      </c>
      <c r="I1196" s="55">
        <v>0</v>
      </c>
      <c r="J1196" s="55">
        <v>0</v>
      </c>
    </row>
    <row r="1197" spans="1:10" ht="15" x14ac:dyDescent="0.4">
      <c r="A1197" s="54">
        <v>46053</v>
      </c>
      <c r="B1197" s="55" t="s">
        <v>59</v>
      </c>
      <c r="C1197" s="55" t="s">
        <v>60</v>
      </c>
      <c r="D1197" s="57">
        <v>25368</v>
      </c>
      <c r="E1197" s="55">
        <v>4878</v>
      </c>
      <c r="F1197" s="55">
        <v>27</v>
      </c>
      <c r="G1197" s="55">
        <v>0</v>
      </c>
      <c r="H1197" s="55">
        <v>1</v>
      </c>
      <c r="I1197" s="55">
        <v>1</v>
      </c>
      <c r="J1197" s="55">
        <v>0</v>
      </c>
    </row>
    <row r="1198" spans="1:10" ht="15" x14ac:dyDescent="0.4">
      <c r="A1198" s="54">
        <v>46053</v>
      </c>
      <c r="B1198" s="55" t="s">
        <v>55</v>
      </c>
      <c r="C1198" s="55" t="s">
        <v>56</v>
      </c>
      <c r="D1198" s="57">
        <v>32417</v>
      </c>
      <c r="E1198" s="55">
        <v>23155</v>
      </c>
      <c r="F1198" s="55">
        <v>223</v>
      </c>
      <c r="G1198" s="55">
        <v>6</v>
      </c>
      <c r="H1198" s="55">
        <v>0</v>
      </c>
      <c r="I1198" s="55">
        <v>0</v>
      </c>
      <c r="J1198" s="55">
        <v>0</v>
      </c>
    </row>
    <row r="1199" spans="1:10" ht="15" x14ac:dyDescent="0.4">
      <c r="A1199" s="54">
        <v>46053</v>
      </c>
      <c r="B1199" s="55" t="s">
        <v>62</v>
      </c>
      <c r="C1199" s="55" t="s">
        <v>56</v>
      </c>
      <c r="D1199" s="57">
        <v>9820</v>
      </c>
      <c r="E1199" s="55">
        <v>7014</v>
      </c>
      <c r="F1199" s="55">
        <v>66</v>
      </c>
      <c r="G1199" s="55">
        <v>2</v>
      </c>
      <c r="H1199" s="55">
        <v>1</v>
      </c>
      <c r="I1199" s="55">
        <v>1</v>
      </c>
      <c r="J1199" s="55">
        <v>0</v>
      </c>
    </row>
    <row r="1200" spans="1:10" ht="15" x14ac:dyDescent="0.4">
      <c r="A1200" s="54">
        <v>46054</v>
      </c>
      <c r="B1200" s="55" t="s">
        <v>61</v>
      </c>
      <c r="C1200" s="55" t="s">
        <v>56</v>
      </c>
      <c r="D1200" s="57">
        <v>15478</v>
      </c>
      <c r="E1200" s="55">
        <v>11055</v>
      </c>
      <c r="F1200" s="55">
        <v>117</v>
      </c>
      <c r="G1200" s="55">
        <v>5</v>
      </c>
      <c r="H1200" s="55">
        <v>1</v>
      </c>
      <c r="I1200" s="55">
        <v>0</v>
      </c>
      <c r="J1200" s="55">
        <v>0</v>
      </c>
    </row>
    <row r="1201" spans="1:10" ht="15" x14ac:dyDescent="0.4">
      <c r="A1201" s="54">
        <v>46054</v>
      </c>
      <c r="B1201" s="55" t="s">
        <v>63</v>
      </c>
      <c r="C1201" s="55" t="s">
        <v>58</v>
      </c>
      <c r="D1201" s="57">
        <v>7294</v>
      </c>
      <c r="E1201" s="55">
        <v>1519</v>
      </c>
      <c r="F1201" s="55">
        <v>89</v>
      </c>
      <c r="G1201" s="55">
        <v>1</v>
      </c>
      <c r="H1201" s="55">
        <v>3</v>
      </c>
      <c r="I1201" s="55">
        <v>1</v>
      </c>
      <c r="J1201" s="55">
        <v>0</v>
      </c>
    </row>
    <row r="1202" spans="1:10" ht="15" x14ac:dyDescent="0.4">
      <c r="A1202" s="54">
        <v>46054</v>
      </c>
      <c r="B1202" s="55" t="s">
        <v>57</v>
      </c>
      <c r="C1202" s="55" t="s">
        <v>58</v>
      </c>
      <c r="D1202" s="57">
        <v>17841</v>
      </c>
      <c r="E1202" s="55">
        <v>3716</v>
      </c>
      <c r="F1202" s="55">
        <v>167</v>
      </c>
      <c r="G1202" s="55">
        <v>1</v>
      </c>
      <c r="H1202" s="55">
        <v>1</v>
      </c>
      <c r="I1202" s="55">
        <v>1</v>
      </c>
      <c r="J1202" s="55">
        <v>0</v>
      </c>
    </row>
    <row r="1203" spans="1:10" ht="15" x14ac:dyDescent="0.4">
      <c r="A1203" s="54">
        <v>46054</v>
      </c>
      <c r="B1203" s="55" t="s">
        <v>59</v>
      </c>
      <c r="C1203" s="55" t="s">
        <v>60</v>
      </c>
      <c r="D1203" s="57">
        <v>23716</v>
      </c>
      <c r="E1203" s="55">
        <v>4560</v>
      </c>
      <c r="F1203" s="55">
        <v>31</v>
      </c>
      <c r="G1203" s="55">
        <v>3</v>
      </c>
      <c r="H1203" s="55">
        <v>1</v>
      </c>
      <c r="I1203" s="55">
        <v>0</v>
      </c>
      <c r="J1203" s="55">
        <v>0</v>
      </c>
    </row>
    <row r="1204" spans="1:10" ht="15" x14ac:dyDescent="0.4">
      <c r="A1204" s="54">
        <v>46054</v>
      </c>
      <c r="B1204" s="55" t="s">
        <v>55</v>
      </c>
      <c r="C1204" s="55" t="s">
        <v>56</v>
      </c>
      <c r="D1204" s="57">
        <v>29228</v>
      </c>
      <c r="E1204" s="55">
        <v>20877</v>
      </c>
      <c r="F1204" s="55">
        <v>210</v>
      </c>
      <c r="G1204" s="55">
        <v>4</v>
      </c>
      <c r="H1204" s="55">
        <v>0</v>
      </c>
      <c r="I1204" s="55">
        <v>2</v>
      </c>
      <c r="J1204" s="55">
        <v>0</v>
      </c>
    </row>
    <row r="1205" spans="1:10" ht="15" x14ac:dyDescent="0.4">
      <c r="A1205" s="54">
        <v>46054</v>
      </c>
      <c r="B1205" s="55" t="s">
        <v>62</v>
      </c>
      <c r="C1205" s="55" t="s">
        <v>56</v>
      </c>
      <c r="D1205" s="57">
        <v>8596</v>
      </c>
      <c r="E1205" s="55">
        <v>6140</v>
      </c>
      <c r="F1205" s="55">
        <v>64</v>
      </c>
      <c r="G1205" s="55">
        <v>3</v>
      </c>
      <c r="H1205" s="55">
        <v>2</v>
      </c>
      <c r="I1205" s="55">
        <v>1</v>
      </c>
      <c r="J1205" s="55">
        <v>1</v>
      </c>
    </row>
    <row r="1206" spans="1:10" ht="15" x14ac:dyDescent="0.4">
      <c r="A1206" s="54">
        <v>46055</v>
      </c>
      <c r="B1206" s="55" t="s">
        <v>61</v>
      </c>
      <c r="C1206" s="55" t="s">
        <v>56</v>
      </c>
      <c r="D1206" s="57">
        <v>16287</v>
      </c>
      <c r="E1206" s="55">
        <v>11633</v>
      </c>
      <c r="F1206" s="55">
        <v>120</v>
      </c>
      <c r="G1206" s="55">
        <v>4</v>
      </c>
      <c r="H1206" s="55">
        <v>0</v>
      </c>
      <c r="I1206" s="55">
        <v>0</v>
      </c>
      <c r="J1206" s="55">
        <v>0</v>
      </c>
    </row>
    <row r="1207" spans="1:10" ht="15" x14ac:dyDescent="0.4">
      <c r="A1207" s="54">
        <v>46055</v>
      </c>
      <c r="B1207" s="55" t="s">
        <v>63</v>
      </c>
      <c r="C1207" s="55" t="s">
        <v>58</v>
      </c>
      <c r="D1207" s="57">
        <v>6802</v>
      </c>
      <c r="E1207" s="55">
        <v>1417</v>
      </c>
      <c r="F1207" s="55">
        <v>78</v>
      </c>
      <c r="G1207" s="55">
        <v>2</v>
      </c>
      <c r="H1207" s="55">
        <v>0</v>
      </c>
      <c r="I1207" s="55">
        <v>1</v>
      </c>
      <c r="J1207" s="55">
        <v>0</v>
      </c>
    </row>
    <row r="1208" spans="1:10" ht="15" x14ac:dyDescent="0.4">
      <c r="A1208" s="54">
        <v>46055</v>
      </c>
      <c r="B1208" s="55" t="s">
        <v>57</v>
      </c>
      <c r="C1208" s="55" t="s">
        <v>58</v>
      </c>
      <c r="D1208" s="57">
        <v>17652</v>
      </c>
      <c r="E1208" s="55">
        <v>3677</v>
      </c>
      <c r="F1208" s="55">
        <v>205</v>
      </c>
      <c r="G1208" s="55">
        <v>4</v>
      </c>
      <c r="H1208" s="55">
        <v>0</v>
      </c>
      <c r="I1208" s="55">
        <v>0</v>
      </c>
      <c r="J1208" s="55">
        <v>1</v>
      </c>
    </row>
    <row r="1209" spans="1:10" ht="15" x14ac:dyDescent="0.4">
      <c r="A1209" s="54">
        <v>46055</v>
      </c>
      <c r="B1209" s="55" t="s">
        <v>59</v>
      </c>
      <c r="C1209" s="55" t="s">
        <v>60</v>
      </c>
      <c r="D1209" s="57">
        <v>23534</v>
      </c>
      <c r="E1209" s="55">
        <v>4525</v>
      </c>
      <c r="F1209" s="55">
        <v>29</v>
      </c>
      <c r="G1209" s="55">
        <v>1</v>
      </c>
      <c r="H1209" s="55">
        <v>0</v>
      </c>
      <c r="I1209" s="55">
        <v>2</v>
      </c>
      <c r="J1209" s="55">
        <v>0</v>
      </c>
    </row>
    <row r="1210" spans="1:10" ht="15" x14ac:dyDescent="0.4">
      <c r="A1210" s="54">
        <v>46055</v>
      </c>
      <c r="B1210" s="55" t="s">
        <v>55</v>
      </c>
      <c r="C1210" s="55" t="s">
        <v>56</v>
      </c>
      <c r="D1210" s="57">
        <v>29497</v>
      </c>
      <c r="E1210" s="55">
        <v>21069</v>
      </c>
      <c r="F1210" s="55">
        <v>234</v>
      </c>
      <c r="G1210" s="55">
        <v>13</v>
      </c>
      <c r="H1210" s="55">
        <v>2</v>
      </c>
      <c r="I1210" s="55">
        <v>1</v>
      </c>
      <c r="J1210" s="55">
        <v>1</v>
      </c>
    </row>
    <row r="1211" spans="1:10" ht="15" x14ac:dyDescent="0.4">
      <c r="A1211" s="54">
        <v>46055</v>
      </c>
      <c r="B1211" s="55" t="s">
        <v>62</v>
      </c>
      <c r="C1211" s="55" t="s">
        <v>56</v>
      </c>
      <c r="D1211" s="57">
        <v>9500</v>
      </c>
      <c r="E1211" s="55">
        <v>6785</v>
      </c>
      <c r="F1211" s="55">
        <v>64</v>
      </c>
      <c r="G1211" s="55">
        <v>3</v>
      </c>
      <c r="H1211" s="55">
        <v>0</v>
      </c>
      <c r="I1211" s="55">
        <v>0</v>
      </c>
      <c r="J1211" s="55">
        <v>0</v>
      </c>
    </row>
    <row r="1212" spans="1:10" ht="15" x14ac:dyDescent="0.4">
      <c r="A1212" s="54">
        <v>46056</v>
      </c>
      <c r="B1212" s="55" t="s">
        <v>61</v>
      </c>
      <c r="C1212" s="55" t="s">
        <v>56</v>
      </c>
      <c r="D1212" s="57">
        <v>15817</v>
      </c>
      <c r="E1212" s="55">
        <v>11297</v>
      </c>
      <c r="F1212" s="55">
        <v>140</v>
      </c>
      <c r="G1212" s="55">
        <v>3</v>
      </c>
      <c r="H1212" s="55">
        <v>1</v>
      </c>
      <c r="I1212" s="55">
        <v>0</v>
      </c>
      <c r="J1212" s="55">
        <v>0</v>
      </c>
    </row>
    <row r="1213" spans="1:10" ht="15" x14ac:dyDescent="0.4">
      <c r="A1213" s="54">
        <v>46056</v>
      </c>
      <c r="B1213" s="55" t="s">
        <v>63</v>
      </c>
      <c r="C1213" s="55" t="s">
        <v>58</v>
      </c>
      <c r="D1213" s="57">
        <v>6773</v>
      </c>
      <c r="E1213" s="55">
        <v>1411</v>
      </c>
      <c r="F1213" s="55">
        <v>82</v>
      </c>
      <c r="G1213" s="55">
        <v>2</v>
      </c>
      <c r="H1213" s="55">
        <v>1</v>
      </c>
      <c r="I1213" s="55">
        <v>0</v>
      </c>
      <c r="J1213" s="55">
        <v>0</v>
      </c>
    </row>
    <row r="1214" spans="1:10" ht="15" x14ac:dyDescent="0.4">
      <c r="A1214" s="54">
        <v>46056</v>
      </c>
      <c r="B1214" s="55" t="s">
        <v>57</v>
      </c>
      <c r="C1214" s="55" t="s">
        <v>58</v>
      </c>
      <c r="D1214" s="57">
        <v>17541</v>
      </c>
      <c r="E1214" s="55">
        <v>3654</v>
      </c>
      <c r="F1214" s="55">
        <v>189</v>
      </c>
      <c r="G1214" s="55">
        <v>2</v>
      </c>
      <c r="H1214" s="55">
        <v>1</v>
      </c>
      <c r="I1214" s="55">
        <v>1</v>
      </c>
      <c r="J1214" s="55">
        <v>0</v>
      </c>
    </row>
    <row r="1215" spans="1:10" ht="15" x14ac:dyDescent="0.4">
      <c r="A1215" s="54">
        <v>46056</v>
      </c>
      <c r="B1215" s="55" t="s">
        <v>59</v>
      </c>
      <c r="C1215" s="55" t="s">
        <v>60</v>
      </c>
      <c r="D1215" s="57">
        <v>26718</v>
      </c>
      <c r="E1215" s="55">
        <v>5138</v>
      </c>
      <c r="F1215" s="55">
        <v>29</v>
      </c>
      <c r="G1215" s="55">
        <v>1</v>
      </c>
      <c r="H1215" s="55">
        <v>1</v>
      </c>
      <c r="I1215" s="55">
        <v>1</v>
      </c>
      <c r="J1215" s="55">
        <v>0</v>
      </c>
    </row>
    <row r="1216" spans="1:10" ht="15" x14ac:dyDescent="0.4">
      <c r="A1216" s="54">
        <v>46056</v>
      </c>
      <c r="B1216" s="55" t="s">
        <v>55</v>
      </c>
      <c r="C1216" s="55" t="s">
        <v>56</v>
      </c>
      <c r="D1216" s="57">
        <v>35559</v>
      </c>
      <c r="E1216" s="55">
        <v>25399</v>
      </c>
      <c r="F1216" s="55">
        <v>248</v>
      </c>
      <c r="G1216" s="55">
        <v>12</v>
      </c>
      <c r="H1216" s="55">
        <v>2</v>
      </c>
      <c r="I1216" s="55">
        <v>0</v>
      </c>
      <c r="J1216" s="55">
        <v>0</v>
      </c>
    </row>
    <row r="1217" spans="1:10" ht="15" x14ac:dyDescent="0.4">
      <c r="A1217" s="54">
        <v>46056</v>
      </c>
      <c r="B1217" s="55" t="s">
        <v>62</v>
      </c>
      <c r="C1217" s="55" t="s">
        <v>56</v>
      </c>
      <c r="D1217" s="57">
        <v>8574</v>
      </c>
      <c r="E1217" s="55">
        <v>6124</v>
      </c>
      <c r="F1217" s="55">
        <v>67</v>
      </c>
      <c r="G1217" s="55">
        <v>4</v>
      </c>
      <c r="H1217" s="55">
        <v>0</v>
      </c>
      <c r="I1217" s="55">
        <v>1</v>
      </c>
      <c r="J1217" s="55">
        <v>0</v>
      </c>
    </row>
    <row r="1218" spans="1:10" ht="15" x14ac:dyDescent="0.4">
      <c r="A1218" s="54">
        <v>46057</v>
      </c>
      <c r="B1218" s="55" t="s">
        <v>61</v>
      </c>
      <c r="C1218" s="55" t="s">
        <v>56</v>
      </c>
      <c r="D1218" s="57">
        <v>16209</v>
      </c>
      <c r="E1218" s="55">
        <v>11577</v>
      </c>
      <c r="F1218" s="55">
        <v>132</v>
      </c>
      <c r="G1218" s="55">
        <v>3</v>
      </c>
      <c r="H1218" s="55">
        <v>1</v>
      </c>
      <c r="I1218" s="55">
        <v>2</v>
      </c>
      <c r="J1218" s="55">
        <v>0</v>
      </c>
    </row>
    <row r="1219" spans="1:10" ht="15" x14ac:dyDescent="0.4">
      <c r="A1219" s="54">
        <v>46057</v>
      </c>
      <c r="B1219" s="55" t="s">
        <v>63</v>
      </c>
      <c r="C1219" s="55" t="s">
        <v>58</v>
      </c>
      <c r="D1219" s="57">
        <v>7303</v>
      </c>
      <c r="E1219" s="55">
        <v>1521</v>
      </c>
      <c r="F1219" s="55">
        <v>80</v>
      </c>
      <c r="G1219" s="55">
        <v>3</v>
      </c>
      <c r="H1219" s="55">
        <v>0</v>
      </c>
      <c r="I1219" s="55">
        <v>0</v>
      </c>
      <c r="J1219" s="55">
        <v>0</v>
      </c>
    </row>
    <row r="1220" spans="1:10" ht="15" x14ac:dyDescent="0.4">
      <c r="A1220" s="54">
        <v>46057</v>
      </c>
      <c r="B1220" s="55" t="s">
        <v>57</v>
      </c>
      <c r="C1220" s="55" t="s">
        <v>58</v>
      </c>
      <c r="D1220" s="57">
        <v>20309</v>
      </c>
      <c r="E1220" s="55">
        <v>4231</v>
      </c>
      <c r="F1220" s="55">
        <v>221</v>
      </c>
      <c r="G1220" s="55">
        <v>3</v>
      </c>
      <c r="H1220" s="55">
        <v>1</v>
      </c>
      <c r="I1220" s="55">
        <v>0</v>
      </c>
      <c r="J1220" s="55">
        <v>0</v>
      </c>
    </row>
    <row r="1221" spans="1:10" ht="15" x14ac:dyDescent="0.4">
      <c r="A1221" s="54">
        <v>46057</v>
      </c>
      <c r="B1221" s="55" t="s">
        <v>59</v>
      </c>
      <c r="C1221" s="55" t="s">
        <v>60</v>
      </c>
      <c r="D1221" s="57">
        <v>26881</v>
      </c>
      <c r="E1221" s="55">
        <v>5169</v>
      </c>
      <c r="F1221" s="55">
        <v>34</v>
      </c>
      <c r="G1221" s="55">
        <v>1</v>
      </c>
      <c r="H1221" s="55">
        <v>1</v>
      </c>
      <c r="I1221" s="55">
        <v>0</v>
      </c>
      <c r="J1221" s="55">
        <v>0</v>
      </c>
    </row>
    <row r="1222" spans="1:10" ht="15" x14ac:dyDescent="0.4">
      <c r="A1222" s="54">
        <v>46057</v>
      </c>
      <c r="B1222" s="55" t="s">
        <v>55</v>
      </c>
      <c r="C1222" s="55" t="s">
        <v>56</v>
      </c>
      <c r="D1222" s="57">
        <v>29752</v>
      </c>
      <c r="E1222" s="55">
        <v>21251</v>
      </c>
      <c r="F1222" s="55">
        <v>264</v>
      </c>
      <c r="G1222" s="55">
        <v>10</v>
      </c>
      <c r="H1222" s="55">
        <v>3</v>
      </c>
      <c r="I1222" s="55">
        <v>1</v>
      </c>
      <c r="J1222" s="55">
        <v>0</v>
      </c>
    </row>
    <row r="1223" spans="1:10" ht="15" x14ac:dyDescent="0.4">
      <c r="A1223" s="54">
        <v>46057</v>
      </c>
      <c r="B1223" s="55" t="s">
        <v>62</v>
      </c>
      <c r="C1223" s="55" t="s">
        <v>56</v>
      </c>
      <c r="D1223" s="57">
        <v>9774</v>
      </c>
      <c r="E1223" s="55">
        <v>6981</v>
      </c>
      <c r="F1223" s="55">
        <v>88</v>
      </c>
      <c r="G1223" s="55">
        <v>5</v>
      </c>
      <c r="H1223" s="55">
        <v>1</v>
      </c>
      <c r="I1223" s="55">
        <v>0</v>
      </c>
      <c r="J1223" s="55">
        <v>0</v>
      </c>
    </row>
    <row r="1224" spans="1:10" ht="15" x14ac:dyDescent="0.4">
      <c r="A1224" s="54">
        <v>46058</v>
      </c>
      <c r="B1224" s="55" t="s">
        <v>61</v>
      </c>
      <c r="C1224" s="55" t="s">
        <v>56</v>
      </c>
      <c r="D1224" s="57">
        <v>17684</v>
      </c>
      <c r="E1224" s="55">
        <v>12631</v>
      </c>
      <c r="F1224" s="55">
        <v>125</v>
      </c>
      <c r="G1224" s="55">
        <v>4</v>
      </c>
      <c r="H1224" s="55">
        <v>1</v>
      </c>
      <c r="I1224" s="55">
        <v>0</v>
      </c>
      <c r="J1224" s="55">
        <v>0</v>
      </c>
    </row>
    <row r="1225" spans="1:10" ht="15" x14ac:dyDescent="0.4">
      <c r="A1225" s="54">
        <v>46058</v>
      </c>
      <c r="B1225" s="55" t="s">
        <v>63</v>
      </c>
      <c r="C1225" s="55" t="s">
        <v>58</v>
      </c>
      <c r="D1225" s="57">
        <v>7477</v>
      </c>
      <c r="E1225" s="55">
        <v>1557</v>
      </c>
      <c r="F1225" s="55">
        <v>77</v>
      </c>
      <c r="G1225" s="55">
        <v>1</v>
      </c>
      <c r="H1225" s="55">
        <v>2</v>
      </c>
      <c r="I1225" s="55">
        <v>0</v>
      </c>
      <c r="J1225" s="55">
        <v>0</v>
      </c>
    </row>
    <row r="1226" spans="1:10" ht="15" x14ac:dyDescent="0.4">
      <c r="A1226" s="54">
        <v>46058</v>
      </c>
      <c r="B1226" s="55" t="s">
        <v>57</v>
      </c>
      <c r="C1226" s="55" t="s">
        <v>58</v>
      </c>
      <c r="D1226" s="57">
        <v>17740</v>
      </c>
      <c r="E1226" s="55">
        <v>3695</v>
      </c>
      <c r="F1226" s="55">
        <v>189</v>
      </c>
      <c r="G1226" s="55">
        <v>2</v>
      </c>
      <c r="H1226" s="55">
        <v>2</v>
      </c>
      <c r="I1226" s="55">
        <v>0</v>
      </c>
      <c r="J1226" s="55">
        <v>0</v>
      </c>
    </row>
    <row r="1227" spans="1:10" ht="15" x14ac:dyDescent="0.4">
      <c r="A1227" s="54">
        <v>46058</v>
      </c>
      <c r="B1227" s="55" t="s">
        <v>59</v>
      </c>
      <c r="C1227" s="55" t="s">
        <v>60</v>
      </c>
      <c r="D1227" s="57">
        <v>28060</v>
      </c>
      <c r="E1227" s="55">
        <v>5396</v>
      </c>
      <c r="F1227" s="55">
        <v>39</v>
      </c>
      <c r="G1227" s="55">
        <v>1</v>
      </c>
      <c r="H1227" s="55">
        <v>2</v>
      </c>
      <c r="I1227" s="55">
        <v>1</v>
      </c>
      <c r="J1227" s="55">
        <v>0</v>
      </c>
    </row>
    <row r="1228" spans="1:10" ht="15" x14ac:dyDescent="0.4">
      <c r="A1228" s="54">
        <v>46058</v>
      </c>
      <c r="B1228" s="55" t="s">
        <v>55</v>
      </c>
      <c r="C1228" s="55" t="s">
        <v>56</v>
      </c>
      <c r="D1228" s="57">
        <v>29700</v>
      </c>
      <c r="E1228" s="55">
        <v>21214</v>
      </c>
      <c r="F1228" s="55">
        <v>252</v>
      </c>
      <c r="G1228" s="55">
        <v>9</v>
      </c>
      <c r="H1228" s="55">
        <v>1</v>
      </c>
      <c r="I1228" s="55">
        <v>2</v>
      </c>
      <c r="J1228" s="55">
        <v>1</v>
      </c>
    </row>
    <row r="1229" spans="1:10" ht="15" x14ac:dyDescent="0.4">
      <c r="A1229" s="54">
        <v>46058</v>
      </c>
      <c r="B1229" s="55" t="s">
        <v>62</v>
      </c>
      <c r="C1229" s="55" t="s">
        <v>56</v>
      </c>
      <c r="D1229" s="57">
        <v>8603</v>
      </c>
      <c r="E1229" s="55">
        <v>6145</v>
      </c>
      <c r="F1229" s="55">
        <v>69</v>
      </c>
      <c r="G1229" s="55">
        <v>1</v>
      </c>
      <c r="H1229" s="55">
        <v>3</v>
      </c>
      <c r="I1229" s="55">
        <v>0</v>
      </c>
      <c r="J1229" s="55">
        <v>0</v>
      </c>
    </row>
    <row r="1230" spans="1:10" ht="15" x14ac:dyDescent="0.4">
      <c r="A1230" s="54">
        <v>46059</v>
      </c>
      <c r="B1230" s="55" t="s">
        <v>61</v>
      </c>
      <c r="C1230" s="55" t="s">
        <v>56</v>
      </c>
      <c r="D1230" s="57">
        <v>16420</v>
      </c>
      <c r="E1230" s="55">
        <v>11728</v>
      </c>
      <c r="F1230" s="55">
        <v>140</v>
      </c>
      <c r="G1230" s="55">
        <v>3</v>
      </c>
      <c r="H1230" s="55">
        <v>1</v>
      </c>
      <c r="I1230" s="55">
        <v>0</v>
      </c>
      <c r="J1230" s="55">
        <v>0</v>
      </c>
    </row>
    <row r="1231" spans="1:10" ht="15" x14ac:dyDescent="0.4">
      <c r="A1231" s="54">
        <v>46059</v>
      </c>
      <c r="B1231" s="55" t="s">
        <v>63</v>
      </c>
      <c r="C1231" s="55" t="s">
        <v>58</v>
      </c>
      <c r="D1231" s="57">
        <v>7517</v>
      </c>
      <c r="E1231" s="55">
        <v>1566</v>
      </c>
      <c r="F1231" s="55">
        <v>82</v>
      </c>
      <c r="G1231" s="55">
        <v>2</v>
      </c>
      <c r="H1231" s="55">
        <v>1</v>
      </c>
      <c r="I1231" s="55">
        <v>1</v>
      </c>
      <c r="J1231" s="55">
        <v>0</v>
      </c>
    </row>
    <row r="1232" spans="1:10" ht="15" x14ac:dyDescent="0.4">
      <c r="A1232" s="54">
        <v>46059</v>
      </c>
      <c r="B1232" s="55" t="s">
        <v>57</v>
      </c>
      <c r="C1232" s="55" t="s">
        <v>58</v>
      </c>
      <c r="D1232" s="57">
        <v>17500</v>
      </c>
      <c r="E1232" s="55">
        <v>3645</v>
      </c>
      <c r="F1232" s="55">
        <v>194</v>
      </c>
      <c r="G1232" s="55">
        <v>1</v>
      </c>
      <c r="H1232" s="55">
        <v>1</v>
      </c>
      <c r="I1232" s="55">
        <v>0</v>
      </c>
      <c r="J1232" s="55">
        <v>0</v>
      </c>
    </row>
    <row r="1233" spans="1:10" ht="15" x14ac:dyDescent="0.4">
      <c r="A1233" s="54">
        <v>46059</v>
      </c>
      <c r="B1233" s="55" t="s">
        <v>59</v>
      </c>
      <c r="C1233" s="55" t="s">
        <v>60</v>
      </c>
      <c r="D1233" s="57">
        <v>24967</v>
      </c>
      <c r="E1233" s="55">
        <v>4801</v>
      </c>
      <c r="F1233" s="55">
        <v>26</v>
      </c>
      <c r="G1233" s="55">
        <v>4</v>
      </c>
      <c r="H1233" s="55">
        <v>1</v>
      </c>
      <c r="I1233" s="55">
        <v>1</v>
      </c>
      <c r="J1233" s="55">
        <v>0</v>
      </c>
    </row>
    <row r="1234" spans="1:10" ht="15" x14ac:dyDescent="0.4">
      <c r="A1234" s="54">
        <v>46059</v>
      </c>
      <c r="B1234" s="55" t="s">
        <v>55</v>
      </c>
      <c r="C1234" s="55" t="s">
        <v>56</v>
      </c>
      <c r="D1234" s="57">
        <v>30864</v>
      </c>
      <c r="E1234" s="55">
        <v>22045</v>
      </c>
      <c r="F1234" s="55">
        <v>255</v>
      </c>
      <c r="G1234" s="55">
        <v>4</v>
      </c>
      <c r="H1234" s="55">
        <v>2</v>
      </c>
      <c r="I1234" s="55">
        <v>0</v>
      </c>
      <c r="J1234" s="55">
        <v>0</v>
      </c>
    </row>
    <row r="1235" spans="1:10" ht="15" x14ac:dyDescent="0.4">
      <c r="A1235" s="54">
        <v>46059</v>
      </c>
      <c r="B1235" s="55" t="s">
        <v>62</v>
      </c>
      <c r="C1235" s="55" t="s">
        <v>56</v>
      </c>
      <c r="D1235" s="57">
        <v>8559</v>
      </c>
      <c r="E1235" s="55">
        <v>6113</v>
      </c>
      <c r="F1235" s="55">
        <v>66</v>
      </c>
      <c r="G1235" s="55">
        <v>2</v>
      </c>
      <c r="H1235" s="55">
        <v>2</v>
      </c>
      <c r="I1235" s="55">
        <v>1</v>
      </c>
      <c r="J1235" s="55">
        <v>0</v>
      </c>
    </row>
    <row r="1236" spans="1:10" ht="15" x14ac:dyDescent="0.4">
      <c r="A1236" s="54">
        <v>46060</v>
      </c>
      <c r="B1236" s="55" t="s">
        <v>61</v>
      </c>
      <c r="C1236" s="55" t="s">
        <v>56</v>
      </c>
      <c r="D1236" s="57">
        <v>18294</v>
      </c>
      <c r="E1236" s="55">
        <v>13067</v>
      </c>
      <c r="F1236" s="55">
        <v>131</v>
      </c>
      <c r="G1236" s="55">
        <v>4</v>
      </c>
      <c r="H1236" s="55">
        <v>1</v>
      </c>
      <c r="I1236" s="55">
        <v>0</v>
      </c>
      <c r="J1236" s="55">
        <v>0</v>
      </c>
    </row>
    <row r="1237" spans="1:10" ht="15" x14ac:dyDescent="0.4">
      <c r="A1237" s="54">
        <v>46060</v>
      </c>
      <c r="B1237" s="55" t="s">
        <v>63</v>
      </c>
      <c r="C1237" s="55" t="s">
        <v>58</v>
      </c>
      <c r="D1237" s="57">
        <v>6702</v>
      </c>
      <c r="E1237" s="55">
        <v>1396</v>
      </c>
      <c r="F1237" s="55">
        <v>78</v>
      </c>
      <c r="G1237" s="55">
        <v>4</v>
      </c>
      <c r="H1237" s="55">
        <v>0</v>
      </c>
      <c r="I1237" s="55">
        <v>0</v>
      </c>
      <c r="J1237" s="55">
        <v>0</v>
      </c>
    </row>
    <row r="1238" spans="1:10" ht="15" x14ac:dyDescent="0.4">
      <c r="A1238" s="54">
        <v>46060</v>
      </c>
      <c r="B1238" s="55" t="s">
        <v>57</v>
      </c>
      <c r="C1238" s="55" t="s">
        <v>58</v>
      </c>
      <c r="D1238" s="57">
        <v>20252</v>
      </c>
      <c r="E1238" s="55">
        <v>4219</v>
      </c>
      <c r="F1238" s="55">
        <v>239</v>
      </c>
      <c r="G1238" s="55">
        <v>2</v>
      </c>
      <c r="H1238" s="55">
        <v>0</v>
      </c>
      <c r="I1238" s="55">
        <v>1</v>
      </c>
      <c r="J1238" s="55">
        <v>0</v>
      </c>
    </row>
    <row r="1239" spans="1:10" ht="15" x14ac:dyDescent="0.4">
      <c r="A1239" s="54">
        <v>46060</v>
      </c>
      <c r="B1239" s="55" t="s">
        <v>59</v>
      </c>
      <c r="C1239" s="55" t="s">
        <v>60</v>
      </c>
      <c r="D1239" s="57">
        <v>27995</v>
      </c>
      <c r="E1239" s="55">
        <v>5383</v>
      </c>
      <c r="F1239" s="55">
        <v>31</v>
      </c>
      <c r="G1239" s="55">
        <v>0</v>
      </c>
      <c r="H1239" s="55">
        <v>0</v>
      </c>
      <c r="I1239" s="55">
        <v>1</v>
      </c>
      <c r="J1239" s="55">
        <v>0</v>
      </c>
    </row>
    <row r="1240" spans="1:10" ht="15" x14ac:dyDescent="0.4">
      <c r="A1240" s="54">
        <v>46060</v>
      </c>
      <c r="B1240" s="55" t="s">
        <v>55</v>
      </c>
      <c r="C1240" s="55" t="s">
        <v>56</v>
      </c>
      <c r="D1240" s="57">
        <v>35218</v>
      </c>
      <c r="E1240" s="55">
        <v>25155</v>
      </c>
      <c r="F1240" s="55">
        <v>269</v>
      </c>
      <c r="G1240" s="55">
        <v>2</v>
      </c>
      <c r="H1240" s="55">
        <v>0</v>
      </c>
      <c r="I1240" s="55">
        <v>2</v>
      </c>
      <c r="J1240" s="55">
        <v>0</v>
      </c>
    </row>
    <row r="1241" spans="1:10" ht="15" x14ac:dyDescent="0.4">
      <c r="A1241" s="54">
        <v>46060</v>
      </c>
      <c r="B1241" s="55" t="s">
        <v>62</v>
      </c>
      <c r="C1241" s="55" t="s">
        <v>56</v>
      </c>
      <c r="D1241" s="57">
        <v>10138</v>
      </c>
      <c r="E1241" s="55">
        <v>7241</v>
      </c>
      <c r="F1241" s="55">
        <v>79</v>
      </c>
      <c r="G1241" s="55">
        <v>2</v>
      </c>
      <c r="H1241" s="55">
        <v>0</v>
      </c>
      <c r="I1241" s="55">
        <v>0</v>
      </c>
      <c r="J1241" s="55">
        <v>0</v>
      </c>
    </row>
    <row r="1242" spans="1:10" ht="15" x14ac:dyDescent="0.4">
      <c r="A1242" s="54">
        <v>46061</v>
      </c>
      <c r="B1242" s="55" t="s">
        <v>61</v>
      </c>
      <c r="C1242" s="55" t="s">
        <v>56</v>
      </c>
      <c r="D1242" s="57">
        <v>15484</v>
      </c>
      <c r="E1242" s="55">
        <v>11060</v>
      </c>
      <c r="F1242" s="55">
        <v>120</v>
      </c>
      <c r="G1242" s="55">
        <v>4</v>
      </c>
      <c r="H1242" s="55">
        <v>0</v>
      </c>
      <c r="I1242" s="55">
        <v>0</v>
      </c>
      <c r="J1242" s="55">
        <v>0</v>
      </c>
    </row>
    <row r="1243" spans="1:10" ht="15" x14ac:dyDescent="0.4">
      <c r="A1243" s="54">
        <v>46061</v>
      </c>
      <c r="B1243" s="55" t="s">
        <v>63</v>
      </c>
      <c r="C1243" s="55" t="s">
        <v>58</v>
      </c>
      <c r="D1243" s="57">
        <v>7091</v>
      </c>
      <c r="E1243" s="55">
        <v>1477</v>
      </c>
      <c r="F1243" s="55">
        <v>74</v>
      </c>
      <c r="G1243" s="55">
        <v>2</v>
      </c>
      <c r="H1243" s="55">
        <v>2</v>
      </c>
      <c r="I1243" s="55">
        <v>0</v>
      </c>
      <c r="J1243" s="55">
        <v>0</v>
      </c>
    </row>
    <row r="1244" spans="1:10" ht="15" x14ac:dyDescent="0.4">
      <c r="A1244" s="54">
        <v>46061</v>
      </c>
      <c r="B1244" s="55" t="s">
        <v>57</v>
      </c>
      <c r="C1244" s="55" t="s">
        <v>58</v>
      </c>
      <c r="D1244" s="57">
        <v>18458</v>
      </c>
      <c r="E1244" s="55">
        <v>3845</v>
      </c>
      <c r="F1244" s="55">
        <v>228</v>
      </c>
      <c r="G1244" s="55">
        <v>3</v>
      </c>
      <c r="H1244" s="55">
        <v>1</v>
      </c>
      <c r="I1244" s="55">
        <v>0</v>
      </c>
      <c r="J1244" s="55">
        <v>0</v>
      </c>
    </row>
    <row r="1245" spans="1:10" ht="15" x14ac:dyDescent="0.4">
      <c r="A1245" s="54">
        <v>46061</v>
      </c>
      <c r="B1245" s="55" t="s">
        <v>59</v>
      </c>
      <c r="C1245" s="55" t="s">
        <v>60</v>
      </c>
      <c r="D1245" s="57">
        <v>26900</v>
      </c>
      <c r="E1245" s="55">
        <v>5173</v>
      </c>
      <c r="F1245" s="55">
        <v>34</v>
      </c>
      <c r="G1245" s="55">
        <v>1</v>
      </c>
      <c r="H1245" s="55">
        <v>2</v>
      </c>
      <c r="I1245" s="55">
        <v>1</v>
      </c>
      <c r="J1245" s="55">
        <v>0</v>
      </c>
    </row>
    <row r="1246" spans="1:10" ht="15" x14ac:dyDescent="0.4">
      <c r="A1246" s="54">
        <v>46061</v>
      </c>
      <c r="B1246" s="55" t="s">
        <v>55</v>
      </c>
      <c r="C1246" s="55" t="s">
        <v>56</v>
      </c>
      <c r="D1246" s="57">
        <v>35207</v>
      </c>
      <c r="E1246" s="55">
        <v>25147</v>
      </c>
      <c r="F1246" s="55">
        <v>259</v>
      </c>
      <c r="G1246" s="55">
        <v>12</v>
      </c>
      <c r="H1246" s="55">
        <v>0</v>
      </c>
      <c r="I1246" s="55">
        <v>0</v>
      </c>
      <c r="J1246" s="55">
        <v>0</v>
      </c>
    </row>
    <row r="1247" spans="1:10" ht="15" x14ac:dyDescent="0.4">
      <c r="A1247" s="54">
        <v>46061</v>
      </c>
      <c r="B1247" s="55" t="s">
        <v>62</v>
      </c>
      <c r="C1247" s="55" t="s">
        <v>56</v>
      </c>
      <c r="D1247" s="57">
        <v>8877</v>
      </c>
      <c r="E1247" s="55">
        <v>6340</v>
      </c>
      <c r="F1247" s="55">
        <v>70</v>
      </c>
      <c r="G1247" s="55">
        <v>1</v>
      </c>
      <c r="H1247" s="55">
        <v>0</v>
      </c>
      <c r="I1247" s="55">
        <v>1</v>
      </c>
      <c r="J1247" s="55">
        <v>0</v>
      </c>
    </row>
    <row r="1248" spans="1:10" ht="15" x14ac:dyDescent="0.4">
      <c r="A1248" s="54">
        <v>46062</v>
      </c>
      <c r="B1248" s="55" t="s">
        <v>61</v>
      </c>
      <c r="C1248" s="55" t="s">
        <v>56</v>
      </c>
      <c r="D1248" s="57">
        <v>18314</v>
      </c>
      <c r="E1248" s="55">
        <v>13081</v>
      </c>
      <c r="F1248" s="55">
        <v>141</v>
      </c>
      <c r="G1248" s="55">
        <v>5</v>
      </c>
      <c r="H1248" s="55">
        <v>0</v>
      </c>
      <c r="I1248" s="55">
        <v>0</v>
      </c>
      <c r="J1248" s="55">
        <v>0</v>
      </c>
    </row>
    <row r="1249" spans="1:10" ht="15" x14ac:dyDescent="0.4">
      <c r="A1249" s="54">
        <v>46062</v>
      </c>
      <c r="B1249" s="55" t="s">
        <v>63</v>
      </c>
      <c r="C1249" s="55" t="s">
        <v>58</v>
      </c>
      <c r="D1249" s="57">
        <v>6838</v>
      </c>
      <c r="E1249" s="55">
        <v>1424</v>
      </c>
      <c r="F1249" s="55">
        <v>67</v>
      </c>
      <c r="G1249" s="55">
        <v>5</v>
      </c>
      <c r="H1249" s="55">
        <v>3</v>
      </c>
      <c r="I1249" s="55">
        <v>0</v>
      </c>
      <c r="J1249" s="55">
        <v>0</v>
      </c>
    </row>
    <row r="1250" spans="1:10" ht="15" x14ac:dyDescent="0.4">
      <c r="A1250" s="54">
        <v>46062</v>
      </c>
      <c r="B1250" s="55" t="s">
        <v>57</v>
      </c>
      <c r="C1250" s="55" t="s">
        <v>58</v>
      </c>
      <c r="D1250" s="57">
        <v>20832</v>
      </c>
      <c r="E1250" s="55">
        <v>4340</v>
      </c>
      <c r="F1250" s="55">
        <v>234</v>
      </c>
      <c r="G1250" s="55">
        <v>2</v>
      </c>
      <c r="H1250" s="55">
        <v>0</v>
      </c>
      <c r="I1250" s="55">
        <v>0</v>
      </c>
      <c r="J1250" s="55">
        <v>0</v>
      </c>
    </row>
    <row r="1251" spans="1:10" ht="15" x14ac:dyDescent="0.4">
      <c r="A1251" s="54">
        <v>46062</v>
      </c>
      <c r="B1251" s="55" t="s">
        <v>59</v>
      </c>
      <c r="C1251" s="55" t="s">
        <v>60</v>
      </c>
      <c r="D1251" s="57">
        <v>25984</v>
      </c>
      <c r="E1251" s="55">
        <v>4996</v>
      </c>
      <c r="F1251" s="55">
        <v>28</v>
      </c>
      <c r="G1251" s="55">
        <v>3</v>
      </c>
      <c r="H1251" s="55">
        <v>0</v>
      </c>
      <c r="I1251" s="55">
        <v>0</v>
      </c>
      <c r="J1251" s="55">
        <v>0</v>
      </c>
    </row>
    <row r="1252" spans="1:10" ht="15" x14ac:dyDescent="0.4">
      <c r="A1252" s="54">
        <v>46062</v>
      </c>
      <c r="B1252" s="55" t="s">
        <v>55</v>
      </c>
      <c r="C1252" s="55" t="s">
        <v>56</v>
      </c>
      <c r="D1252" s="57">
        <v>31016</v>
      </c>
      <c r="E1252" s="55">
        <v>22154</v>
      </c>
      <c r="F1252" s="55">
        <v>279</v>
      </c>
      <c r="G1252" s="55">
        <v>2</v>
      </c>
      <c r="H1252" s="55">
        <v>1</v>
      </c>
      <c r="I1252" s="55">
        <v>1</v>
      </c>
      <c r="J1252" s="55">
        <v>0</v>
      </c>
    </row>
    <row r="1253" spans="1:10" ht="15" x14ac:dyDescent="0.4">
      <c r="A1253" s="54">
        <v>46062</v>
      </c>
      <c r="B1253" s="55" t="s">
        <v>62</v>
      </c>
      <c r="C1253" s="55" t="s">
        <v>56</v>
      </c>
      <c r="D1253" s="57">
        <v>9010</v>
      </c>
      <c r="E1253" s="55">
        <v>6435</v>
      </c>
      <c r="F1253" s="55">
        <v>70</v>
      </c>
      <c r="G1253" s="55">
        <v>5</v>
      </c>
      <c r="H1253" s="55">
        <v>1</v>
      </c>
      <c r="I1253" s="55">
        <v>0</v>
      </c>
      <c r="J1253" s="55">
        <v>0</v>
      </c>
    </row>
    <row r="1254" spans="1:10" ht="15" x14ac:dyDescent="0.4">
      <c r="A1254" s="54">
        <v>46063</v>
      </c>
      <c r="B1254" s="55" t="s">
        <v>61</v>
      </c>
      <c r="C1254" s="55" t="s">
        <v>56</v>
      </c>
      <c r="D1254" s="57">
        <v>17533</v>
      </c>
      <c r="E1254" s="55">
        <v>12523</v>
      </c>
      <c r="F1254" s="55">
        <v>135</v>
      </c>
      <c r="G1254" s="55">
        <v>1</v>
      </c>
      <c r="H1254" s="55">
        <v>1</v>
      </c>
      <c r="I1254" s="55">
        <v>1</v>
      </c>
      <c r="J1254" s="55">
        <v>0</v>
      </c>
    </row>
    <row r="1255" spans="1:10" ht="15" x14ac:dyDescent="0.4">
      <c r="A1255" s="54">
        <v>46063</v>
      </c>
      <c r="B1255" s="55" t="s">
        <v>63</v>
      </c>
      <c r="C1255" s="55" t="s">
        <v>58</v>
      </c>
      <c r="D1255" s="57">
        <v>7412</v>
      </c>
      <c r="E1255" s="55">
        <v>1544</v>
      </c>
      <c r="F1255" s="55">
        <v>68</v>
      </c>
      <c r="G1255" s="55">
        <v>3</v>
      </c>
      <c r="H1255" s="55">
        <v>0</v>
      </c>
      <c r="I1255" s="55">
        <v>1</v>
      </c>
      <c r="J1255" s="55">
        <v>0</v>
      </c>
    </row>
    <row r="1256" spans="1:10" ht="15" x14ac:dyDescent="0.4">
      <c r="A1256" s="54">
        <v>46063</v>
      </c>
      <c r="B1256" s="55" t="s">
        <v>57</v>
      </c>
      <c r="C1256" s="55" t="s">
        <v>58</v>
      </c>
      <c r="D1256" s="57">
        <v>17696</v>
      </c>
      <c r="E1256" s="55">
        <v>3686</v>
      </c>
      <c r="F1256" s="55">
        <v>189</v>
      </c>
      <c r="G1256" s="55">
        <v>3</v>
      </c>
      <c r="H1256" s="55">
        <v>0</v>
      </c>
      <c r="I1256" s="55">
        <v>0</v>
      </c>
      <c r="J1256" s="55">
        <v>0</v>
      </c>
    </row>
    <row r="1257" spans="1:10" ht="15" x14ac:dyDescent="0.4">
      <c r="A1257" s="54">
        <v>46063</v>
      </c>
      <c r="B1257" s="55" t="s">
        <v>59</v>
      </c>
      <c r="C1257" s="55" t="s">
        <v>60</v>
      </c>
      <c r="D1257" s="57">
        <v>25100</v>
      </c>
      <c r="E1257" s="55">
        <v>4826</v>
      </c>
      <c r="F1257" s="55">
        <v>32</v>
      </c>
      <c r="G1257" s="55">
        <v>2</v>
      </c>
      <c r="H1257" s="55">
        <v>0</v>
      </c>
      <c r="I1257" s="55">
        <v>1</v>
      </c>
      <c r="J1257" s="55">
        <v>0</v>
      </c>
    </row>
    <row r="1258" spans="1:10" ht="15" x14ac:dyDescent="0.4">
      <c r="A1258" s="54">
        <v>46063</v>
      </c>
      <c r="B1258" s="55" t="s">
        <v>55</v>
      </c>
      <c r="C1258" s="55" t="s">
        <v>56</v>
      </c>
      <c r="D1258" s="57">
        <v>35627</v>
      </c>
      <c r="E1258" s="55">
        <v>25447</v>
      </c>
      <c r="F1258" s="55">
        <v>272</v>
      </c>
      <c r="G1258" s="55">
        <v>8</v>
      </c>
      <c r="H1258" s="55">
        <v>1</v>
      </c>
      <c r="I1258" s="55">
        <v>0</v>
      </c>
      <c r="J1258" s="55">
        <v>0</v>
      </c>
    </row>
    <row r="1259" spans="1:10" ht="15" x14ac:dyDescent="0.4">
      <c r="A1259" s="54">
        <v>46063</v>
      </c>
      <c r="B1259" s="55" t="s">
        <v>62</v>
      </c>
      <c r="C1259" s="55" t="s">
        <v>56</v>
      </c>
      <c r="D1259" s="57">
        <v>9743</v>
      </c>
      <c r="E1259" s="55">
        <v>6959</v>
      </c>
      <c r="F1259" s="55">
        <v>73</v>
      </c>
      <c r="G1259" s="55">
        <v>5</v>
      </c>
      <c r="H1259" s="55">
        <v>2</v>
      </c>
      <c r="I1259" s="55">
        <v>1</v>
      </c>
      <c r="J1259" s="55">
        <v>0</v>
      </c>
    </row>
    <row r="1260" spans="1:10" ht="15" x14ac:dyDescent="0.4">
      <c r="A1260" s="54">
        <v>46064</v>
      </c>
      <c r="B1260" s="55" t="s">
        <v>61</v>
      </c>
      <c r="C1260" s="55" t="s">
        <v>56</v>
      </c>
      <c r="D1260" s="57">
        <v>16681</v>
      </c>
      <c r="E1260" s="55">
        <v>11915</v>
      </c>
      <c r="F1260" s="55">
        <v>111</v>
      </c>
      <c r="G1260" s="55">
        <v>5</v>
      </c>
      <c r="H1260" s="55">
        <v>0</v>
      </c>
      <c r="I1260" s="55">
        <v>0</v>
      </c>
      <c r="J1260" s="55">
        <v>0</v>
      </c>
    </row>
    <row r="1261" spans="1:10" ht="15" x14ac:dyDescent="0.4">
      <c r="A1261" s="54">
        <v>46064</v>
      </c>
      <c r="B1261" s="55" t="s">
        <v>63</v>
      </c>
      <c r="C1261" s="55" t="s">
        <v>58</v>
      </c>
      <c r="D1261" s="57">
        <v>6347</v>
      </c>
      <c r="E1261" s="55">
        <v>1322</v>
      </c>
      <c r="F1261" s="55">
        <v>65</v>
      </c>
      <c r="G1261" s="55">
        <v>3</v>
      </c>
      <c r="H1261" s="55">
        <v>4</v>
      </c>
      <c r="I1261" s="55">
        <v>2</v>
      </c>
      <c r="J1261" s="55">
        <v>0</v>
      </c>
    </row>
    <row r="1262" spans="1:10" ht="15" x14ac:dyDescent="0.4">
      <c r="A1262" s="54">
        <v>46064</v>
      </c>
      <c r="B1262" s="55" t="s">
        <v>57</v>
      </c>
      <c r="C1262" s="55" t="s">
        <v>58</v>
      </c>
      <c r="D1262" s="57">
        <v>20625</v>
      </c>
      <c r="E1262" s="55">
        <v>4296</v>
      </c>
      <c r="F1262" s="55">
        <v>238</v>
      </c>
      <c r="G1262" s="55">
        <v>2</v>
      </c>
      <c r="H1262" s="55">
        <v>1</v>
      </c>
      <c r="I1262" s="55">
        <v>0</v>
      </c>
      <c r="J1262" s="55">
        <v>0</v>
      </c>
    </row>
    <row r="1263" spans="1:10" ht="15" x14ac:dyDescent="0.4">
      <c r="A1263" s="54">
        <v>46064</v>
      </c>
      <c r="B1263" s="55" t="s">
        <v>59</v>
      </c>
      <c r="C1263" s="55" t="s">
        <v>60</v>
      </c>
      <c r="D1263" s="57">
        <v>25683</v>
      </c>
      <c r="E1263" s="55">
        <v>4939</v>
      </c>
      <c r="F1263" s="55">
        <v>31</v>
      </c>
      <c r="G1263" s="55">
        <v>3</v>
      </c>
      <c r="H1263" s="55">
        <v>0</v>
      </c>
      <c r="I1263" s="55">
        <v>0</v>
      </c>
      <c r="J1263" s="55">
        <v>0</v>
      </c>
    </row>
    <row r="1264" spans="1:10" ht="15" x14ac:dyDescent="0.4">
      <c r="A1264" s="54">
        <v>46064</v>
      </c>
      <c r="B1264" s="55" t="s">
        <v>55</v>
      </c>
      <c r="C1264" s="55" t="s">
        <v>56</v>
      </c>
      <c r="D1264" s="57">
        <v>29678</v>
      </c>
      <c r="E1264" s="55">
        <v>21198</v>
      </c>
      <c r="F1264" s="55">
        <v>218</v>
      </c>
      <c r="G1264" s="55">
        <v>3</v>
      </c>
      <c r="H1264" s="55">
        <v>2</v>
      </c>
      <c r="I1264" s="55">
        <v>1</v>
      </c>
      <c r="J1264" s="55">
        <v>0</v>
      </c>
    </row>
    <row r="1265" spans="1:10" ht="15" x14ac:dyDescent="0.4">
      <c r="A1265" s="54">
        <v>46064</v>
      </c>
      <c r="B1265" s="55" t="s">
        <v>62</v>
      </c>
      <c r="C1265" s="55" t="s">
        <v>56</v>
      </c>
      <c r="D1265" s="57">
        <v>8818</v>
      </c>
      <c r="E1265" s="55">
        <v>6298</v>
      </c>
      <c r="F1265" s="55">
        <v>64</v>
      </c>
      <c r="G1265" s="55">
        <v>3</v>
      </c>
      <c r="H1265" s="55">
        <v>0</v>
      </c>
      <c r="I1265" s="55">
        <v>0</v>
      </c>
      <c r="J1265" s="55">
        <v>0</v>
      </c>
    </row>
    <row r="1266" spans="1:10" ht="15" x14ac:dyDescent="0.4">
      <c r="A1266" s="54">
        <v>46065</v>
      </c>
      <c r="B1266" s="55" t="s">
        <v>61</v>
      </c>
      <c r="C1266" s="55" t="s">
        <v>56</v>
      </c>
      <c r="D1266" s="57">
        <v>15025</v>
      </c>
      <c r="E1266" s="55">
        <v>10732</v>
      </c>
      <c r="F1266" s="55">
        <v>124</v>
      </c>
      <c r="G1266" s="55">
        <v>3</v>
      </c>
      <c r="H1266" s="55">
        <v>2</v>
      </c>
      <c r="I1266" s="55">
        <v>0</v>
      </c>
      <c r="J1266" s="55">
        <v>0</v>
      </c>
    </row>
    <row r="1267" spans="1:10" ht="15" x14ac:dyDescent="0.4">
      <c r="A1267" s="54">
        <v>46065</v>
      </c>
      <c r="B1267" s="55" t="s">
        <v>63</v>
      </c>
      <c r="C1267" s="55" t="s">
        <v>58</v>
      </c>
      <c r="D1267" s="57">
        <v>6268</v>
      </c>
      <c r="E1267" s="55">
        <v>1305</v>
      </c>
      <c r="F1267" s="55">
        <v>63</v>
      </c>
      <c r="G1267" s="55">
        <v>3</v>
      </c>
      <c r="H1267" s="55">
        <v>0</v>
      </c>
      <c r="I1267" s="55">
        <v>1</v>
      </c>
      <c r="J1267" s="55">
        <v>0</v>
      </c>
    </row>
    <row r="1268" spans="1:10" ht="15" x14ac:dyDescent="0.4">
      <c r="A1268" s="54">
        <v>46065</v>
      </c>
      <c r="B1268" s="55" t="s">
        <v>57</v>
      </c>
      <c r="C1268" s="55" t="s">
        <v>58</v>
      </c>
      <c r="D1268" s="57">
        <v>17498</v>
      </c>
      <c r="E1268" s="55">
        <v>3645</v>
      </c>
      <c r="F1268" s="55">
        <v>196</v>
      </c>
      <c r="G1268" s="55">
        <v>4</v>
      </c>
      <c r="H1268" s="55">
        <v>0</v>
      </c>
      <c r="I1268" s="55">
        <v>0</v>
      </c>
      <c r="J1268" s="55">
        <v>0</v>
      </c>
    </row>
    <row r="1269" spans="1:10" ht="15" x14ac:dyDescent="0.4">
      <c r="A1269" s="54">
        <v>46065</v>
      </c>
      <c r="B1269" s="55" t="s">
        <v>59</v>
      </c>
      <c r="C1269" s="55" t="s">
        <v>60</v>
      </c>
      <c r="D1269" s="57">
        <v>23029</v>
      </c>
      <c r="E1269" s="55">
        <v>4428</v>
      </c>
      <c r="F1269" s="55">
        <v>25</v>
      </c>
      <c r="G1269" s="55">
        <v>0</v>
      </c>
      <c r="H1269" s="55">
        <v>2</v>
      </c>
      <c r="I1269" s="55">
        <v>0</v>
      </c>
      <c r="J1269" s="55">
        <v>0</v>
      </c>
    </row>
    <row r="1270" spans="1:10" ht="15" x14ac:dyDescent="0.4">
      <c r="A1270" s="54">
        <v>46065</v>
      </c>
      <c r="B1270" s="55" t="s">
        <v>55</v>
      </c>
      <c r="C1270" s="55" t="s">
        <v>56</v>
      </c>
      <c r="D1270" s="57">
        <v>31226</v>
      </c>
      <c r="E1270" s="55">
        <v>22304</v>
      </c>
      <c r="F1270" s="55">
        <v>239</v>
      </c>
      <c r="G1270" s="55">
        <v>9</v>
      </c>
      <c r="H1270" s="55">
        <v>2</v>
      </c>
      <c r="I1270" s="55">
        <v>1</v>
      </c>
      <c r="J1270" s="55">
        <v>0</v>
      </c>
    </row>
    <row r="1271" spans="1:10" ht="15" x14ac:dyDescent="0.4">
      <c r="A1271" s="54">
        <v>46065</v>
      </c>
      <c r="B1271" s="55" t="s">
        <v>62</v>
      </c>
      <c r="C1271" s="55" t="s">
        <v>56</v>
      </c>
      <c r="D1271" s="57">
        <v>9583</v>
      </c>
      <c r="E1271" s="55">
        <v>6845</v>
      </c>
      <c r="F1271" s="55">
        <v>69</v>
      </c>
      <c r="G1271" s="55">
        <v>2</v>
      </c>
      <c r="H1271" s="55">
        <v>2</v>
      </c>
      <c r="I1271" s="55">
        <v>1</v>
      </c>
      <c r="J1271" s="55">
        <v>0</v>
      </c>
    </row>
    <row r="1272" spans="1:10" ht="15" x14ac:dyDescent="0.4">
      <c r="A1272" s="54">
        <v>46066</v>
      </c>
      <c r="B1272" s="55" t="s">
        <v>61</v>
      </c>
      <c r="C1272" s="55" t="s">
        <v>56</v>
      </c>
      <c r="D1272" s="57">
        <v>15329</v>
      </c>
      <c r="E1272" s="55">
        <v>10949</v>
      </c>
      <c r="F1272" s="55">
        <v>108</v>
      </c>
      <c r="G1272" s="55">
        <v>4</v>
      </c>
      <c r="H1272" s="55">
        <v>0</v>
      </c>
      <c r="I1272" s="55">
        <v>0</v>
      </c>
      <c r="J1272" s="55">
        <v>0</v>
      </c>
    </row>
    <row r="1273" spans="1:10" ht="15" x14ac:dyDescent="0.4">
      <c r="A1273" s="54">
        <v>46066</v>
      </c>
      <c r="B1273" s="55" t="s">
        <v>63</v>
      </c>
      <c r="C1273" s="55" t="s">
        <v>58</v>
      </c>
      <c r="D1273" s="57">
        <v>6403</v>
      </c>
      <c r="E1273" s="55">
        <v>1333</v>
      </c>
      <c r="F1273" s="55">
        <v>69</v>
      </c>
      <c r="G1273" s="55">
        <v>3</v>
      </c>
      <c r="H1273" s="55">
        <v>2</v>
      </c>
      <c r="I1273" s="55">
        <v>1</v>
      </c>
      <c r="J1273" s="55">
        <v>0</v>
      </c>
    </row>
    <row r="1274" spans="1:10" ht="15" x14ac:dyDescent="0.4">
      <c r="A1274" s="54">
        <v>46066</v>
      </c>
      <c r="B1274" s="55" t="s">
        <v>57</v>
      </c>
      <c r="C1274" s="55" t="s">
        <v>58</v>
      </c>
      <c r="D1274" s="57">
        <v>19817</v>
      </c>
      <c r="E1274" s="55">
        <v>4128</v>
      </c>
      <c r="F1274" s="55">
        <v>209</v>
      </c>
      <c r="G1274" s="55">
        <v>2</v>
      </c>
      <c r="H1274" s="55">
        <v>0</v>
      </c>
      <c r="I1274" s="55">
        <v>0</v>
      </c>
      <c r="J1274" s="55">
        <v>0</v>
      </c>
    </row>
    <row r="1275" spans="1:10" ht="15" x14ac:dyDescent="0.4">
      <c r="A1275" s="54">
        <v>46066</v>
      </c>
      <c r="B1275" s="55" t="s">
        <v>59</v>
      </c>
      <c r="C1275" s="55" t="s">
        <v>60</v>
      </c>
      <c r="D1275" s="57">
        <v>25886</v>
      </c>
      <c r="E1275" s="55">
        <v>4978</v>
      </c>
      <c r="F1275" s="55">
        <v>32</v>
      </c>
      <c r="G1275" s="55">
        <v>0</v>
      </c>
      <c r="H1275" s="55">
        <v>0</v>
      </c>
      <c r="I1275" s="55">
        <v>0</v>
      </c>
      <c r="J1275" s="55">
        <v>0</v>
      </c>
    </row>
    <row r="1276" spans="1:10" ht="15" x14ac:dyDescent="0.4">
      <c r="A1276" s="54">
        <v>46066</v>
      </c>
      <c r="B1276" s="55" t="s">
        <v>55</v>
      </c>
      <c r="C1276" s="55" t="s">
        <v>56</v>
      </c>
      <c r="D1276" s="57">
        <v>32116</v>
      </c>
      <c r="E1276" s="55">
        <v>22940</v>
      </c>
      <c r="F1276" s="55">
        <v>270</v>
      </c>
      <c r="G1276" s="55">
        <v>7</v>
      </c>
      <c r="H1276" s="55">
        <v>1</v>
      </c>
      <c r="I1276" s="55">
        <v>1</v>
      </c>
      <c r="J1276" s="55">
        <v>0</v>
      </c>
    </row>
    <row r="1277" spans="1:10" ht="15" x14ac:dyDescent="0.4">
      <c r="A1277" s="54">
        <v>46066</v>
      </c>
      <c r="B1277" s="55" t="s">
        <v>62</v>
      </c>
      <c r="C1277" s="55" t="s">
        <v>56</v>
      </c>
      <c r="D1277" s="57">
        <v>10220</v>
      </c>
      <c r="E1277" s="55">
        <v>7300</v>
      </c>
      <c r="F1277" s="55">
        <v>85</v>
      </c>
      <c r="G1277" s="55">
        <v>7</v>
      </c>
      <c r="H1277" s="55">
        <v>0</v>
      </c>
      <c r="I1277" s="55">
        <v>0</v>
      </c>
      <c r="J1277" s="55">
        <v>0</v>
      </c>
    </row>
    <row r="1278" spans="1:10" ht="15" x14ac:dyDescent="0.4">
      <c r="A1278" s="54">
        <v>46067</v>
      </c>
      <c r="B1278" s="55" t="s">
        <v>61</v>
      </c>
      <c r="C1278" s="55" t="s">
        <v>56</v>
      </c>
      <c r="D1278" s="57">
        <v>17150</v>
      </c>
      <c r="E1278" s="55">
        <v>12250</v>
      </c>
      <c r="F1278" s="55">
        <v>131</v>
      </c>
      <c r="G1278" s="55">
        <v>6</v>
      </c>
      <c r="H1278" s="55">
        <v>2</v>
      </c>
      <c r="I1278" s="55">
        <v>1</v>
      </c>
      <c r="J1278" s="55">
        <v>0</v>
      </c>
    </row>
    <row r="1279" spans="1:10" ht="15" x14ac:dyDescent="0.4">
      <c r="A1279" s="54">
        <v>46067</v>
      </c>
      <c r="B1279" s="55" t="s">
        <v>63</v>
      </c>
      <c r="C1279" s="55" t="s">
        <v>58</v>
      </c>
      <c r="D1279" s="57">
        <v>6532</v>
      </c>
      <c r="E1279" s="55">
        <v>1360</v>
      </c>
      <c r="F1279" s="55">
        <v>78</v>
      </c>
      <c r="G1279" s="55">
        <v>0</v>
      </c>
      <c r="H1279" s="55">
        <v>1</v>
      </c>
      <c r="I1279" s="55">
        <v>0</v>
      </c>
      <c r="J1279" s="55">
        <v>0</v>
      </c>
    </row>
    <row r="1280" spans="1:10" ht="15" x14ac:dyDescent="0.4">
      <c r="A1280" s="54">
        <v>46067</v>
      </c>
      <c r="B1280" s="55" t="s">
        <v>57</v>
      </c>
      <c r="C1280" s="55" t="s">
        <v>58</v>
      </c>
      <c r="D1280" s="57">
        <v>17402</v>
      </c>
      <c r="E1280" s="55">
        <v>3625</v>
      </c>
      <c r="F1280" s="55">
        <v>199</v>
      </c>
      <c r="G1280" s="55">
        <v>2</v>
      </c>
      <c r="H1280" s="55">
        <v>1</v>
      </c>
      <c r="I1280" s="55">
        <v>0</v>
      </c>
      <c r="J1280" s="55">
        <v>0</v>
      </c>
    </row>
    <row r="1281" spans="1:10" ht="15" x14ac:dyDescent="0.4">
      <c r="A1281" s="54">
        <v>46067</v>
      </c>
      <c r="B1281" s="55" t="s">
        <v>59</v>
      </c>
      <c r="C1281" s="55" t="s">
        <v>60</v>
      </c>
      <c r="D1281" s="57">
        <v>27442</v>
      </c>
      <c r="E1281" s="55">
        <v>5277</v>
      </c>
      <c r="F1281" s="55">
        <v>29</v>
      </c>
      <c r="G1281" s="55">
        <v>1</v>
      </c>
      <c r="H1281" s="55">
        <v>0</v>
      </c>
      <c r="I1281" s="55">
        <v>0</v>
      </c>
      <c r="J1281" s="55">
        <v>0</v>
      </c>
    </row>
    <row r="1282" spans="1:10" ht="15" x14ac:dyDescent="0.4">
      <c r="A1282" s="54">
        <v>46067</v>
      </c>
      <c r="B1282" s="55" t="s">
        <v>55</v>
      </c>
      <c r="C1282" s="55" t="s">
        <v>56</v>
      </c>
      <c r="D1282" s="57">
        <v>35009</v>
      </c>
      <c r="E1282" s="55">
        <v>25006</v>
      </c>
      <c r="F1282" s="55">
        <v>308</v>
      </c>
      <c r="G1282" s="55">
        <v>5</v>
      </c>
      <c r="H1282" s="55">
        <v>2</v>
      </c>
      <c r="I1282" s="55">
        <v>1</v>
      </c>
      <c r="J1282" s="55">
        <v>0</v>
      </c>
    </row>
    <row r="1283" spans="1:10" ht="15" x14ac:dyDescent="0.4">
      <c r="A1283" s="54">
        <v>46067</v>
      </c>
      <c r="B1283" s="55" t="s">
        <v>62</v>
      </c>
      <c r="C1283" s="55" t="s">
        <v>56</v>
      </c>
      <c r="D1283" s="57">
        <v>9465</v>
      </c>
      <c r="E1283" s="55">
        <v>6760</v>
      </c>
      <c r="F1283" s="55">
        <v>74</v>
      </c>
      <c r="G1283" s="55">
        <v>3</v>
      </c>
      <c r="H1283" s="55">
        <v>1</v>
      </c>
      <c r="I1283" s="55">
        <v>1</v>
      </c>
      <c r="J1283" s="55">
        <v>0</v>
      </c>
    </row>
    <row r="1284" spans="1:10" ht="15" x14ac:dyDescent="0.4">
      <c r="A1284" s="54">
        <v>46068</v>
      </c>
      <c r="B1284" s="55" t="s">
        <v>61</v>
      </c>
      <c r="C1284" s="55" t="s">
        <v>56</v>
      </c>
      <c r="D1284" s="57">
        <v>16168</v>
      </c>
      <c r="E1284" s="55">
        <v>11548</v>
      </c>
      <c r="F1284" s="55">
        <v>108</v>
      </c>
      <c r="G1284" s="55">
        <v>4</v>
      </c>
      <c r="H1284" s="55">
        <v>2</v>
      </c>
      <c r="I1284" s="55">
        <v>1</v>
      </c>
      <c r="J1284" s="55">
        <v>0</v>
      </c>
    </row>
    <row r="1285" spans="1:10" ht="15" x14ac:dyDescent="0.4">
      <c r="A1285" s="54">
        <v>46068</v>
      </c>
      <c r="B1285" s="55" t="s">
        <v>63</v>
      </c>
      <c r="C1285" s="55" t="s">
        <v>58</v>
      </c>
      <c r="D1285" s="57">
        <v>7518</v>
      </c>
      <c r="E1285" s="55">
        <v>1566</v>
      </c>
      <c r="F1285" s="55">
        <v>77</v>
      </c>
      <c r="G1285" s="55">
        <v>1</v>
      </c>
      <c r="H1285" s="55">
        <v>0</v>
      </c>
      <c r="I1285" s="55">
        <v>1</v>
      </c>
      <c r="J1285" s="55">
        <v>0</v>
      </c>
    </row>
    <row r="1286" spans="1:10" ht="15" x14ac:dyDescent="0.4">
      <c r="A1286" s="54">
        <v>46068</v>
      </c>
      <c r="B1286" s="55" t="s">
        <v>57</v>
      </c>
      <c r="C1286" s="55" t="s">
        <v>58</v>
      </c>
      <c r="D1286" s="57">
        <v>20223</v>
      </c>
      <c r="E1286" s="55">
        <v>4213</v>
      </c>
      <c r="F1286" s="55">
        <v>186</v>
      </c>
      <c r="G1286" s="55">
        <v>1</v>
      </c>
      <c r="H1286" s="55">
        <v>1</v>
      </c>
      <c r="I1286" s="55">
        <v>0</v>
      </c>
      <c r="J1286" s="55">
        <v>0</v>
      </c>
    </row>
    <row r="1287" spans="1:10" ht="15" x14ac:dyDescent="0.4">
      <c r="A1287" s="54">
        <v>46068</v>
      </c>
      <c r="B1287" s="55" t="s">
        <v>59</v>
      </c>
      <c r="C1287" s="55" t="s">
        <v>60</v>
      </c>
      <c r="D1287" s="57">
        <v>25088</v>
      </c>
      <c r="E1287" s="55">
        <v>4824</v>
      </c>
      <c r="F1287" s="55">
        <v>33</v>
      </c>
      <c r="G1287" s="55">
        <v>1</v>
      </c>
      <c r="H1287" s="55">
        <v>1</v>
      </c>
      <c r="I1287" s="55">
        <v>2</v>
      </c>
      <c r="J1287" s="55">
        <v>0</v>
      </c>
    </row>
    <row r="1288" spans="1:10" ht="15" x14ac:dyDescent="0.4">
      <c r="A1288" s="54">
        <v>46068</v>
      </c>
      <c r="B1288" s="55" t="s">
        <v>55</v>
      </c>
      <c r="C1288" s="55" t="s">
        <v>56</v>
      </c>
      <c r="D1288" s="57">
        <v>32177</v>
      </c>
      <c r="E1288" s="55">
        <v>22983</v>
      </c>
      <c r="F1288" s="55">
        <v>288</v>
      </c>
      <c r="G1288" s="55">
        <v>5</v>
      </c>
      <c r="H1288" s="55">
        <v>4</v>
      </c>
      <c r="I1288" s="55">
        <v>0</v>
      </c>
      <c r="J1288" s="55">
        <v>1</v>
      </c>
    </row>
    <row r="1289" spans="1:10" ht="15" x14ac:dyDescent="0.4">
      <c r="A1289" s="54">
        <v>46068</v>
      </c>
      <c r="B1289" s="55" t="s">
        <v>62</v>
      </c>
      <c r="C1289" s="55" t="s">
        <v>56</v>
      </c>
      <c r="D1289" s="57">
        <v>9867</v>
      </c>
      <c r="E1289" s="55">
        <v>7047</v>
      </c>
      <c r="F1289" s="55">
        <v>85</v>
      </c>
      <c r="G1289" s="55">
        <v>0</v>
      </c>
      <c r="H1289" s="55">
        <v>3</v>
      </c>
      <c r="I1289" s="55">
        <v>0</v>
      </c>
      <c r="J1289" s="55">
        <v>0</v>
      </c>
    </row>
    <row r="1290" spans="1:10" ht="15" x14ac:dyDescent="0.4">
      <c r="A1290" s="54">
        <v>46069</v>
      </c>
      <c r="B1290" s="55" t="s">
        <v>61</v>
      </c>
      <c r="C1290" s="55" t="s">
        <v>56</v>
      </c>
      <c r="D1290" s="57">
        <v>15227</v>
      </c>
      <c r="E1290" s="55">
        <v>10876</v>
      </c>
      <c r="F1290" s="55">
        <v>130</v>
      </c>
      <c r="G1290" s="55">
        <v>4</v>
      </c>
      <c r="H1290" s="55">
        <v>4</v>
      </c>
      <c r="I1290" s="55">
        <v>0</v>
      </c>
      <c r="J1290" s="55">
        <v>0</v>
      </c>
    </row>
    <row r="1291" spans="1:10" ht="15" x14ac:dyDescent="0.4">
      <c r="A1291" s="54">
        <v>46069</v>
      </c>
      <c r="B1291" s="55" t="s">
        <v>63</v>
      </c>
      <c r="C1291" s="55" t="s">
        <v>58</v>
      </c>
      <c r="D1291" s="57">
        <v>7422</v>
      </c>
      <c r="E1291" s="55">
        <v>1546</v>
      </c>
      <c r="F1291" s="55">
        <v>69</v>
      </c>
      <c r="G1291" s="55">
        <v>8</v>
      </c>
      <c r="H1291" s="55">
        <v>3</v>
      </c>
      <c r="I1291" s="55">
        <v>1</v>
      </c>
      <c r="J1291" s="55">
        <v>0</v>
      </c>
    </row>
    <row r="1292" spans="1:10" ht="15" x14ac:dyDescent="0.4">
      <c r="A1292" s="54">
        <v>46069</v>
      </c>
      <c r="B1292" s="55" t="s">
        <v>57</v>
      </c>
      <c r="C1292" s="55" t="s">
        <v>58</v>
      </c>
      <c r="D1292" s="57">
        <v>20408</v>
      </c>
      <c r="E1292" s="55">
        <v>4251</v>
      </c>
      <c r="F1292" s="55">
        <v>207</v>
      </c>
      <c r="G1292" s="55">
        <v>1</v>
      </c>
      <c r="H1292" s="55">
        <v>0</v>
      </c>
      <c r="I1292" s="55">
        <v>0</v>
      </c>
      <c r="J1292" s="55">
        <v>1</v>
      </c>
    </row>
    <row r="1293" spans="1:10" ht="15" x14ac:dyDescent="0.4">
      <c r="A1293" s="54">
        <v>46069</v>
      </c>
      <c r="B1293" s="55" t="s">
        <v>59</v>
      </c>
      <c r="C1293" s="55" t="s">
        <v>60</v>
      </c>
      <c r="D1293" s="57">
        <v>26345</v>
      </c>
      <c r="E1293" s="55">
        <v>5066</v>
      </c>
      <c r="F1293" s="55">
        <v>31</v>
      </c>
      <c r="G1293" s="55">
        <v>1</v>
      </c>
      <c r="H1293" s="55">
        <v>0</v>
      </c>
      <c r="I1293" s="55">
        <v>0</v>
      </c>
      <c r="J1293" s="55">
        <v>0</v>
      </c>
    </row>
    <row r="1294" spans="1:10" ht="15" x14ac:dyDescent="0.4">
      <c r="A1294" s="54">
        <v>46069</v>
      </c>
      <c r="B1294" s="55" t="s">
        <v>55</v>
      </c>
      <c r="C1294" s="55" t="s">
        <v>56</v>
      </c>
      <c r="D1294" s="57">
        <v>34159</v>
      </c>
      <c r="E1294" s="55">
        <v>24399</v>
      </c>
      <c r="F1294" s="55">
        <v>256</v>
      </c>
      <c r="G1294" s="55">
        <v>8</v>
      </c>
      <c r="H1294" s="55">
        <v>1</v>
      </c>
      <c r="I1294" s="55">
        <v>1</v>
      </c>
      <c r="J1294" s="55">
        <v>0</v>
      </c>
    </row>
    <row r="1295" spans="1:10" ht="15" x14ac:dyDescent="0.4">
      <c r="A1295" s="54">
        <v>46069</v>
      </c>
      <c r="B1295" s="55" t="s">
        <v>62</v>
      </c>
      <c r="C1295" s="55" t="s">
        <v>56</v>
      </c>
      <c r="D1295" s="57">
        <v>9646</v>
      </c>
      <c r="E1295" s="55">
        <v>6890</v>
      </c>
      <c r="F1295" s="55">
        <v>85</v>
      </c>
      <c r="G1295" s="55">
        <v>6</v>
      </c>
      <c r="H1295" s="55">
        <v>0</v>
      </c>
      <c r="I1295" s="55">
        <v>0</v>
      </c>
      <c r="J1295" s="55">
        <v>0</v>
      </c>
    </row>
    <row r="1296" spans="1:10" ht="15" x14ac:dyDescent="0.4">
      <c r="A1296" s="54">
        <v>46070</v>
      </c>
      <c r="B1296" s="55" t="s">
        <v>61</v>
      </c>
      <c r="C1296" s="55" t="s">
        <v>56</v>
      </c>
      <c r="D1296" s="57">
        <v>15248</v>
      </c>
      <c r="E1296" s="55">
        <v>10891</v>
      </c>
      <c r="F1296" s="55">
        <v>121</v>
      </c>
      <c r="G1296" s="55">
        <v>4</v>
      </c>
      <c r="H1296" s="55">
        <v>0</v>
      </c>
      <c r="I1296" s="55">
        <v>1</v>
      </c>
      <c r="J1296" s="55">
        <v>0</v>
      </c>
    </row>
    <row r="1297" spans="1:10" ht="15" x14ac:dyDescent="0.4">
      <c r="A1297" s="54">
        <v>46070</v>
      </c>
      <c r="B1297" s="55" t="s">
        <v>63</v>
      </c>
      <c r="C1297" s="55" t="s">
        <v>58</v>
      </c>
      <c r="D1297" s="57">
        <v>6344</v>
      </c>
      <c r="E1297" s="55">
        <v>1321</v>
      </c>
      <c r="F1297" s="55">
        <v>73</v>
      </c>
      <c r="G1297" s="55">
        <v>1</v>
      </c>
      <c r="H1297" s="55">
        <v>2</v>
      </c>
      <c r="I1297" s="55">
        <v>0</v>
      </c>
      <c r="J1297" s="55">
        <v>0</v>
      </c>
    </row>
    <row r="1298" spans="1:10" ht="15" x14ac:dyDescent="0.4">
      <c r="A1298" s="54">
        <v>46070</v>
      </c>
      <c r="B1298" s="55" t="s">
        <v>57</v>
      </c>
      <c r="C1298" s="55" t="s">
        <v>58</v>
      </c>
      <c r="D1298" s="57">
        <v>19196</v>
      </c>
      <c r="E1298" s="55">
        <v>3999</v>
      </c>
      <c r="F1298" s="55">
        <v>195</v>
      </c>
      <c r="G1298" s="55">
        <v>4</v>
      </c>
      <c r="H1298" s="55">
        <v>0</v>
      </c>
      <c r="I1298" s="55">
        <v>1</v>
      </c>
      <c r="J1298" s="55">
        <v>0</v>
      </c>
    </row>
    <row r="1299" spans="1:10" ht="15" x14ac:dyDescent="0.4">
      <c r="A1299" s="54">
        <v>46070</v>
      </c>
      <c r="B1299" s="55" t="s">
        <v>59</v>
      </c>
      <c r="C1299" s="55" t="s">
        <v>60</v>
      </c>
      <c r="D1299" s="57">
        <v>23375</v>
      </c>
      <c r="E1299" s="55">
        <v>4495</v>
      </c>
      <c r="F1299" s="55">
        <v>26</v>
      </c>
      <c r="G1299" s="55">
        <v>1</v>
      </c>
      <c r="H1299" s="55">
        <v>0</v>
      </c>
      <c r="I1299" s="55">
        <v>1</v>
      </c>
      <c r="J1299" s="55">
        <v>0</v>
      </c>
    </row>
    <row r="1300" spans="1:10" ht="15" x14ac:dyDescent="0.4">
      <c r="A1300" s="54">
        <v>46070</v>
      </c>
      <c r="B1300" s="55" t="s">
        <v>55</v>
      </c>
      <c r="C1300" s="55" t="s">
        <v>56</v>
      </c>
      <c r="D1300" s="57">
        <v>35172</v>
      </c>
      <c r="E1300" s="55">
        <v>25122</v>
      </c>
      <c r="F1300" s="55">
        <v>301</v>
      </c>
      <c r="G1300" s="55">
        <v>10</v>
      </c>
      <c r="H1300" s="55">
        <v>3</v>
      </c>
      <c r="I1300" s="55">
        <v>3</v>
      </c>
      <c r="J1300" s="55">
        <v>0</v>
      </c>
    </row>
    <row r="1301" spans="1:10" ht="15" x14ac:dyDescent="0.4">
      <c r="A1301" s="54">
        <v>46070</v>
      </c>
      <c r="B1301" s="55" t="s">
        <v>62</v>
      </c>
      <c r="C1301" s="55" t="s">
        <v>56</v>
      </c>
      <c r="D1301" s="57">
        <v>9363</v>
      </c>
      <c r="E1301" s="55">
        <v>6687</v>
      </c>
      <c r="F1301" s="55">
        <v>78</v>
      </c>
      <c r="G1301" s="55">
        <v>4</v>
      </c>
      <c r="H1301" s="55">
        <v>0</v>
      </c>
      <c r="I1301" s="55">
        <v>1</v>
      </c>
      <c r="J1301" s="55">
        <v>0</v>
      </c>
    </row>
    <row r="1302" spans="1:10" ht="15" x14ac:dyDescent="0.4">
      <c r="A1302" s="54">
        <v>46071</v>
      </c>
      <c r="B1302" s="55" t="s">
        <v>61</v>
      </c>
      <c r="C1302" s="55" t="s">
        <v>56</v>
      </c>
      <c r="D1302" s="57">
        <v>16680</v>
      </c>
      <c r="E1302" s="55">
        <v>11914</v>
      </c>
      <c r="F1302" s="55">
        <v>137</v>
      </c>
      <c r="G1302" s="55">
        <v>4</v>
      </c>
      <c r="H1302" s="55">
        <v>3</v>
      </c>
      <c r="I1302" s="55">
        <v>1</v>
      </c>
      <c r="J1302" s="55">
        <v>0</v>
      </c>
    </row>
    <row r="1303" spans="1:10" ht="15" x14ac:dyDescent="0.4">
      <c r="A1303" s="54">
        <v>46071</v>
      </c>
      <c r="B1303" s="55" t="s">
        <v>63</v>
      </c>
      <c r="C1303" s="55" t="s">
        <v>58</v>
      </c>
      <c r="D1303" s="57">
        <v>7326</v>
      </c>
      <c r="E1303" s="55">
        <v>1526</v>
      </c>
      <c r="F1303" s="55">
        <v>71</v>
      </c>
      <c r="G1303" s="55">
        <v>1</v>
      </c>
      <c r="H1303" s="55">
        <v>2</v>
      </c>
      <c r="I1303" s="55">
        <v>0</v>
      </c>
      <c r="J1303" s="55">
        <v>0</v>
      </c>
    </row>
    <row r="1304" spans="1:10" ht="15" x14ac:dyDescent="0.4">
      <c r="A1304" s="54">
        <v>46071</v>
      </c>
      <c r="B1304" s="55" t="s">
        <v>57</v>
      </c>
      <c r="C1304" s="55" t="s">
        <v>58</v>
      </c>
      <c r="D1304" s="57">
        <v>18220</v>
      </c>
      <c r="E1304" s="55">
        <v>3795</v>
      </c>
      <c r="F1304" s="55">
        <v>192</v>
      </c>
      <c r="G1304" s="55">
        <v>5</v>
      </c>
      <c r="H1304" s="55">
        <v>1</v>
      </c>
      <c r="I1304" s="55">
        <v>0</v>
      </c>
      <c r="J1304" s="55">
        <v>0</v>
      </c>
    </row>
    <row r="1305" spans="1:10" ht="15" x14ac:dyDescent="0.4">
      <c r="A1305" s="54">
        <v>46071</v>
      </c>
      <c r="B1305" s="55" t="s">
        <v>59</v>
      </c>
      <c r="C1305" s="55" t="s">
        <v>60</v>
      </c>
      <c r="D1305" s="57">
        <v>26748</v>
      </c>
      <c r="E1305" s="55">
        <v>5143</v>
      </c>
      <c r="F1305" s="55">
        <v>31</v>
      </c>
      <c r="G1305" s="55">
        <v>3</v>
      </c>
      <c r="H1305" s="55">
        <v>0</v>
      </c>
      <c r="I1305" s="55">
        <v>0</v>
      </c>
      <c r="J1305" s="55">
        <v>0</v>
      </c>
    </row>
    <row r="1306" spans="1:10" ht="15" x14ac:dyDescent="0.4">
      <c r="A1306" s="54">
        <v>46071</v>
      </c>
      <c r="B1306" s="55" t="s">
        <v>55</v>
      </c>
      <c r="C1306" s="55" t="s">
        <v>56</v>
      </c>
      <c r="D1306" s="57">
        <v>30196</v>
      </c>
      <c r="E1306" s="55">
        <v>21568</v>
      </c>
      <c r="F1306" s="55">
        <v>228</v>
      </c>
      <c r="G1306" s="55">
        <v>7</v>
      </c>
      <c r="H1306" s="55">
        <v>2</v>
      </c>
      <c r="I1306" s="55">
        <v>1</v>
      </c>
      <c r="J1306" s="55">
        <v>0</v>
      </c>
    </row>
    <row r="1307" spans="1:10" ht="15" x14ac:dyDescent="0.4">
      <c r="A1307" s="54">
        <v>46071</v>
      </c>
      <c r="B1307" s="55" t="s">
        <v>62</v>
      </c>
      <c r="C1307" s="55" t="s">
        <v>56</v>
      </c>
      <c r="D1307" s="57">
        <v>9976</v>
      </c>
      <c r="E1307" s="55">
        <v>7125</v>
      </c>
      <c r="F1307" s="55">
        <v>84</v>
      </c>
      <c r="G1307" s="55">
        <v>1</v>
      </c>
      <c r="H1307" s="55">
        <v>3</v>
      </c>
      <c r="I1307" s="55">
        <v>1</v>
      </c>
      <c r="J1307" s="55">
        <v>0</v>
      </c>
    </row>
    <row r="1308" spans="1:10" ht="15" x14ac:dyDescent="0.4">
      <c r="A1308" s="54">
        <v>46072</v>
      </c>
      <c r="B1308" s="55" t="s">
        <v>61</v>
      </c>
      <c r="C1308" s="55" t="s">
        <v>56</v>
      </c>
      <c r="D1308" s="57">
        <v>15872</v>
      </c>
      <c r="E1308" s="55">
        <v>11337</v>
      </c>
      <c r="F1308" s="55">
        <v>133</v>
      </c>
      <c r="G1308" s="55">
        <v>1</v>
      </c>
      <c r="H1308" s="55">
        <v>0</v>
      </c>
      <c r="I1308" s="55">
        <v>1</v>
      </c>
      <c r="J1308" s="55">
        <v>0</v>
      </c>
    </row>
    <row r="1309" spans="1:10" ht="15" x14ac:dyDescent="0.4">
      <c r="A1309" s="54">
        <v>46072</v>
      </c>
      <c r="B1309" s="55" t="s">
        <v>63</v>
      </c>
      <c r="C1309" s="55" t="s">
        <v>58</v>
      </c>
      <c r="D1309" s="57">
        <v>7344</v>
      </c>
      <c r="E1309" s="55">
        <v>1530</v>
      </c>
      <c r="F1309" s="55">
        <v>90</v>
      </c>
      <c r="G1309" s="55">
        <v>1</v>
      </c>
      <c r="H1309" s="55">
        <v>1</v>
      </c>
      <c r="I1309" s="55">
        <v>1</v>
      </c>
      <c r="J1309" s="55">
        <v>0</v>
      </c>
    </row>
    <row r="1310" spans="1:10" ht="15" x14ac:dyDescent="0.4">
      <c r="A1310" s="54">
        <v>46072</v>
      </c>
      <c r="B1310" s="55" t="s">
        <v>57</v>
      </c>
      <c r="C1310" s="55" t="s">
        <v>58</v>
      </c>
      <c r="D1310" s="57">
        <v>18414</v>
      </c>
      <c r="E1310" s="55">
        <v>3836</v>
      </c>
      <c r="F1310" s="55">
        <v>195</v>
      </c>
      <c r="G1310" s="55">
        <v>3</v>
      </c>
      <c r="H1310" s="55">
        <v>0</v>
      </c>
      <c r="I1310" s="55">
        <v>0</v>
      </c>
      <c r="J1310" s="55">
        <v>0</v>
      </c>
    </row>
    <row r="1311" spans="1:10" ht="15" x14ac:dyDescent="0.4">
      <c r="A1311" s="54">
        <v>46072</v>
      </c>
      <c r="B1311" s="55" t="s">
        <v>59</v>
      </c>
      <c r="C1311" s="55" t="s">
        <v>60</v>
      </c>
      <c r="D1311" s="57">
        <v>24050</v>
      </c>
      <c r="E1311" s="55">
        <v>4625</v>
      </c>
      <c r="F1311" s="55">
        <v>29</v>
      </c>
      <c r="G1311" s="55">
        <v>0</v>
      </c>
      <c r="H1311" s="55">
        <v>1</v>
      </c>
      <c r="I1311" s="55">
        <v>0</v>
      </c>
      <c r="J1311" s="55">
        <v>0</v>
      </c>
    </row>
    <row r="1312" spans="1:10" ht="15" x14ac:dyDescent="0.4">
      <c r="A1312" s="54">
        <v>46072</v>
      </c>
      <c r="B1312" s="55" t="s">
        <v>55</v>
      </c>
      <c r="C1312" s="55" t="s">
        <v>56</v>
      </c>
      <c r="D1312" s="57">
        <v>33093</v>
      </c>
      <c r="E1312" s="55">
        <v>23637</v>
      </c>
      <c r="F1312" s="55">
        <v>275</v>
      </c>
      <c r="G1312" s="55">
        <v>5</v>
      </c>
      <c r="H1312" s="55">
        <v>2</v>
      </c>
      <c r="I1312" s="55">
        <v>0</v>
      </c>
      <c r="J1312" s="55">
        <v>0</v>
      </c>
    </row>
    <row r="1313" spans="1:10" ht="15" x14ac:dyDescent="0.4">
      <c r="A1313" s="54">
        <v>46072</v>
      </c>
      <c r="B1313" s="55" t="s">
        <v>62</v>
      </c>
      <c r="C1313" s="55" t="s">
        <v>56</v>
      </c>
      <c r="D1313" s="57">
        <v>8983</v>
      </c>
      <c r="E1313" s="55">
        <v>6416</v>
      </c>
      <c r="F1313" s="55">
        <v>65</v>
      </c>
      <c r="G1313" s="55">
        <v>2</v>
      </c>
      <c r="H1313" s="55">
        <v>0</v>
      </c>
      <c r="I1313" s="55">
        <v>0</v>
      </c>
      <c r="J1313" s="55">
        <v>0</v>
      </c>
    </row>
    <row r="1314" spans="1:10" ht="15" x14ac:dyDescent="0.4">
      <c r="A1314" s="54">
        <v>46073</v>
      </c>
      <c r="B1314" s="55" t="s">
        <v>61</v>
      </c>
      <c r="C1314" s="55" t="s">
        <v>56</v>
      </c>
      <c r="D1314" s="57">
        <v>15648</v>
      </c>
      <c r="E1314" s="55">
        <v>11177</v>
      </c>
      <c r="F1314" s="55">
        <v>115</v>
      </c>
      <c r="G1314" s="55">
        <v>5</v>
      </c>
      <c r="H1314" s="55">
        <v>2</v>
      </c>
      <c r="I1314" s="55">
        <v>0</v>
      </c>
      <c r="J1314" s="55">
        <v>0</v>
      </c>
    </row>
    <row r="1315" spans="1:10" ht="15" x14ac:dyDescent="0.4">
      <c r="A1315" s="54">
        <v>46073</v>
      </c>
      <c r="B1315" s="55" t="s">
        <v>63</v>
      </c>
      <c r="C1315" s="55" t="s">
        <v>58</v>
      </c>
      <c r="D1315" s="57">
        <v>6552</v>
      </c>
      <c r="E1315" s="55">
        <v>1365</v>
      </c>
      <c r="F1315" s="55">
        <v>77</v>
      </c>
      <c r="G1315" s="55">
        <v>6</v>
      </c>
      <c r="H1315" s="55">
        <v>1</v>
      </c>
      <c r="I1315" s="55">
        <v>0</v>
      </c>
      <c r="J1315" s="55">
        <v>0</v>
      </c>
    </row>
    <row r="1316" spans="1:10" ht="15" x14ac:dyDescent="0.4">
      <c r="A1316" s="54">
        <v>46073</v>
      </c>
      <c r="B1316" s="55" t="s">
        <v>57</v>
      </c>
      <c r="C1316" s="55" t="s">
        <v>58</v>
      </c>
      <c r="D1316" s="57">
        <v>19182</v>
      </c>
      <c r="E1316" s="55">
        <v>3996</v>
      </c>
      <c r="F1316" s="55">
        <v>196</v>
      </c>
      <c r="G1316" s="55">
        <v>2</v>
      </c>
      <c r="H1316" s="55">
        <v>0</v>
      </c>
      <c r="I1316" s="55">
        <v>0</v>
      </c>
      <c r="J1316" s="55">
        <v>0</v>
      </c>
    </row>
    <row r="1317" spans="1:10" ht="15" x14ac:dyDescent="0.4">
      <c r="A1317" s="54">
        <v>46073</v>
      </c>
      <c r="B1317" s="55" t="s">
        <v>59</v>
      </c>
      <c r="C1317" s="55" t="s">
        <v>60</v>
      </c>
      <c r="D1317" s="57">
        <v>25181</v>
      </c>
      <c r="E1317" s="55">
        <v>4842</v>
      </c>
      <c r="F1317" s="55">
        <v>28</v>
      </c>
      <c r="G1317" s="55">
        <v>0</v>
      </c>
      <c r="H1317" s="55">
        <v>0</v>
      </c>
      <c r="I1317" s="55">
        <v>0</v>
      </c>
      <c r="J1317" s="55">
        <v>0</v>
      </c>
    </row>
    <row r="1318" spans="1:10" ht="15" x14ac:dyDescent="0.4">
      <c r="A1318" s="54">
        <v>46073</v>
      </c>
      <c r="B1318" s="55" t="s">
        <v>55</v>
      </c>
      <c r="C1318" s="55" t="s">
        <v>56</v>
      </c>
      <c r="D1318" s="57">
        <v>29505</v>
      </c>
      <c r="E1318" s="55">
        <v>21075</v>
      </c>
      <c r="F1318" s="55">
        <v>238</v>
      </c>
      <c r="G1318" s="55">
        <v>6</v>
      </c>
      <c r="H1318" s="55">
        <v>1</v>
      </c>
      <c r="I1318" s="55">
        <v>1</v>
      </c>
      <c r="J1318" s="55">
        <v>0</v>
      </c>
    </row>
    <row r="1319" spans="1:10" ht="15" x14ac:dyDescent="0.4">
      <c r="A1319" s="54">
        <v>46073</v>
      </c>
      <c r="B1319" s="55" t="s">
        <v>62</v>
      </c>
      <c r="C1319" s="55" t="s">
        <v>56</v>
      </c>
      <c r="D1319" s="57">
        <v>9096</v>
      </c>
      <c r="E1319" s="55">
        <v>6497</v>
      </c>
      <c r="F1319" s="55">
        <v>80</v>
      </c>
      <c r="G1319" s="55">
        <v>1</v>
      </c>
      <c r="H1319" s="55">
        <v>3</v>
      </c>
      <c r="I1319" s="55">
        <v>0</v>
      </c>
      <c r="J1319" s="55">
        <v>0</v>
      </c>
    </row>
    <row r="1320" spans="1:10" ht="15" x14ac:dyDescent="0.4">
      <c r="A1320" s="54">
        <v>46074</v>
      </c>
      <c r="B1320" s="55" t="s">
        <v>61</v>
      </c>
      <c r="C1320" s="55" t="s">
        <v>56</v>
      </c>
      <c r="D1320" s="57">
        <v>17178</v>
      </c>
      <c r="E1320" s="55">
        <v>12270</v>
      </c>
      <c r="F1320" s="55">
        <v>151</v>
      </c>
      <c r="G1320" s="55">
        <v>3</v>
      </c>
      <c r="H1320" s="55">
        <v>0</v>
      </c>
      <c r="I1320" s="55">
        <v>1</v>
      </c>
      <c r="J1320" s="55">
        <v>0</v>
      </c>
    </row>
    <row r="1321" spans="1:10" ht="15" x14ac:dyDescent="0.4">
      <c r="A1321" s="54">
        <v>46074</v>
      </c>
      <c r="B1321" s="55" t="s">
        <v>63</v>
      </c>
      <c r="C1321" s="55" t="s">
        <v>58</v>
      </c>
      <c r="D1321" s="57">
        <v>7051</v>
      </c>
      <c r="E1321" s="55">
        <v>1468</v>
      </c>
      <c r="F1321" s="55">
        <v>76</v>
      </c>
      <c r="G1321" s="55">
        <v>0</v>
      </c>
      <c r="H1321" s="55">
        <v>2</v>
      </c>
      <c r="I1321" s="55">
        <v>4</v>
      </c>
      <c r="J1321" s="55">
        <v>0</v>
      </c>
    </row>
    <row r="1322" spans="1:10" ht="15" x14ac:dyDescent="0.4">
      <c r="A1322" s="54">
        <v>46074</v>
      </c>
      <c r="B1322" s="55" t="s">
        <v>57</v>
      </c>
      <c r="C1322" s="55" t="s">
        <v>58</v>
      </c>
      <c r="D1322" s="57">
        <v>18026</v>
      </c>
      <c r="E1322" s="55">
        <v>3755</v>
      </c>
      <c r="F1322" s="55">
        <v>179</v>
      </c>
      <c r="G1322" s="55">
        <v>2</v>
      </c>
      <c r="H1322" s="55">
        <v>0</v>
      </c>
      <c r="I1322" s="55">
        <v>0</v>
      </c>
      <c r="J1322" s="55">
        <v>0</v>
      </c>
    </row>
    <row r="1323" spans="1:10" ht="15" x14ac:dyDescent="0.4">
      <c r="A1323" s="54">
        <v>46074</v>
      </c>
      <c r="B1323" s="55" t="s">
        <v>59</v>
      </c>
      <c r="C1323" s="55" t="s">
        <v>60</v>
      </c>
      <c r="D1323" s="57">
        <v>23532</v>
      </c>
      <c r="E1323" s="55">
        <v>4525</v>
      </c>
      <c r="F1323" s="55">
        <v>25</v>
      </c>
      <c r="G1323" s="55">
        <v>1</v>
      </c>
      <c r="H1323" s="55">
        <v>1</v>
      </c>
      <c r="I1323" s="55">
        <v>0</v>
      </c>
      <c r="J1323" s="55">
        <v>0</v>
      </c>
    </row>
    <row r="1324" spans="1:10" ht="15" x14ac:dyDescent="0.4">
      <c r="A1324" s="54">
        <v>46074</v>
      </c>
      <c r="B1324" s="55" t="s">
        <v>55</v>
      </c>
      <c r="C1324" s="55" t="s">
        <v>56</v>
      </c>
      <c r="D1324" s="57">
        <v>29391</v>
      </c>
      <c r="E1324" s="55">
        <v>20993</v>
      </c>
      <c r="F1324" s="55">
        <v>255</v>
      </c>
      <c r="G1324" s="55">
        <v>4</v>
      </c>
      <c r="H1324" s="55">
        <v>0</v>
      </c>
      <c r="I1324" s="55">
        <v>1</v>
      </c>
      <c r="J1324" s="55">
        <v>0</v>
      </c>
    </row>
    <row r="1325" spans="1:10" ht="15" x14ac:dyDescent="0.4">
      <c r="A1325" s="54">
        <v>46074</v>
      </c>
      <c r="B1325" s="55" t="s">
        <v>62</v>
      </c>
      <c r="C1325" s="55" t="s">
        <v>56</v>
      </c>
      <c r="D1325" s="57">
        <v>9098</v>
      </c>
      <c r="E1325" s="55">
        <v>6498</v>
      </c>
      <c r="F1325" s="55">
        <v>66</v>
      </c>
      <c r="G1325" s="55">
        <v>4</v>
      </c>
      <c r="H1325" s="55">
        <v>0</v>
      </c>
      <c r="I1325" s="55">
        <v>0</v>
      </c>
      <c r="J1325" s="55">
        <v>0</v>
      </c>
    </row>
    <row r="1326" spans="1:10" ht="15" x14ac:dyDescent="0.4">
      <c r="A1326" s="54">
        <v>46075</v>
      </c>
      <c r="B1326" s="55" t="s">
        <v>61</v>
      </c>
      <c r="C1326" s="55" t="s">
        <v>56</v>
      </c>
      <c r="D1326" s="57">
        <v>17684</v>
      </c>
      <c r="E1326" s="55">
        <v>12631</v>
      </c>
      <c r="F1326" s="55">
        <v>140</v>
      </c>
      <c r="G1326" s="55">
        <v>1</v>
      </c>
      <c r="H1326" s="55">
        <v>0</v>
      </c>
      <c r="I1326" s="55">
        <v>0</v>
      </c>
      <c r="J1326" s="55">
        <v>0</v>
      </c>
    </row>
    <row r="1327" spans="1:10" ht="15" x14ac:dyDescent="0.4">
      <c r="A1327" s="54">
        <v>46075</v>
      </c>
      <c r="B1327" s="55" t="s">
        <v>63</v>
      </c>
      <c r="C1327" s="55" t="s">
        <v>58</v>
      </c>
      <c r="D1327" s="57">
        <v>7351</v>
      </c>
      <c r="E1327" s="55">
        <v>1531</v>
      </c>
      <c r="F1327" s="55">
        <v>68</v>
      </c>
      <c r="G1327" s="55">
        <v>4</v>
      </c>
      <c r="H1327" s="55">
        <v>1</v>
      </c>
      <c r="I1327" s="55">
        <v>0</v>
      </c>
      <c r="J1327" s="55">
        <v>0</v>
      </c>
    </row>
    <row r="1328" spans="1:10" ht="15" x14ac:dyDescent="0.4">
      <c r="A1328" s="54">
        <v>46075</v>
      </c>
      <c r="B1328" s="55" t="s">
        <v>57</v>
      </c>
      <c r="C1328" s="55" t="s">
        <v>58</v>
      </c>
      <c r="D1328" s="57">
        <v>19492</v>
      </c>
      <c r="E1328" s="55">
        <v>4060</v>
      </c>
      <c r="F1328" s="55">
        <v>238</v>
      </c>
      <c r="G1328" s="55">
        <v>0</v>
      </c>
      <c r="H1328" s="55">
        <v>0</v>
      </c>
      <c r="I1328" s="55">
        <v>0</v>
      </c>
      <c r="J1328" s="55">
        <v>0</v>
      </c>
    </row>
    <row r="1329" spans="1:10" ht="15" x14ac:dyDescent="0.4">
      <c r="A1329" s="54">
        <v>46075</v>
      </c>
      <c r="B1329" s="55" t="s">
        <v>59</v>
      </c>
      <c r="C1329" s="55" t="s">
        <v>60</v>
      </c>
      <c r="D1329" s="57">
        <v>27715</v>
      </c>
      <c r="E1329" s="55">
        <v>5329</v>
      </c>
      <c r="F1329" s="55">
        <v>32</v>
      </c>
      <c r="G1329" s="55">
        <v>4</v>
      </c>
      <c r="H1329" s="55">
        <v>2</v>
      </c>
      <c r="I1329" s="55">
        <v>0</v>
      </c>
      <c r="J1329" s="55">
        <v>0</v>
      </c>
    </row>
    <row r="1330" spans="1:10" ht="15" x14ac:dyDescent="0.4">
      <c r="A1330" s="54">
        <v>46075</v>
      </c>
      <c r="B1330" s="55" t="s">
        <v>55</v>
      </c>
      <c r="C1330" s="55" t="s">
        <v>56</v>
      </c>
      <c r="D1330" s="57">
        <v>32926</v>
      </c>
      <c r="E1330" s="55">
        <v>23518</v>
      </c>
      <c r="F1330" s="55">
        <v>252</v>
      </c>
      <c r="G1330" s="55">
        <v>5</v>
      </c>
      <c r="H1330" s="55">
        <v>1</v>
      </c>
      <c r="I1330" s="55">
        <v>0</v>
      </c>
      <c r="J1330" s="55">
        <v>1</v>
      </c>
    </row>
    <row r="1331" spans="1:10" ht="15" x14ac:dyDescent="0.4">
      <c r="A1331" s="54">
        <v>46075</v>
      </c>
      <c r="B1331" s="55" t="s">
        <v>62</v>
      </c>
      <c r="C1331" s="55" t="s">
        <v>56</v>
      </c>
      <c r="D1331" s="57">
        <v>8670</v>
      </c>
      <c r="E1331" s="55">
        <v>6192</v>
      </c>
      <c r="F1331" s="55">
        <v>70</v>
      </c>
      <c r="G1331" s="55">
        <v>1</v>
      </c>
      <c r="H1331" s="55">
        <v>0</v>
      </c>
      <c r="I1331" s="55">
        <v>1</v>
      </c>
      <c r="J1331" s="55">
        <v>0</v>
      </c>
    </row>
    <row r="1332" spans="1:10" ht="15" x14ac:dyDescent="0.4">
      <c r="A1332" s="54">
        <v>46076</v>
      </c>
      <c r="B1332" s="55" t="s">
        <v>61</v>
      </c>
      <c r="C1332" s="55" t="s">
        <v>56</v>
      </c>
      <c r="D1332" s="57">
        <v>14970</v>
      </c>
      <c r="E1332" s="55">
        <v>10692</v>
      </c>
      <c r="F1332" s="55">
        <v>134</v>
      </c>
      <c r="G1332" s="55">
        <v>7</v>
      </c>
      <c r="H1332" s="55">
        <v>1</v>
      </c>
      <c r="I1332" s="55">
        <v>1</v>
      </c>
      <c r="J1332" s="55">
        <v>0</v>
      </c>
    </row>
    <row r="1333" spans="1:10" ht="15" x14ac:dyDescent="0.4">
      <c r="A1333" s="54">
        <v>46076</v>
      </c>
      <c r="B1333" s="55" t="s">
        <v>63</v>
      </c>
      <c r="C1333" s="55" t="s">
        <v>58</v>
      </c>
      <c r="D1333" s="57">
        <v>7025</v>
      </c>
      <c r="E1333" s="55">
        <v>1463</v>
      </c>
      <c r="F1333" s="55">
        <v>73</v>
      </c>
      <c r="G1333" s="55">
        <v>1</v>
      </c>
      <c r="H1333" s="55">
        <v>1</v>
      </c>
      <c r="I1333" s="55">
        <v>0</v>
      </c>
      <c r="J1333" s="55">
        <v>1</v>
      </c>
    </row>
    <row r="1334" spans="1:10" ht="15" x14ac:dyDescent="0.4">
      <c r="A1334" s="54">
        <v>46076</v>
      </c>
      <c r="B1334" s="55" t="s">
        <v>57</v>
      </c>
      <c r="C1334" s="55" t="s">
        <v>58</v>
      </c>
      <c r="D1334" s="57">
        <v>17709</v>
      </c>
      <c r="E1334" s="55">
        <v>3689</v>
      </c>
      <c r="F1334" s="55">
        <v>166</v>
      </c>
      <c r="G1334" s="55">
        <v>3</v>
      </c>
      <c r="H1334" s="55">
        <v>0</v>
      </c>
      <c r="I1334" s="55">
        <v>0</v>
      </c>
      <c r="J1334" s="55">
        <v>0</v>
      </c>
    </row>
    <row r="1335" spans="1:10" ht="15" x14ac:dyDescent="0.4">
      <c r="A1335" s="54">
        <v>46076</v>
      </c>
      <c r="B1335" s="55" t="s">
        <v>59</v>
      </c>
      <c r="C1335" s="55" t="s">
        <v>60</v>
      </c>
      <c r="D1335" s="57">
        <v>25645</v>
      </c>
      <c r="E1335" s="55">
        <v>4931</v>
      </c>
      <c r="F1335" s="55">
        <v>34</v>
      </c>
      <c r="G1335" s="55">
        <v>2</v>
      </c>
      <c r="H1335" s="55">
        <v>1</v>
      </c>
      <c r="I1335" s="55">
        <v>0</v>
      </c>
      <c r="J1335" s="55">
        <v>0</v>
      </c>
    </row>
    <row r="1336" spans="1:10" ht="15" x14ac:dyDescent="0.4">
      <c r="A1336" s="54">
        <v>46076</v>
      </c>
      <c r="B1336" s="55" t="s">
        <v>55</v>
      </c>
      <c r="C1336" s="55" t="s">
        <v>56</v>
      </c>
      <c r="D1336" s="57">
        <v>30716</v>
      </c>
      <c r="E1336" s="55">
        <v>21940</v>
      </c>
      <c r="F1336" s="55">
        <v>275</v>
      </c>
      <c r="G1336" s="55">
        <v>9</v>
      </c>
      <c r="H1336" s="55">
        <v>1</v>
      </c>
      <c r="I1336" s="55">
        <v>1</v>
      </c>
      <c r="J1336" s="55">
        <v>0</v>
      </c>
    </row>
    <row r="1337" spans="1:10" ht="15" x14ac:dyDescent="0.4">
      <c r="A1337" s="54">
        <v>46076</v>
      </c>
      <c r="B1337" s="55" t="s">
        <v>62</v>
      </c>
      <c r="C1337" s="55" t="s">
        <v>56</v>
      </c>
      <c r="D1337" s="57">
        <v>9841</v>
      </c>
      <c r="E1337" s="55">
        <v>7029</v>
      </c>
      <c r="F1337" s="55">
        <v>87</v>
      </c>
      <c r="G1337" s="55">
        <v>5</v>
      </c>
      <c r="H1337" s="55">
        <v>4</v>
      </c>
      <c r="I1337" s="55">
        <v>0</v>
      </c>
      <c r="J1337" s="55">
        <v>0</v>
      </c>
    </row>
    <row r="1338" spans="1:10" ht="15" x14ac:dyDescent="0.4">
      <c r="A1338" s="54">
        <v>46077</v>
      </c>
      <c r="B1338" s="55" t="s">
        <v>61</v>
      </c>
      <c r="C1338" s="55" t="s">
        <v>56</v>
      </c>
      <c r="D1338" s="57">
        <v>16659</v>
      </c>
      <c r="E1338" s="55">
        <v>11899</v>
      </c>
      <c r="F1338" s="55">
        <v>113</v>
      </c>
      <c r="G1338" s="55">
        <v>5</v>
      </c>
      <c r="H1338" s="55">
        <v>1</v>
      </c>
      <c r="I1338" s="55">
        <v>2</v>
      </c>
      <c r="J1338" s="55">
        <v>0</v>
      </c>
    </row>
    <row r="1339" spans="1:10" ht="15" x14ac:dyDescent="0.4">
      <c r="A1339" s="54">
        <v>46077</v>
      </c>
      <c r="B1339" s="55" t="s">
        <v>63</v>
      </c>
      <c r="C1339" s="55" t="s">
        <v>58</v>
      </c>
      <c r="D1339" s="57">
        <v>7110</v>
      </c>
      <c r="E1339" s="55">
        <v>1481</v>
      </c>
      <c r="F1339" s="55">
        <v>67</v>
      </c>
      <c r="G1339" s="55">
        <v>2</v>
      </c>
      <c r="H1339" s="55">
        <v>2</v>
      </c>
      <c r="I1339" s="55">
        <v>2</v>
      </c>
      <c r="J1339" s="55">
        <v>0</v>
      </c>
    </row>
    <row r="1340" spans="1:10" ht="15" x14ac:dyDescent="0.4">
      <c r="A1340" s="54">
        <v>46077</v>
      </c>
      <c r="B1340" s="55" t="s">
        <v>57</v>
      </c>
      <c r="C1340" s="55" t="s">
        <v>58</v>
      </c>
      <c r="D1340" s="57">
        <v>19581</v>
      </c>
      <c r="E1340" s="55">
        <v>4079</v>
      </c>
      <c r="F1340" s="55">
        <v>204</v>
      </c>
      <c r="G1340" s="55">
        <v>4</v>
      </c>
      <c r="H1340" s="55">
        <v>1</v>
      </c>
      <c r="I1340" s="55">
        <v>0</v>
      </c>
      <c r="J1340" s="55">
        <v>0</v>
      </c>
    </row>
    <row r="1341" spans="1:10" ht="15" x14ac:dyDescent="0.4">
      <c r="A1341" s="54">
        <v>46077</v>
      </c>
      <c r="B1341" s="55" t="s">
        <v>59</v>
      </c>
      <c r="C1341" s="55" t="s">
        <v>60</v>
      </c>
      <c r="D1341" s="57">
        <v>27023</v>
      </c>
      <c r="E1341" s="55">
        <v>5196</v>
      </c>
      <c r="F1341" s="55">
        <v>33</v>
      </c>
      <c r="G1341" s="55">
        <v>1</v>
      </c>
      <c r="H1341" s="55">
        <v>0</v>
      </c>
      <c r="I1341" s="55">
        <v>2</v>
      </c>
      <c r="J1341" s="55">
        <v>1</v>
      </c>
    </row>
    <row r="1342" spans="1:10" ht="15" x14ac:dyDescent="0.4">
      <c r="A1342" s="54">
        <v>46077</v>
      </c>
      <c r="B1342" s="55" t="s">
        <v>55</v>
      </c>
      <c r="C1342" s="55" t="s">
        <v>56</v>
      </c>
      <c r="D1342" s="57">
        <v>32964</v>
      </c>
      <c r="E1342" s="55">
        <v>23545</v>
      </c>
      <c r="F1342" s="55">
        <v>264</v>
      </c>
      <c r="G1342" s="55">
        <v>7</v>
      </c>
      <c r="H1342" s="55">
        <v>2</v>
      </c>
      <c r="I1342" s="55">
        <v>1</v>
      </c>
      <c r="J1342" s="55">
        <v>0</v>
      </c>
    </row>
    <row r="1343" spans="1:10" ht="15" x14ac:dyDescent="0.4">
      <c r="A1343" s="54">
        <v>46077</v>
      </c>
      <c r="B1343" s="55" t="s">
        <v>62</v>
      </c>
      <c r="C1343" s="55" t="s">
        <v>56</v>
      </c>
      <c r="D1343" s="57">
        <v>9958</v>
      </c>
      <c r="E1343" s="55">
        <v>7112</v>
      </c>
      <c r="F1343" s="55">
        <v>78</v>
      </c>
      <c r="G1343" s="55">
        <v>3</v>
      </c>
      <c r="H1343" s="55">
        <v>1</v>
      </c>
      <c r="I1343" s="55">
        <v>0</v>
      </c>
      <c r="J1343" s="55">
        <v>0</v>
      </c>
    </row>
    <row r="1344" spans="1:10" ht="15" x14ac:dyDescent="0.4">
      <c r="A1344" s="54">
        <v>46078</v>
      </c>
      <c r="B1344" s="55" t="s">
        <v>61</v>
      </c>
      <c r="C1344" s="55" t="s">
        <v>56</v>
      </c>
      <c r="D1344" s="57">
        <v>15242</v>
      </c>
      <c r="E1344" s="55">
        <v>10887</v>
      </c>
      <c r="F1344" s="55">
        <v>103</v>
      </c>
      <c r="G1344" s="55">
        <v>9</v>
      </c>
      <c r="H1344" s="55">
        <v>1</v>
      </c>
      <c r="I1344" s="55">
        <v>1</v>
      </c>
      <c r="J1344" s="55">
        <v>0</v>
      </c>
    </row>
    <row r="1345" spans="1:10" ht="15" x14ac:dyDescent="0.4">
      <c r="A1345" s="54">
        <v>46078</v>
      </c>
      <c r="B1345" s="55" t="s">
        <v>63</v>
      </c>
      <c r="C1345" s="55" t="s">
        <v>58</v>
      </c>
      <c r="D1345" s="57">
        <v>6742</v>
      </c>
      <c r="E1345" s="55">
        <v>1404</v>
      </c>
      <c r="F1345" s="55">
        <v>80</v>
      </c>
      <c r="G1345" s="55">
        <v>4</v>
      </c>
      <c r="H1345" s="55">
        <v>2</v>
      </c>
      <c r="I1345" s="55">
        <v>0</v>
      </c>
      <c r="J1345" s="55">
        <v>0</v>
      </c>
    </row>
    <row r="1346" spans="1:10" ht="15" x14ac:dyDescent="0.4">
      <c r="A1346" s="54">
        <v>46078</v>
      </c>
      <c r="B1346" s="55" t="s">
        <v>57</v>
      </c>
      <c r="C1346" s="55" t="s">
        <v>58</v>
      </c>
      <c r="D1346" s="57">
        <v>20239</v>
      </c>
      <c r="E1346" s="55">
        <v>4216</v>
      </c>
      <c r="F1346" s="55">
        <v>219</v>
      </c>
      <c r="G1346" s="55">
        <v>4</v>
      </c>
      <c r="H1346" s="55">
        <v>1</v>
      </c>
      <c r="I1346" s="55">
        <v>0</v>
      </c>
      <c r="J1346" s="55">
        <v>0</v>
      </c>
    </row>
    <row r="1347" spans="1:10" ht="15" x14ac:dyDescent="0.4">
      <c r="A1347" s="54">
        <v>46078</v>
      </c>
      <c r="B1347" s="55" t="s">
        <v>59</v>
      </c>
      <c r="C1347" s="55" t="s">
        <v>60</v>
      </c>
      <c r="D1347" s="57">
        <v>23546</v>
      </c>
      <c r="E1347" s="55">
        <v>4528</v>
      </c>
      <c r="F1347" s="55">
        <v>27</v>
      </c>
      <c r="G1347" s="55">
        <v>3</v>
      </c>
      <c r="H1347" s="55">
        <v>1</v>
      </c>
      <c r="I1347" s="55">
        <v>1</v>
      </c>
      <c r="J1347" s="55">
        <v>0</v>
      </c>
    </row>
    <row r="1348" spans="1:10" ht="15" x14ac:dyDescent="0.4">
      <c r="A1348" s="54">
        <v>46078</v>
      </c>
      <c r="B1348" s="55" t="s">
        <v>55</v>
      </c>
      <c r="C1348" s="55" t="s">
        <v>56</v>
      </c>
      <c r="D1348" s="57">
        <v>31271</v>
      </c>
      <c r="E1348" s="55">
        <v>22336</v>
      </c>
      <c r="F1348" s="55">
        <v>274</v>
      </c>
      <c r="G1348" s="55">
        <v>12</v>
      </c>
      <c r="H1348" s="55">
        <v>0</v>
      </c>
      <c r="I1348" s="55">
        <v>1</v>
      </c>
      <c r="J1348" s="55">
        <v>0</v>
      </c>
    </row>
    <row r="1349" spans="1:10" ht="15" x14ac:dyDescent="0.4">
      <c r="A1349" s="54">
        <v>46078</v>
      </c>
      <c r="B1349" s="55" t="s">
        <v>62</v>
      </c>
      <c r="C1349" s="55" t="s">
        <v>56</v>
      </c>
      <c r="D1349" s="57">
        <v>9623</v>
      </c>
      <c r="E1349" s="55">
        <v>6873</v>
      </c>
      <c r="F1349" s="55">
        <v>84</v>
      </c>
      <c r="G1349" s="55">
        <v>1</v>
      </c>
      <c r="H1349" s="55">
        <v>1</v>
      </c>
      <c r="I1349" s="55">
        <v>1</v>
      </c>
      <c r="J1349" s="55">
        <v>2</v>
      </c>
    </row>
    <row r="1350" spans="1:10" ht="15" x14ac:dyDescent="0.4">
      <c r="A1350" s="54">
        <v>46079</v>
      </c>
      <c r="B1350" s="55" t="s">
        <v>61</v>
      </c>
      <c r="C1350" s="55" t="s">
        <v>56</v>
      </c>
      <c r="D1350" s="57">
        <v>17370</v>
      </c>
      <c r="E1350" s="55">
        <v>12407</v>
      </c>
      <c r="F1350" s="55">
        <v>122</v>
      </c>
      <c r="G1350" s="55">
        <v>3</v>
      </c>
      <c r="H1350" s="55">
        <v>2</v>
      </c>
      <c r="I1350" s="55">
        <v>0</v>
      </c>
      <c r="J1350" s="55">
        <v>0</v>
      </c>
    </row>
    <row r="1351" spans="1:10" ht="15" x14ac:dyDescent="0.4">
      <c r="A1351" s="54">
        <v>46079</v>
      </c>
      <c r="B1351" s="55" t="s">
        <v>63</v>
      </c>
      <c r="C1351" s="55" t="s">
        <v>58</v>
      </c>
      <c r="D1351" s="57">
        <v>7248</v>
      </c>
      <c r="E1351" s="55">
        <v>1510</v>
      </c>
      <c r="F1351" s="55">
        <v>81</v>
      </c>
      <c r="G1351" s="55">
        <v>2</v>
      </c>
      <c r="H1351" s="55">
        <v>0</v>
      </c>
      <c r="I1351" s="55">
        <v>0</v>
      </c>
      <c r="J1351" s="55">
        <v>0</v>
      </c>
    </row>
    <row r="1352" spans="1:10" ht="15" x14ac:dyDescent="0.4">
      <c r="A1352" s="54">
        <v>46079</v>
      </c>
      <c r="B1352" s="55" t="s">
        <v>57</v>
      </c>
      <c r="C1352" s="55" t="s">
        <v>58</v>
      </c>
      <c r="D1352" s="57">
        <v>18806</v>
      </c>
      <c r="E1352" s="55">
        <v>3917</v>
      </c>
      <c r="F1352" s="55">
        <v>233</v>
      </c>
      <c r="G1352" s="55">
        <v>2</v>
      </c>
      <c r="H1352" s="55">
        <v>2</v>
      </c>
      <c r="I1352" s="55">
        <v>0</v>
      </c>
      <c r="J1352" s="55">
        <v>0</v>
      </c>
    </row>
    <row r="1353" spans="1:10" ht="15" x14ac:dyDescent="0.4">
      <c r="A1353" s="54">
        <v>46079</v>
      </c>
      <c r="B1353" s="55" t="s">
        <v>59</v>
      </c>
      <c r="C1353" s="55" t="s">
        <v>60</v>
      </c>
      <c r="D1353" s="57">
        <v>22988</v>
      </c>
      <c r="E1353" s="55">
        <v>4420</v>
      </c>
      <c r="F1353" s="55">
        <v>25</v>
      </c>
      <c r="G1353" s="55">
        <v>2</v>
      </c>
      <c r="H1353" s="55">
        <v>1</v>
      </c>
      <c r="I1353" s="55">
        <v>0</v>
      </c>
      <c r="J1353" s="55">
        <v>1</v>
      </c>
    </row>
    <row r="1354" spans="1:10" ht="15" x14ac:dyDescent="0.4">
      <c r="A1354" s="54">
        <v>46079</v>
      </c>
      <c r="B1354" s="55" t="s">
        <v>55</v>
      </c>
      <c r="C1354" s="55" t="s">
        <v>56</v>
      </c>
      <c r="D1354" s="57">
        <v>34949</v>
      </c>
      <c r="E1354" s="55">
        <v>24963</v>
      </c>
      <c r="F1354" s="55">
        <v>300</v>
      </c>
      <c r="G1354" s="55">
        <v>7</v>
      </c>
      <c r="H1354" s="55">
        <v>2</v>
      </c>
      <c r="I1354" s="55">
        <v>0</v>
      </c>
      <c r="J1354" s="55">
        <v>0</v>
      </c>
    </row>
    <row r="1355" spans="1:10" ht="15" x14ac:dyDescent="0.4">
      <c r="A1355" s="54">
        <v>46079</v>
      </c>
      <c r="B1355" s="55" t="s">
        <v>62</v>
      </c>
      <c r="C1355" s="55" t="s">
        <v>56</v>
      </c>
      <c r="D1355" s="57">
        <v>9281</v>
      </c>
      <c r="E1355" s="55">
        <v>6629</v>
      </c>
      <c r="F1355" s="55">
        <v>80</v>
      </c>
      <c r="G1355" s="55">
        <v>2</v>
      </c>
      <c r="H1355" s="55">
        <v>2</v>
      </c>
      <c r="I1355" s="55">
        <v>2</v>
      </c>
      <c r="J1355" s="55">
        <v>0</v>
      </c>
    </row>
    <row r="1356" spans="1:10" ht="15" x14ac:dyDescent="0.4">
      <c r="A1356" s="54">
        <v>46080</v>
      </c>
      <c r="B1356" s="55" t="s">
        <v>61</v>
      </c>
      <c r="C1356" s="55" t="s">
        <v>56</v>
      </c>
      <c r="D1356" s="57">
        <v>16926</v>
      </c>
      <c r="E1356" s="55">
        <v>12090</v>
      </c>
      <c r="F1356" s="55">
        <v>126</v>
      </c>
      <c r="G1356" s="55">
        <v>0</v>
      </c>
      <c r="H1356" s="55">
        <v>0</v>
      </c>
      <c r="I1356" s="55">
        <v>1</v>
      </c>
      <c r="J1356" s="55">
        <v>0</v>
      </c>
    </row>
    <row r="1357" spans="1:10" ht="15" x14ac:dyDescent="0.4">
      <c r="A1357" s="54">
        <v>46080</v>
      </c>
      <c r="B1357" s="55" t="s">
        <v>63</v>
      </c>
      <c r="C1357" s="55" t="s">
        <v>58</v>
      </c>
      <c r="D1357" s="57">
        <v>6913</v>
      </c>
      <c r="E1357" s="55">
        <v>1440</v>
      </c>
      <c r="F1357" s="55">
        <v>85</v>
      </c>
      <c r="G1357" s="55">
        <v>4</v>
      </c>
      <c r="H1357" s="55">
        <v>3</v>
      </c>
      <c r="I1357" s="55">
        <v>2</v>
      </c>
      <c r="J1357" s="55">
        <v>1</v>
      </c>
    </row>
    <row r="1358" spans="1:10" ht="15" x14ac:dyDescent="0.4">
      <c r="A1358" s="54">
        <v>46080</v>
      </c>
      <c r="B1358" s="55" t="s">
        <v>57</v>
      </c>
      <c r="C1358" s="55" t="s">
        <v>58</v>
      </c>
      <c r="D1358" s="57">
        <v>20091</v>
      </c>
      <c r="E1358" s="55">
        <v>4185</v>
      </c>
      <c r="F1358" s="55">
        <v>207</v>
      </c>
      <c r="G1358" s="55">
        <v>4</v>
      </c>
      <c r="H1358" s="55">
        <v>1</v>
      </c>
      <c r="I1358" s="55">
        <v>1</v>
      </c>
      <c r="J1358" s="55">
        <v>0</v>
      </c>
    </row>
    <row r="1359" spans="1:10" ht="15" x14ac:dyDescent="0.4">
      <c r="A1359" s="54">
        <v>46080</v>
      </c>
      <c r="B1359" s="55" t="s">
        <v>59</v>
      </c>
      <c r="C1359" s="55" t="s">
        <v>60</v>
      </c>
      <c r="D1359" s="57">
        <v>23545</v>
      </c>
      <c r="E1359" s="55">
        <v>4527</v>
      </c>
      <c r="F1359" s="55">
        <v>33</v>
      </c>
      <c r="G1359" s="55">
        <v>1</v>
      </c>
      <c r="H1359" s="55">
        <v>2</v>
      </c>
      <c r="I1359" s="55">
        <v>0</v>
      </c>
      <c r="J1359" s="55">
        <v>1</v>
      </c>
    </row>
    <row r="1360" spans="1:10" ht="15" x14ac:dyDescent="0.4">
      <c r="A1360" s="54">
        <v>46080</v>
      </c>
      <c r="B1360" s="55" t="s">
        <v>55</v>
      </c>
      <c r="C1360" s="55" t="s">
        <v>56</v>
      </c>
      <c r="D1360" s="57">
        <v>34853</v>
      </c>
      <c r="E1360" s="55">
        <v>24895</v>
      </c>
      <c r="F1360" s="55">
        <v>239</v>
      </c>
      <c r="G1360" s="55">
        <v>4</v>
      </c>
      <c r="H1360" s="55">
        <v>4</v>
      </c>
      <c r="I1360" s="55">
        <v>1</v>
      </c>
      <c r="J1360" s="55">
        <v>1</v>
      </c>
    </row>
    <row r="1361" spans="1:10" ht="15" x14ac:dyDescent="0.4">
      <c r="A1361" s="54">
        <v>46080</v>
      </c>
      <c r="B1361" s="55" t="s">
        <v>62</v>
      </c>
      <c r="C1361" s="55" t="s">
        <v>56</v>
      </c>
      <c r="D1361" s="57">
        <v>8397</v>
      </c>
      <c r="E1361" s="55">
        <v>5997</v>
      </c>
      <c r="F1361" s="55">
        <v>75</v>
      </c>
      <c r="G1361" s="55">
        <v>2</v>
      </c>
      <c r="H1361" s="55">
        <v>0</v>
      </c>
      <c r="I1361" s="55">
        <v>1</v>
      </c>
      <c r="J1361" s="55">
        <v>0</v>
      </c>
    </row>
    <row r="1362" spans="1:10" ht="15" x14ac:dyDescent="0.4">
      <c r="A1362" s="54">
        <v>46081</v>
      </c>
      <c r="B1362" s="55" t="s">
        <v>61</v>
      </c>
      <c r="C1362" s="55" t="s">
        <v>56</v>
      </c>
      <c r="D1362" s="57">
        <v>16563</v>
      </c>
      <c r="E1362" s="55">
        <v>11830</v>
      </c>
      <c r="F1362" s="55">
        <v>124</v>
      </c>
      <c r="G1362" s="55">
        <v>2</v>
      </c>
      <c r="H1362" s="55">
        <v>2</v>
      </c>
      <c r="I1362" s="55">
        <v>1</v>
      </c>
      <c r="J1362" s="55">
        <v>0</v>
      </c>
    </row>
    <row r="1363" spans="1:10" ht="15" x14ac:dyDescent="0.4">
      <c r="A1363" s="54">
        <v>46081</v>
      </c>
      <c r="B1363" s="55" t="s">
        <v>63</v>
      </c>
      <c r="C1363" s="55" t="s">
        <v>58</v>
      </c>
      <c r="D1363" s="57">
        <v>7373</v>
      </c>
      <c r="E1363" s="55">
        <v>1536</v>
      </c>
      <c r="F1363" s="55">
        <v>84</v>
      </c>
      <c r="G1363" s="55">
        <v>1</v>
      </c>
      <c r="H1363" s="55">
        <v>3</v>
      </c>
      <c r="I1363" s="55">
        <v>0</v>
      </c>
      <c r="J1363" s="55">
        <v>0</v>
      </c>
    </row>
    <row r="1364" spans="1:10" ht="15" x14ac:dyDescent="0.4">
      <c r="A1364" s="54">
        <v>46081</v>
      </c>
      <c r="B1364" s="55" t="s">
        <v>57</v>
      </c>
      <c r="C1364" s="55" t="s">
        <v>58</v>
      </c>
      <c r="D1364" s="57">
        <v>18602</v>
      </c>
      <c r="E1364" s="55">
        <v>3875</v>
      </c>
      <c r="F1364" s="55">
        <v>227</v>
      </c>
      <c r="G1364" s="55">
        <v>2</v>
      </c>
      <c r="H1364" s="55">
        <v>0</v>
      </c>
      <c r="I1364" s="55">
        <v>0</v>
      </c>
      <c r="J1364" s="55">
        <v>0</v>
      </c>
    </row>
    <row r="1365" spans="1:10" ht="15" x14ac:dyDescent="0.4">
      <c r="A1365" s="54">
        <v>46081</v>
      </c>
      <c r="B1365" s="55" t="s">
        <v>59</v>
      </c>
      <c r="C1365" s="55" t="s">
        <v>60</v>
      </c>
      <c r="D1365" s="57">
        <v>24195</v>
      </c>
      <c r="E1365" s="55">
        <v>4652</v>
      </c>
      <c r="F1365" s="55">
        <v>25</v>
      </c>
      <c r="G1365" s="55">
        <v>3</v>
      </c>
      <c r="H1365" s="55">
        <v>0</v>
      </c>
      <c r="I1365" s="55">
        <v>0</v>
      </c>
      <c r="J1365" s="55">
        <v>1</v>
      </c>
    </row>
    <row r="1366" spans="1:10" ht="15" x14ac:dyDescent="0.4">
      <c r="A1366" s="54">
        <v>46081</v>
      </c>
      <c r="B1366" s="55" t="s">
        <v>55</v>
      </c>
      <c r="C1366" s="55" t="s">
        <v>56</v>
      </c>
      <c r="D1366" s="57">
        <v>29099</v>
      </c>
      <c r="E1366" s="55">
        <v>20785</v>
      </c>
      <c r="F1366" s="55">
        <v>199</v>
      </c>
      <c r="G1366" s="55">
        <v>6</v>
      </c>
      <c r="H1366" s="55">
        <v>3</v>
      </c>
      <c r="I1366" s="55">
        <v>1</v>
      </c>
      <c r="J1366" s="55">
        <v>1</v>
      </c>
    </row>
    <row r="1367" spans="1:10" ht="15" x14ac:dyDescent="0.4">
      <c r="A1367" s="54">
        <v>46081</v>
      </c>
      <c r="B1367" s="55" t="s">
        <v>62</v>
      </c>
      <c r="C1367" s="55" t="s">
        <v>56</v>
      </c>
      <c r="D1367" s="57">
        <v>9258</v>
      </c>
      <c r="E1367" s="55">
        <v>6612</v>
      </c>
      <c r="F1367" s="55">
        <v>80</v>
      </c>
      <c r="G1367" s="55">
        <v>1</v>
      </c>
      <c r="H1367" s="55">
        <v>0</v>
      </c>
      <c r="I1367" s="55">
        <v>1</v>
      </c>
      <c r="J1367" s="55">
        <v>0</v>
      </c>
    </row>
    <row r="1368" spans="1:10" ht="15" x14ac:dyDescent="0.4">
      <c r="A1368" s="54">
        <v>46082</v>
      </c>
      <c r="B1368" s="55" t="s">
        <v>61</v>
      </c>
      <c r="C1368" s="55" t="s">
        <v>56</v>
      </c>
      <c r="D1368" s="57">
        <v>17953</v>
      </c>
      <c r="E1368" s="55">
        <v>12823</v>
      </c>
      <c r="F1368" s="55">
        <v>131</v>
      </c>
      <c r="G1368" s="55">
        <v>4</v>
      </c>
      <c r="H1368" s="55">
        <v>0</v>
      </c>
      <c r="I1368" s="55">
        <v>0</v>
      </c>
      <c r="J1368" s="55">
        <v>0</v>
      </c>
    </row>
    <row r="1369" spans="1:10" ht="15" x14ac:dyDescent="0.4">
      <c r="A1369" s="54">
        <v>46082</v>
      </c>
      <c r="B1369" s="55" t="s">
        <v>63</v>
      </c>
      <c r="C1369" s="55" t="s">
        <v>58</v>
      </c>
      <c r="D1369" s="57">
        <v>7191</v>
      </c>
      <c r="E1369" s="55">
        <v>1498</v>
      </c>
      <c r="F1369" s="55">
        <v>70</v>
      </c>
      <c r="G1369" s="55">
        <v>1</v>
      </c>
      <c r="H1369" s="55">
        <v>2</v>
      </c>
      <c r="I1369" s="55">
        <v>2</v>
      </c>
      <c r="J1369" s="55">
        <v>0</v>
      </c>
    </row>
    <row r="1370" spans="1:10" ht="15" x14ac:dyDescent="0.4">
      <c r="A1370" s="54">
        <v>46082</v>
      </c>
      <c r="B1370" s="55" t="s">
        <v>57</v>
      </c>
      <c r="C1370" s="55" t="s">
        <v>58</v>
      </c>
      <c r="D1370" s="57">
        <v>20670</v>
      </c>
      <c r="E1370" s="55">
        <v>4306</v>
      </c>
      <c r="F1370" s="55">
        <v>196</v>
      </c>
      <c r="G1370" s="55">
        <v>2</v>
      </c>
      <c r="H1370" s="55">
        <v>1</v>
      </c>
      <c r="I1370" s="55">
        <v>0</v>
      </c>
      <c r="J1370" s="55">
        <v>0</v>
      </c>
    </row>
    <row r="1371" spans="1:10" ht="15" x14ac:dyDescent="0.4">
      <c r="A1371" s="54">
        <v>46082</v>
      </c>
      <c r="B1371" s="55" t="s">
        <v>59</v>
      </c>
      <c r="C1371" s="55" t="s">
        <v>60</v>
      </c>
      <c r="D1371" s="57">
        <v>27123</v>
      </c>
      <c r="E1371" s="55">
        <v>5215</v>
      </c>
      <c r="F1371" s="55">
        <v>32</v>
      </c>
      <c r="G1371" s="55">
        <v>1</v>
      </c>
      <c r="H1371" s="55">
        <v>0</v>
      </c>
      <c r="I1371" s="55">
        <v>2</v>
      </c>
      <c r="J1371" s="55">
        <v>0</v>
      </c>
    </row>
    <row r="1372" spans="1:10" ht="15" x14ac:dyDescent="0.4">
      <c r="A1372" s="54">
        <v>46082</v>
      </c>
      <c r="B1372" s="55" t="s">
        <v>55</v>
      </c>
      <c r="C1372" s="55" t="s">
        <v>56</v>
      </c>
      <c r="D1372" s="57">
        <v>32062</v>
      </c>
      <c r="E1372" s="55">
        <v>22901</v>
      </c>
      <c r="F1372" s="55">
        <v>283</v>
      </c>
      <c r="G1372" s="55">
        <v>3</v>
      </c>
      <c r="H1372" s="55">
        <v>2</v>
      </c>
      <c r="I1372" s="55">
        <v>1</v>
      </c>
      <c r="J1372" s="55">
        <v>0</v>
      </c>
    </row>
    <row r="1373" spans="1:10" ht="15" x14ac:dyDescent="0.4">
      <c r="A1373" s="54">
        <v>46082</v>
      </c>
      <c r="B1373" s="55" t="s">
        <v>62</v>
      </c>
      <c r="C1373" s="55" t="s">
        <v>56</v>
      </c>
      <c r="D1373" s="57">
        <v>9612</v>
      </c>
      <c r="E1373" s="55">
        <v>6865</v>
      </c>
      <c r="F1373" s="55">
        <v>73</v>
      </c>
      <c r="G1373" s="55">
        <v>3</v>
      </c>
      <c r="H1373" s="55">
        <v>0</v>
      </c>
      <c r="I1373" s="55">
        <v>0</v>
      </c>
      <c r="J1373" s="55">
        <v>0</v>
      </c>
    </row>
    <row r="1374" spans="1:10" ht="15" x14ac:dyDescent="0.4">
      <c r="A1374" s="54">
        <v>46083</v>
      </c>
      <c r="B1374" s="55" t="s">
        <v>61</v>
      </c>
      <c r="C1374" s="55" t="s">
        <v>56</v>
      </c>
      <c r="D1374" s="57">
        <v>16331</v>
      </c>
      <c r="E1374" s="55">
        <v>11665</v>
      </c>
      <c r="F1374" s="55">
        <v>141</v>
      </c>
      <c r="G1374" s="55">
        <v>4</v>
      </c>
      <c r="H1374" s="55">
        <v>0</v>
      </c>
      <c r="I1374" s="55">
        <v>0</v>
      </c>
      <c r="J1374" s="55">
        <v>0</v>
      </c>
    </row>
    <row r="1375" spans="1:10" ht="15" x14ac:dyDescent="0.4">
      <c r="A1375" s="54">
        <v>46083</v>
      </c>
      <c r="B1375" s="55" t="s">
        <v>63</v>
      </c>
      <c r="C1375" s="55" t="s">
        <v>58</v>
      </c>
      <c r="D1375" s="57">
        <v>7505</v>
      </c>
      <c r="E1375" s="55">
        <v>1563</v>
      </c>
      <c r="F1375" s="55">
        <v>70</v>
      </c>
      <c r="G1375" s="55">
        <v>7</v>
      </c>
      <c r="H1375" s="55">
        <v>0</v>
      </c>
      <c r="I1375" s="55">
        <v>0</v>
      </c>
      <c r="J1375" s="55">
        <v>1</v>
      </c>
    </row>
    <row r="1376" spans="1:10" ht="15" x14ac:dyDescent="0.4">
      <c r="A1376" s="54">
        <v>46083</v>
      </c>
      <c r="B1376" s="55" t="s">
        <v>57</v>
      </c>
      <c r="C1376" s="55" t="s">
        <v>58</v>
      </c>
      <c r="D1376" s="57">
        <v>20812</v>
      </c>
      <c r="E1376" s="55">
        <v>4335</v>
      </c>
      <c r="F1376" s="55">
        <v>202</v>
      </c>
      <c r="G1376" s="55">
        <v>5</v>
      </c>
      <c r="H1376" s="55">
        <v>0</v>
      </c>
      <c r="I1376" s="55">
        <v>0</v>
      </c>
      <c r="J1376" s="55">
        <v>0</v>
      </c>
    </row>
    <row r="1377" spans="1:10" ht="15" x14ac:dyDescent="0.4">
      <c r="A1377" s="54">
        <v>46083</v>
      </c>
      <c r="B1377" s="55" t="s">
        <v>59</v>
      </c>
      <c r="C1377" s="55" t="s">
        <v>60</v>
      </c>
      <c r="D1377" s="57">
        <v>25645</v>
      </c>
      <c r="E1377" s="55">
        <v>4931</v>
      </c>
      <c r="F1377" s="55">
        <v>36</v>
      </c>
      <c r="G1377" s="55">
        <v>1</v>
      </c>
      <c r="H1377" s="55">
        <v>0</v>
      </c>
      <c r="I1377" s="55">
        <v>1</v>
      </c>
      <c r="J1377" s="55">
        <v>0</v>
      </c>
    </row>
    <row r="1378" spans="1:10" ht="15" x14ac:dyDescent="0.4">
      <c r="A1378" s="54">
        <v>46083</v>
      </c>
      <c r="B1378" s="55" t="s">
        <v>55</v>
      </c>
      <c r="C1378" s="55" t="s">
        <v>56</v>
      </c>
      <c r="D1378" s="57">
        <v>29134</v>
      </c>
      <c r="E1378" s="55">
        <v>20810</v>
      </c>
      <c r="F1378" s="55">
        <v>258</v>
      </c>
      <c r="G1378" s="55">
        <v>10</v>
      </c>
      <c r="H1378" s="55">
        <v>3</v>
      </c>
      <c r="I1378" s="55">
        <v>1</v>
      </c>
      <c r="J1378" s="55">
        <v>0</v>
      </c>
    </row>
    <row r="1379" spans="1:10" ht="15" x14ac:dyDescent="0.4">
      <c r="A1379" s="54">
        <v>46083</v>
      </c>
      <c r="B1379" s="55" t="s">
        <v>62</v>
      </c>
      <c r="C1379" s="55" t="s">
        <v>56</v>
      </c>
      <c r="D1379" s="57">
        <v>9091</v>
      </c>
      <c r="E1379" s="55">
        <v>6493</v>
      </c>
      <c r="F1379" s="55">
        <v>67</v>
      </c>
      <c r="G1379" s="55">
        <v>4</v>
      </c>
      <c r="H1379" s="55">
        <v>0</v>
      </c>
      <c r="I1379" s="55">
        <v>0</v>
      </c>
      <c r="J1379" s="55">
        <v>0</v>
      </c>
    </row>
    <row r="1380" spans="1:10" ht="15" x14ac:dyDescent="0.4">
      <c r="A1380" s="54">
        <v>46084</v>
      </c>
      <c r="B1380" s="55" t="s">
        <v>61</v>
      </c>
      <c r="C1380" s="55" t="s">
        <v>56</v>
      </c>
      <c r="D1380" s="57">
        <v>15217</v>
      </c>
      <c r="E1380" s="55">
        <v>10869</v>
      </c>
      <c r="F1380" s="55">
        <v>103</v>
      </c>
      <c r="G1380" s="55">
        <v>6</v>
      </c>
      <c r="H1380" s="55">
        <v>0</v>
      </c>
      <c r="I1380" s="55">
        <v>0</v>
      </c>
      <c r="J1380" s="55">
        <v>0</v>
      </c>
    </row>
    <row r="1381" spans="1:10" ht="15" x14ac:dyDescent="0.4">
      <c r="A1381" s="54">
        <v>46084</v>
      </c>
      <c r="B1381" s="55" t="s">
        <v>63</v>
      </c>
      <c r="C1381" s="55" t="s">
        <v>58</v>
      </c>
      <c r="D1381" s="57">
        <v>6636</v>
      </c>
      <c r="E1381" s="55">
        <v>1382</v>
      </c>
      <c r="F1381" s="55">
        <v>64</v>
      </c>
      <c r="G1381" s="55">
        <v>4</v>
      </c>
      <c r="H1381" s="55">
        <v>1</v>
      </c>
      <c r="I1381" s="55">
        <v>3</v>
      </c>
      <c r="J1381" s="55">
        <v>0</v>
      </c>
    </row>
    <row r="1382" spans="1:10" ht="15" x14ac:dyDescent="0.4">
      <c r="A1382" s="54">
        <v>46084</v>
      </c>
      <c r="B1382" s="55" t="s">
        <v>57</v>
      </c>
      <c r="C1382" s="55" t="s">
        <v>58</v>
      </c>
      <c r="D1382" s="57">
        <v>20792</v>
      </c>
      <c r="E1382" s="55">
        <v>4331</v>
      </c>
      <c r="F1382" s="55">
        <v>230</v>
      </c>
      <c r="G1382" s="55">
        <v>3</v>
      </c>
      <c r="H1382" s="55">
        <v>2</v>
      </c>
      <c r="I1382" s="55">
        <v>3</v>
      </c>
      <c r="J1382" s="55">
        <v>0</v>
      </c>
    </row>
    <row r="1383" spans="1:10" ht="15" x14ac:dyDescent="0.4">
      <c r="A1383" s="54">
        <v>46084</v>
      </c>
      <c r="B1383" s="55" t="s">
        <v>59</v>
      </c>
      <c r="C1383" s="55" t="s">
        <v>60</v>
      </c>
      <c r="D1383" s="57">
        <v>26082</v>
      </c>
      <c r="E1383" s="55">
        <v>5015</v>
      </c>
      <c r="F1383" s="55">
        <v>28</v>
      </c>
      <c r="G1383" s="55">
        <v>0</v>
      </c>
      <c r="H1383" s="55">
        <v>0</v>
      </c>
      <c r="I1383" s="55">
        <v>1</v>
      </c>
      <c r="J1383" s="55">
        <v>1</v>
      </c>
    </row>
    <row r="1384" spans="1:10" ht="15" x14ac:dyDescent="0.4">
      <c r="A1384" s="54">
        <v>46084</v>
      </c>
      <c r="B1384" s="55" t="s">
        <v>55</v>
      </c>
      <c r="C1384" s="55" t="s">
        <v>56</v>
      </c>
      <c r="D1384" s="57">
        <v>29465</v>
      </c>
      <c r="E1384" s="55">
        <v>21046</v>
      </c>
      <c r="F1384" s="55">
        <v>223</v>
      </c>
      <c r="G1384" s="55">
        <v>5</v>
      </c>
      <c r="H1384" s="55">
        <v>3</v>
      </c>
      <c r="I1384" s="55">
        <v>0</v>
      </c>
      <c r="J1384" s="55">
        <v>0</v>
      </c>
    </row>
    <row r="1385" spans="1:10" ht="15" x14ac:dyDescent="0.4">
      <c r="A1385" s="54">
        <v>46084</v>
      </c>
      <c r="B1385" s="55" t="s">
        <v>62</v>
      </c>
      <c r="C1385" s="55" t="s">
        <v>56</v>
      </c>
      <c r="D1385" s="57">
        <v>8766</v>
      </c>
      <c r="E1385" s="55">
        <v>6261</v>
      </c>
      <c r="F1385" s="55">
        <v>63</v>
      </c>
      <c r="G1385" s="55">
        <v>1</v>
      </c>
      <c r="H1385" s="55">
        <v>3</v>
      </c>
      <c r="I1385" s="55">
        <v>1</v>
      </c>
      <c r="J1385" s="55">
        <v>0</v>
      </c>
    </row>
    <row r="1386" spans="1:10" ht="15" x14ac:dyDescent="0.4">
      <c r="A1386" s="54">
        <v>46085</v>
      </c>
      <c r="B1386" s="55" t="s">
        <v>61</v>
      </c>
      <c r="C1386" s="55" t="s">
        <v>56</v>
      </c>
      <c r="D1386" s="57">
        <v>15180</v>
      </c>
      <c r="E1386" s="55">
        <v>10842</v>
      </c>
      <c r="F1386" s="55">
        <v>107</v>
      </c>
      <c r="G1386" s="55">
        <v>4</v>
      </c>
      <c r="H1386" s="55">
        <v>0</v>
      </c>
      <c r="I1386" s="55">
        <v>1</v>
      </c>
      <c r="J1386" s="55">
        <v>0</v>
      </c>
    </row>
    <row r="1387" spans="1:10" ht="15" x14ac:dyDescent="0.4">
      <c r="A1387" s="54">
        <v>46085</v>
      </c>
      <c r="B1387" s="55" t="s">
        <v>63</v>
      </c>
      <c r="C1387" s="55" t="s">
        <v>58</v>
      </c>
      <c r="D1387" s="57">
        <v>6274</v>
      </c>
      <c r="E1387" s="55">
        <v>1307</v>
      </c>
      <c r="F1387" s="55">
        <v>58</v>
      </c>
      <c r="G1387" s="55">
        <v>4</v>
      </c>
      <c r="H1387" s="55">
        <v>3</v>
      </c>
      <c r="I1387" s="55">
        <v>1</v>
      </c>
      <c r="J1387" s="55">
        <v>0</v>
      </c>
    </row>
    <row r="1388" spans="1:10" ht="15" x14ac:dyDescent="0.4">
      <c r="A1388" s="54">
        <v>46085</v>
      </c>
      <c r="B1388" s="55" t="s">
        <v>57</v>
      </c>
      <c r="C1388" s="55" t="s">
        <v>58</v>
      </c>
      <c r="D1388" s="57">
        <v>20761</v>
      </c>
      <c r="E1388" s="55">
        <v>4325</v>
      </c>
      <c r="F1388" s="55">
        <v>241</v>
      </c>
      <c r="G1388" s="55">
        <v>1</v>
      </c>
      <c r="H1388" s="55">
        <v>1</v>
      </c>
      <c r="I1388" s="55">
        <v>0</v>
      </c>
      <c r="J1388" s="55">
        <v>0</v>
      </c>
    </row>
    <row r="1389" spans="1:10" ht="15" x14ac:dyDescent="0.4">
      <c r="A1389" s="54">
        <v>46085</v>
      </c>
      <c r="B1389" s="55" t="s">
        <v>59</v>
      </c>
      <c r="C1389" s="55" t="s">
        <v>60</v>
      </c>
      <c r="D1389" s="57">
        <v>26061</v>
      </c>
      <c r="E1389" s="55">
        <v>5011</v>
      </c>
      <c r="F1389" s="55">
        <v>32</v>
      </c>
      <c r="G1389" s="55">
        <v>0</v>
      </c>
      <c r="H1389" s="55">
        <v>0</v>
      </c>
      <c r="I1389" s="55">
        <v>0</v>
      </c>
      <c r="J1389" s="55">
        <v>0</v>
      </c>
    </row>
    <row r="1390" spans="1:10" ht="15" x14ac:dyDescent="0.4">
      <c r="A1390" s="54">
        <v>46085</v>
      </c>
      <c r="B1390" s="55" t="s">
        <v>55</v>
      </c>
      <c r="C1390" s="55" t="s">
        <v>56</v>
      </c>
      <c r="D1390" s="57">
        <v>29241</v>
      </c>
      <c r="E1390" s="55">
        <v>20886</v>
      </c>
      <c r="F1390" s="55">
        <v>220</v>
      </c>
      <c r="G1390" s="55">
        <v>9</v>
      </c>
      <c r="H1390" s="55">
        <v>2</v>
      </c>
      <c r="I1390" s="55">
        <v>0</v>
      </c>
      <c r="J1390" s="55">
        <v>0</v>
      </c>
    </row>
    <row r="1391" spans="1:10" ht="15" x14ac:dyDescent="0.4">
      <c r="A1391" s="54">
        <v>46085</v>
      </c>
      <c r="B1391" s="55" t="s">
        <v>62</v>
      </c>
      <c r="C1391" s="55" t="s">
        <v>56</v>
      </c>
      <c r="D1391" s="57">
        <v>8870</v>
      </c>
      <c r="E1391" s="55">
        <v>6335</v>
      </c>
      <c r="F1391" s="55">
        <v>60</v>
      </c>
      <c r="G1391" s="55">
        <v>3</v>
      </c>
      <c r="H1391" s="55">
        <v>0</v>
      </c>
      <c r="I1391" s="55">
        <v>0</v>
      </c>
      <c r="J1391" s="55">
        <v>0</v>
      </c>
    </row>
    <row r="1392" spans="1:10" ht="15" x14ac:dyDescent="0.4">
      <c r="A1392" s="54">
        <v>46086</v>
      </c>
      <c r="B1392" s="55" t="s">
        <v>61</v>
      </c>
      <c r="C1392" s="55" t="s">
        <v>56</v>
      </c>
      <c r="D1392" s="57">
        <v>16178</v>
      </c>
      <c r="E1392" s="55">
        <v>11555</v>
      </c>
      <c r="F1392" s="55">
        <v>125</v>
      </c>
      <c r="G1392" s="55">
        <v>7</v>
      </c>
      <c r="H1392" s="55">
        <v>1</v>
      </c>
      <c r="I1392" s="55">
        <v>0</v>
      </c>
      <c r="J1392" s="55">
        <v>0</v>
      </c>
    </row>
    <row r="1393" spans="1:10" ht="15" x14ac:dyDescent="0.4">
      <c r="A1393" s="54">
        <v>46086</v>
      </c>
      <c r="B1393" s="55" t="s">
        <v>63</v>
      </c>
      <c r="C1393" s="55" t="s">
        <v>58</v>
      </c>
      <c r="D1393" s="57">
        <v>6746</v>
      </c>
      <c r="E1393" s="55">
        <v>1405</v>
      </c>
      <c r="F1393" s="55">
        <v>69</v>
      </c>
      <c r="G1393" s="55">
        <v>3</v>
      </c>
      <c r="H1393" s="55">
        <v>3</v>
      </c>
      <c r="I1393" s="55">
        <v>0</v>
      </c>
      <c r="J1393" s="55">
        <v>0</v>
      </c>
    </row>
    <row r="1394" spans="1:10" ht="15" x14ac:dyDescent="0.4">
      <c r="A1394" s="54">
        <v>46086</v>
      </c>
      <c r="B1394" s="55" t="s">
        <v>57</v>
      </c>
      <c r="C1394" s="55" t="s">
        <v>58</v>
      </c>
      <c r="D1394" s="57">
        <v>20679</v>
      </c>
      <c r="E1394" s="55">
        <v>4308</v>
      </c>
      <c r="F1394" s="55">
        <v>245</v>
      </c>
      <c r="G1394" s="55">
        <v>3</v>
      </c>
      <c r="H1394" s="55">
        <v>0</v>
      </c>
      <c r="I1394" s="55">
        <v>0</v>
      </c>
      <c r="J1394" s="55">
        <v>0</v>
      </c>
    </row>
    <row r="1395" spans="1:10" ht="15" x14ac:dyDescent="0.4">
      <c r="A1395" s="54">
        <v>46086</v>
      </c>
      <c r="B1395" s="55" t="s">
        <v>59</v>
      </c>
      <c r="C1395" s="55" t="s">
        <v>60</v>
      </c>
      <c r="D1395" s="57">
        <v>26168</v>
      </c>
      <c r="E1395" s="55">
        <v>5032</v>
      </c>
      <c r="F1395" s="55">
        <v>34</v>
      </c>
      <c r="G1395" s="55">
        <v>2</v>
      </c>
      <c r="H1395" s="55">
        <v>0</v>
      </c>
      <c r="I1395" s="55">
        <v>0</v>
      </c>
      <c r="J1395" s="55">
        <v>0</v>
      </c>
    </row>
    <row r="1396" spans="1:10" ht="15" x14ac:dyDescent="0.4">
      <c r="A1396" s="54">
        <v>46086</v>
      </c>
      <c r="B1396" s="55" t="s">
        <v>55</v>
      </c>
      <c r="C1396" s="55" t="s">
        <v>56</v>
      </c>
      <c r="D1396" s="57">
        <v>33023</v>
      </c>
      <c r="E1396" s="55">
        <v>23587</v>
      </c>
      <c r="F1396" s="55">
        <v>221</v>
      </c>
      <c r="G1396" s="55">
        <v>7</v>
      </c>
      <c r="H1396" s="55">
        <v>0</v>
      </c>
      <c r="I1396" s="55">
        <v>4</v>
      </c>
      <c r="J1396" s="55">
        <v>0</v>
      </c>
    </row>
    <row r="1397" spans="1:10" ht="15" x14ac:dyDescent="0.4">
      <c r="A1397" s="54">
        <v>46086</v>
      </c>
      <c r="B1397" s="55" t="s">
        <v>62</v>
      </c>
      <c r="C1397" s="55" t="s">
        <v>56</v>
      </c>
      <c r="D1397" s="57">
        <v>10109</v>
      </c>
      <c r="E1397" s="55">
        <v>7220</v>
      </c>
      <c r="F1397" s="55">
        <v>82</v>
      </c>
      <c r="G1397" s="55">
        <v>5</v>
      </c>
      <c r="H1397" s="55">
        <v>2</v>
      </c>
      <c r="I1397" s="55">
        <v>0</v>
      </c>
      <c r="J1397" s="55">
        <v>1</v>
      </c>
    </row>
    <row r="1398" spans="1:10" ht="15" x14ac:dyDescent="0.4">
      <c r="A1398" s="54">
        <v>46087</v>
      </c>
      <c r="B1398" s="55" t="s">
        <v>61</v>
      </c>
      <c r="C1398" s="55" t="s">
        <v>56</v>
      </c>
      <c r="D1398" s="57">
        <v>15730</v>
      </c>
      <c r="E1398" s="55">
        <v>11235</v>
      </c>
      <c r="F1398" s="55">
        <v>114</v>
      </c>
      <c r="G1398" s="55">
        <v>4</v>
      </c>
      <c r="H1398" s="55">
        <v>0</v>
      </c>
      <c r="I1398" s="55">
        <v>1</v>
      </c>
      <c r="J1398" s="55">
        <v>0</v>
      </c>
    </row>
    <row r="1399" spans="1:10" ht="15" x14ac:dyDescent="0.4">
      <c r="A1399" s="54">
        <v>46087</v>
      </c>
      <c r="B1399" s="55" t="s">
        <v>63</v>
      </c>
      <c r="C1399" s="55" t="s">
        <v>58</v>
      </c>
      <c r="D1399" s="57">
        <v>6757</v>
      </c>
      <c r="E1399" s="55">
        <v>1407</v>
      </c>
      <c r="F1399" s="55">
        <v>82</v>
      </c>
      <c r="G1399" s="55">
        <v>2</v>
      </c>
      <c r="H1399" s="55">
        <v>2</v>
      </c>
      <c r="I1399" s="55">
        <v>0</v>
      </c>
      <c r="J1399" s="55">
        <v>0</v>
      </c>
    </row>
    <row r="1400" spans="1:10" ht="15" x14ac:dyDescent="0.4">
      <c r="A1400" s="54">
        <v>46087</v>
      </c>
      <c r="B1400" s="55" t="s">
        <v>57</v>
      </c>
      <c r="C1400" s="55" t="s">
        <v>58</v>
      </c>
      <c r="D1400" s="57">
        <v>18760</v>
      </c>
      <c r="E1400" s="55">
        <v>3908</v>
      </c>
      <c r="F1400" s="55">
        <v>217</v>
      </c>
      <c r="G1400" s="55">
        <v>1</v>
      </c>
      <c r="H1400" s="55">
        <v>0</v>
      </c>
      <c r="I1400" s="55">
        <v>2</v>
      </c>
      <c r="J1400" s="55">
        <v>0</v>
      </c>
    </row>
    <row r="1401" spans="1:10" ht="15" x14ac:dyDescent="0.4">
      <c r="A1401" s="54">
        <v>46087</v>
      </c>
      <c r="B1401" s="55" t="s">
        <v>59</v>
      </c>
      <c r="C1401" s="55" t="s">
        <v>60</v>
      </c>
      <c r="D1401" s="57">
        <v>23178</v>
      </c>
      <c r="E1401" s="55">
        <v>4457</v>
      </c>
      <c r="F1401" s="55">
        <v>32</v>
      </c>
      <c r="G1401" s="55">
        <v>3</v>
      </c>
      <c r="H1401" s="55">
        <v>3</v>
      </c>
      <c r="I1401" s="55">
        <v>0</v>
      </c>
      <c r="J1401" s="55">
        <v>0</v>
      </c>
    </row>
    <row r="1402" spans="1:10" ht="15" x14ac:dyDescent="0.4">
      <c r="A1402" s="54">
        <v>46087</v>
      </c>
      <c r="B1402" s="55" t="s">
        <v>55</v>
      </c>
      <c r="C1402" s="55" t="s">
        <v>56</v>
      </c>
      <c r="D1402" s="57">
        <v>34656</v>
      </c>
      <c r="E1402" s="55">
        <v>24754</v>
      </c>
      <c r="F1402" s="55">
        <v>247</v>
      </c>
      <c r="G1402" s="55">
        <v>8</v>
      </c>
      <c r="H1402" s="55">
        <v>3</v>
      </c>
      <c r="I1402" s="55">
        <v>1</v>
      </c>
      <c r="J1402" s="55">
        <v>0</v>
      </c>
    </row>
    <row r="1403" spans="1:10" ht="15" x14ac:dyDescent="0.4">
      <c r="A1403" s="54">
        <v>46087</v>
      </c>
      <c r="B1403" s="55" t="s">
        <v>62</v>
      </c>
      <c r="C1403" s="55" t="s">
        <v>56</v>
      </c>
      <c r="D1403" s="57">
        <v>9548</v>
      </c>
      <c r="E1403" s="55">
        <v>6820</v>
      </c>
      <c r="F1403" s="55">
        <v>85</v>
      </c>
      <c r="G1403" s="55">
        <v>3</v>
      </c>
      <c r="H1403" s="55">
        <v>2</v>
      </c>
      <c r="I1403" s="55">
        <v>0</v>
      </c>
      <c r="J1403" s="55">
        <v>0</v>
      </c>
    </row>
    <row r="1404" spans="1:10" ht="15" x14ac:dyDescent="0.4">
      <c r="A1404" s="54">
        <v>46088</v>
      </c>
      <c r="B1404" s="55" t="s">
        <v>61</v>
      </c>
      <c r="C1404" s="55" t="s">
        <v>56</v>
      </c>
      <c r="D1404" s="57">
        <v>15159</v>
      </c>
      <c r="E1404" s="55">
        <v>10827</v>
      </c>
      <c r="F1404" s="55">
        <v>113</v>
      </c>
      <c r="G1404" s="55">
        <v>1</v>
      </c>
      <c r="H1404" s="55">
        <v>1</v>
      </c>
      <c r="I1404" s="55">
        <v>0</v>
      </c>
      <c r="J1404" s="55">
        <v>0</v>
      </c>
    </row>
    <row r="1405" spans="1:10" ht="15" x14ac:dyDescent="0.4">
      <c r="A1405" s="54">
        <v>46088</v>
      </c>
      <c r="B1405" s="55" t="s">
        <v>63</v>
      </c>
      <c r="C1405" s="55" t="s">
        <v>58</v>
      </c>
      <c r="D1405" s="57">
        <v>7552</v>
      </c>
      <c r="E1405" s="55">
        <v>1573</v>
      </c>
      <c r="F1405" s="55">
        <v>83</v>
      </c>
      <c r="G1405" s="55">
        <v>3</v>
      </c>
      <c r="H1405" s="55">
        <v>3</v>
      </c>
      <c r="I1405" s="55">
        <v>3</v>
      </c>
      <c r="J1405" s="55">
        <v>0</v>
      </c>
    </row>
    <row r="1406" spans="1:10" ht="15" x14ac:dyDescent="0.4">
      <c r="A1406" s="54">
        <v>46088</v>
      </c>
      <c r="B1406" s="55" t="s">
        <v>57</v>
      </c>
      <c r="C1406" s="55" t="s">
        <v>58</v>
      </c>
      <c r="D1406" s="57">
        <v>19676</v>
      </c>
      <c r="E1406" s="55">
        <v>4099</v>
      </c>
      <c r="F1406" s="55">
        <v>203</v>
      </c>
      <c r="G1406" s="55">
        <v>2</v>
      </c>
      <c r="H1406" s="55">
        <v>0</v>
      </c>
      <c r="I1406" s="55">
        <v>1</v>
      </c>
      <c r="J1406" s="55">
        <v>0</v>
      </c>
    </row>
    <row r="1407" spans="1:10" ht="15" x14ac:dyDescent="0.4">
      <c r="A1407" s="54">
        <v>46088</v>
      </c>
      <c r="B1407" s="55" t="s">
        <v>59</v>
      </c>
      <c r="C1407" s="55" t="s">
        <v>60</v>
      </c>
      <c r="D1407" s="57">
        <v>25540</v>
      </c>
      <c r="E1407" s="55">
        <v>4911</v>
      </c>
      <c r="F1407" s="55">
        <v>28</v>
      </c>
      <c r="G1407" s="55">
        <v>2</v>
      </c>
      <c r="H1407" s="55">
        <v>2</v>
      </c>
      <c r="I1407" s="55">
        <v>0</v>
      </c>
      <c r="J1407" s="55">
        <v>0</v>
      </c>
    </row>
    <row r="1408" spans="1:10" ht="15" x14ac:dyDescent="0.4">
      <c r="A1408" s="54">
        <v>46088</v>
      </c>
      <c r="B1408" s="55" t="s">
        <v>55</v>
      </c>
      <c r="C1408" s="55" t="s">
        <v>56</v>
      </c>
      <c r="D1408" s="57">
        <v>33624</v>
      </c>
      <c r="E1408" s="55">
        <v>24017</v>
      </c>
      <c r="F1408" s="55">
        <v>247</v>
      </c>
      <c r="G1408" s="55">
        <v>4</v>
      </c>
      <c r="H1408" s="55">
        <v>1</v>
      </c>
      <c r="I1408" s="55">
        <v>0</v>
      </c>
      <c r="J1408" s="55">
        <v>0</v>
      </c>
    </row>
    <row r="1409" spans="1:10" ht="15" x14ac:dyDescent="0.4">
      <c r="A1409" s="54">
        <v>46088</v>
      </c>
      <c r="B1409" s="55" t="s">
        <v>62</v>
      </c>
      <c r="C1409" s="55" t="s">
        <v>56</v>
      </c>
      <c r="D1409" s="57">
        <v>9449</v>
      </c>
      <c r="E1409" s="55">
        <v>6749</v>
      </c>
      <c r="F1409" s="55">
        <v>82</v>
      </c>
      <c r="G1409" s="55">
        <v>3</v>
      </c>
      <c r="H1409" s="55">
        <v>2</v>
      </c>
      <c r="I1409" s="55">
        <v>0</v>
      </c>
      <c r="J1409" s="55">
        <v>0</v>
      </c>
    </row>
    <row r="1410" spans="1:10" ht="15" x14ac:dyDescent="0.4">
      <c r="A1410" s="54">
        <v>46089</v>
      </c>
      <c r="B1410" s="55" t="s">
        <v>61</v>
      </c>
      <c r="C1410" s="55" t="s">
        <v>56</v>
      </c>
      <c r="D1410" s="57">
        <v>17139</v>
      </c>
      <c r="E1410" s="55">
        <v>12242</v>
      </c>
      <c r="F1410" s="55">
        <v>140</v>
      </c>
      <c r="G1410" s="55">
        <v>4</v>
      </c>
      <c r="H1410" s="55">
        <v>1</v>
      </c>
      <c r="I1410" s="55">
        <v>0</v>
      </c>
      <c r="J1410" s="55">
        <v>0</v>
      </c>
    </row>
    <row r="1411" spans="1:10" ht="15" x14ac:dyDescent="0.4">
      <c r="A1411" s="54">
        <v>46089</v>
      </c>
      <c r="B1411" s="55" t="s">
        <v>63</v>
      </c>
      <c r="C1411" s="55" t="s">
        <v>58</v>
      </c>
      <c r="D1411" s="57">
        <v>6475</v>
      </c>
      <c r="E1411" s="55">
        <v>1348</v>
      </c>
      <c r="F1411" s="55">
        <v>70</v>
      </c>
      <c r="G1411" s="55">
        <v>2</v>
      </c>
      <c r="H1411" s="55">
        <v>2</v>
      </c>
      <c r="I1411" s="55">
        <v>0</v>
      </c>
      <c r="J1411" s="55">
        <v>1</v>
      </c>
    </row>
    <row r="1412" spans="1:10" ht="15" x14ac:dyDescent="0.4">
      <c r="A1412" s="54">
        <v>46089</v>
      </c>
      <c r="B1412" s="55" t="s">
        <v>57</v>
      </c>
      <c r="C1412" s="55" t="s">
        <v>58</v>
      </c>
      <c r="D1412" s="57">
        <v>18158</v>
      </c>
      <c r="E1412" s="55">
        <v>3782</v>
      </c>
      <c r="F1412" s="55">
        <v>208</v>
      </c>
      <c r="G1412" s="55">
        <v>1</v>
      </c>
      <c r="H1412" s="55">
        <v>1</v>
      </c>
      <c r="I1412" s="55">
        <v>0</v>
      </c>
      <c r="J1412" s="55">
        <v>0</v>
      </c>
    </row>
    <row r="1413" spans="1:10" ht="15" x14ac:dyDescent="0.4">
      <c r="A1413" s="54">
        <v>46089</v>
      </c>
      <c r="B1413" s="55" t="s">
        <v>59</v>
      </c>
      <c r="C1413" s="55" t="s">
        <v>60</v>
      </c>
      <c r="D1413" s="57">
        <v>26523</v>
      </c>
      <c r="E1413" s="55">
        <v>5100</v>
      </c>
      <c r="F1413" s="55">
        <v>35</v>
      </c>
      <c r="G1413" s="55">
        <v>2</v>
      </c>
      <c r="H1413" s="55">
        <v>2</v>
      </c>
      <c r="I1413" s="55">
        <v>2</v>
      </c>
      <c r="J1413" s="55">
        <v>0</v>
      </c>
    </row>
    <row r="1414" spans="1:10" ht="15" x14ac:dyDescent="0.4">
      <c r="A1414" s="54">
        <v>46089</v>
      </c>
      <c r="B1414" s="55" t="s">
        <v>55</v>
      </c>
      <c r="C1414" s="55" t="s">
        <v>56</v>
      </c>
      <c r="D1414" s="57">
        <v>35378</v>
      </c>
      <c r="E1414" s="55">
        <v>25270</v>
      </c>
      <c r="F1414" s="55">
        <v>308</v>
      </c>
      <c r="G1414" s="55">
        <v>8</v>
      </c>
      <c r="H1414" s="55">
        <v>3</v>
      </c>
      <c r="I1414" s="55">
        <v>1</v>
      </c>
      <c r="J1414" s="55">
        <v>0</v>
      </c>
    </row>
    <row r="1415" spans="1:10" ht="15" x14ac:dyDescent="0.4">
      <c r="A1415" s="54">
        <v>46089</v>
      </c>
      <c r="B1415" s="55" t="s">
        <v>62</v>
      </c>
      <c r="C1415" s="55" t="s">
        <v>56</v>
      </c>
      <c r="D1415" s="57">
        <v>9397</v>
      </c>
      <c r="E1415" s="55">
        <v>6712</v>
      </c>
      <c r="F1415" s="55">
        <v>80</v>
      </c>
      <c r="G1415" s="55">
        <v>2</v>
      </c>
      <c r="H1415" s="55">
        <v>1</v>
      </c>
      <c r="I1415" s="55">
        <v>0</v>
      </c>
      <c r="J1415" s="55">
        <v>0</v>
      </c>
    </row>
    <row r="1416" spans="1:10" ht="15" x14ac:dyDescent="0.4">
      <c r="A1416" s="54">
        <v>46090</v>
      </c>
      <c r="B1416" s="55" t="s">
        <v>61</v>
      </c>
      <c r="C1416" s="55" t="s">
        <v>56</v>
      </c>
      <c r="D1416" s="57">
        <v>15229</v>
      </c>
      <c r="E1416" s="55">
        <v>10877</v>
      </c>
      <c r="F1416" s="55">
        <v>109</v>
      </c>
      <c r="G1416" s="55">
        <v>4</v>
      </c>
      <c r="H1416" s="55">
        <v>2</v>
      </c>
      <c r="I1416" s="55">
        <v>1</v>
      </c>
      <c r="J1416" s="55">
        <v>0</v>
      </c>
    </row>
    <row r="1417" spans="1:10" ht="15" x14ac:dyDescent="0.4">
      <c r="A1417" s="54">
        <v>46090</v>
      </c>
      <c r="B1417" s="55" t="s">
        <v>63</v>
      </c>
      <c r="C1417" s="55" t="s">
        <v>58</v>
      </c>
      <c r="D1417" s="57">
        <v>7343</v>
      </c>
      <c r="E1417" s="55">
        <v>1529</v>
      </c>
      <c r="F1417" s="55">
        <v>68</v>
      </c>
      <c r="G1417" s="55">
        <v>4</v>
      </c>
      <c r="H1417" s="55">
        <v>1</v>
      </c>
      <c r="I1417" s="55">
        <v>1</v>
      </c>
      <c r="J1417" s="55">
        <v>0</v>
      </c>
    </row>
    <row r="1418" spans="1:10" ht="15" x14ac:dyDescent="0.4">
      <c r="A1418" s="54">
        <v>46090</v>
      </c>
      <c r="B1418" s="55" t="s">
        <v>57</v>
      </c>
      <c r="C1418" s="55" t="s">
        <v>58</v>
      </c>
      <c r="D1418" s="57">
        <v>20335</v>
      </c>
      <c r="E1418" s="55">
        <v>4236</v>
      </c>
      <c r="F1418" s="55">
        <v>237</v>
      </c>
      <c r="G1418" s="55">
        <v>1</v>
      </c>
      <c r="H1418" s="55">
        <v>0</v>
      </c>
      <c r="I1418" s="55">
        <v>0</v>
      </c>
      <c r="J1418" s="55">
        <v>0</v>
      </c>
    </row>
    <row r="1419" spans="1:10" ht="15" x14ac:dyDescent="0.4">
      <c r="A1419" s="54">
        <v>46090</v>
      </c>
      <c r="B1419" s="55" t="s">
        <v>59</v>
      </c>
      <c r="C1419" s="55" t="s">
        <v>60</v>
      </c>
      <c r="D1419" s="57">
        <v>26105</v>
      </c>
      <c r="E1419" s="55">
        <v>5020</v>
      </c>
      <c r="F1419" s="55">
        <v>29</v>
      </c>
      <c r="G1419" s="55">
        <v>2</v>
      </c>
      <c r="H1419" s="55">
        <v>0</v>
      </c>
      <c r="I1419" s="55">
        <v>0</v>
      </c>
      <c r="J1419" s="55">
        <v>0</v>
      </c>
    </row>
    <row r="1420" spans="1:10" ht="15" x14ac:dyDescent="0.4">
      <c r="A1420" s="54">
        <v>46090</v>
      </c>
      <c r="B1420" s="55" t="s">
        <v>55</v>
      </c>
      <c r="C1420" s="55" t="s">
        <v>56</v>
      </c>
      <c r="D1420" s="57">
        <v>32706</v>
      </c>
      <c r="E1420" s="55">
        <v>23361</v>
      </c>
      <c r="F1420" s="55">
        <v>283</v>
      </c>
      <c r="G1420" s="55">
        <v>9</v>
      </c>
      <c r="H1420" s="55">
        <v>3</v>
      </c>
      <c r="I1420" s="55">
        <v>1</v>
      </c>
      <c r="J1420" s="55">
        <v>0</v>
      </c>
    </row>
    <row r="1421" spans="1:10" ht="15" x14ac:dyDescent="0.4">
      <c r="A1421" s="54">
        <v>46090</v>
      </c>
      <c r="B1421" s="55" t="s">
        <v>62</v>
      </c>
      <c r="C1421" s="55" t="s">
        <v>56</v>
      </c>
      <c r="D1421" s="57">
        <v>9537</v>
      </c>
      <c r="E1421" s="55">
        <v>6812</v>
      </c>
      <c r="F1421" s="55">
        <v>79</v>
      </c>
      <c r="G1421" s="55">
        <v>2</v>
      </c>
      <c r="H1421" s="55">
        <v>1</v>
      </c>
      <c r="I1421" s="55">
        <v>0</v>
      </c>
      <c r="J1421" s="55">
        <v>0</v>
      </c>
    </row>
    <row r="1422" spans="1:10" ht="15" x14ac:dyDescent="0.4">
      <c r="A1422" s="54">
        <v>46091</v>
      </c>
      <c r="B1422" s="55" t="s">
        <v>61</v>
      </c>
      <c r="C1422" s="55" t="s">
        <v>56</v>
      </c>
      <c r="D1422" s="57">
        <v>15887</v>
      </c>
      <c r="E1422" s="55">
        <v>11347</v>
      </c>
      <c r="F1422" s="55">
        <v>109</v>
      </c>
      <c r="G1422" s="55">
        <v>3</v>
      </c>
      <c r="H1422" s="55">
        <v>0</v>
      </c>
      <c r="I1422" s="55">
        <v>1</v>
      </c>
      <c r="J1422" s="55">
        <v>2</v>
      </c>
    </row>
    <row r="1423" spans="1:10" ht="15" x14ac:dyDescent="0.4">
      <c r="A1423" s="54">
        <v>46091</v>
      </c>
      <c r="B1423" s="55" t="s">
        <v>63</v>
      </c>
      <c r="C1423" s="55" t="s">
        <v>58</v>
      </c>
      <c r="D1423" s="57">
        <v>7329</v>
      </c>
      <c r="E1423" s="55">
        <v>1526</v>
      </c>
      <c r="F1423" s="55">
        <v>85</v>
      </c>
      <c r="G1423" s="55">
        <v>2</v>
      </c>
      <c r="H1423" s="55">
        <v>2</v>
      </c>
      <c r="I1423" s="55">
        <v>2</v>
      </c>
      <c r="J1423" s="55">
        <v>1</v>
      </c>
    </row>
    <row r="1424" spans="1:10" ht="15" x14ac:dyDescent="0.4">
      <c r="A1424" s="54">
        <v>46091</v>
      </c>
      <c r="B1424" s="55" t="s">
        <v>57</v>
      </c>
      <c r="C1424" s="55" t="s">
        <v>58</v>
      </c>
      <c r="D1424" s="57">
        <v>20860</v>
      </c>
      <c r="E1424" s="55">
        <v>4345</v>
      </c>
      <c r="F1424" s="55">
        <v>254</v>
      </c>
      <c r="G1424" s="55">
        <v>3</v>
      </c>
      <c r="H1424" s="55">
        <v>0</v>
      </c>
      <c r="I1424" s="55">
        <v>0</v>
      </c>
      <c r="J1424" s="55">
        <v>0</v>
      </c>
    </row>
    <row r="1425" spans="1:10" ht="15" x14ac:dyDescent="0.4">
      <c r="A1425" s="54">
        <v>46091</v>
      </c>
      <c r="B1425" s="55" t="s">
        <v>59</v>
      </c>
      <c r="C1425" s="55" t="s">
        <v>60</v>
      </c>
      <c r="D1425" s="57">
        <v>25042</v>
      </c>
      <c r="E1425" s="55">
        <v>4815</v>
      </c>
      <c r="F1425" s="55">
        <v>35</v>
      </c>
      <c r="G1425" s="55">
        <v>1</v>
      </c>
      <c r="H1425" s="55">
        <v>0</v>
      </c>
      <c r="I1425" s="55">
        <v>0</v>
      </c>
      <c r="J1425" s="55">
        <v>0</v>
      </c>
    </row>
    <row r="1426" spans="1:10" ht="15" x14ac:dyDescent="0.4">
      <c r="A1426" s="54">
        <v>46091</v>
      </c>
      <c r="B1426" s="55" t="s">
        <v>55</v>
      </c>
      <c r="C1426" s="55" t="s">
        <v>56</v>
      </c>
      <c r="D1426" s="57">
        <v>35080</v>
      </c>
      <c r="E1426" s="55">
        <v>25057</v>
      </c>
      <c r="F1426" s="55">
        <v>276</v>
      </c>
      <c r="G1426" s="55">
        <v>10</v>
      </c>
      <c r="H1426" s="55">
        <v>0</v>
      </c>
      <c r="I1426" s="55">
        <v>0</v>
      </c>
      <c r="J1426" s="55">
        <v>0</v>
      </c>
    </row>
    <row r="1427" spans="1:10" ht="15" x14ac:dyDescent="0.4">
      <c r="A1427" s="54">
        <v>46091</v>
      </c>
      <c r="B1427" s="55" t="s">
        <v>62</v>
      </c>
      <c r="C1427" s="55" t="s">
        <v>56</v>
      </c>
      <c r="D1427" s="57">
        <v>8865</v>
      </c>
      <c r="E1427" s="55">
        <v>6332</v>
      </c>
      <c r="F1427" s="55">
        <v>74</v>
      </c>
      <c r="G1427" s="55">
        <v>1</v>
      </c>
      <c r="H1427" s="55">
        <v>0</v>
      </c>
      <c r="I1427" s="55">
        <v>1</v>
      </c>
      <c r="J1427" s="55">
        <v>0</v>
      </c>
    </row>
    <row r="1428" spans="1:10" ht="15" x14ac:dyDescent="0.4">
      <c r="A1428" s="54">
        <v>46092</v>
      </c>
      <c r="B1428" s="55" t="s">
        <v>61</v>
      </c>
      <c r="C1428" s="55" t="s">
        <v>56</v>
      </c>
      <c r="D1428" s="57">
        <v>17509</v>
      </c>
      <c r="E1428" s="55">
        <v>12506</v>
      </c>
      <c r="F1428" s="55">
        <v>154</v>
      </c>
      <c r="G1428" s="55">
        <v>3</v>
      </c>
      <c r="H1428" s="55">
        <v>0</v>
      </c>
      <c r="I1428" s="55">
        <v>0</v>
      </c>
      <c r="J1428" s="55">
        <v>0</v>
      </c>
    </row>
    <row r="1429" spans="1:10" ht="15" x14ac:dyDescent="0.4">
      <c r="A1429" s="54">
        <v>46092</v>
      </c>
      <c r="B1429" s="55" t="s">
        <v>63</v>
      </c>
      <c r="C1429" s="55" t="s">
        <v>58</v>
      </c>
      <c r="D1429" s="57">
        <v>7260</v>
      </c>
      <c r="E1429" s="55">
        <v>1512</v>
      </c>
      <c r="F1429" s="55">
        <v>73</v>
      </c>
      <c r="G1429" s="55">
        <v>3</v>
      </c>
      <c r="H1429" s="55">
        <v>2</v>
      </c>
      <c r="I1429" s="55">
        <v>1</v>
      </c>
      <c r="J1429" s="55">
        <v>1</v>
      </c>
    </row>
    <row r="1430" spans="1:10" ht="15" x14ac:dyDescent="0.4">
      <c r="A1430" s="54">
        <v>46092</v>
      </c>
      <c r="B1430" s="55" t="s">
        <v>57</v>
      </c>
      <c r="C1430" s="55" t="s">
        <v>58</v>
      </c>
      <c r="D1430" s="57">
        <v>19577</v>
      </c>
      <c r="E1430" s="55">
        <v>4078</v>
      </c>
      <c r="F1430" s="55">
        <v>189</v>
      </c>
      <c r="G1430" s="55">
        <v>4</v>
      </c>
      <c r="H1430" s="55">
        <v>2</v>
      </c>
      <c r="I1430" s="55">
        <v>0</v>
      </c>
      <c r="J1430" s="55">
        <v>0</v>
      </c>
    </row>
    <row r="1431" spans="1:10" ht="15" x14ac:dyDescent="0.4">
      <c r="A1431" s="54">
        <v>46092</v>
      </c>
      <c r="B1431" s="55" t="s">
        <v>59</v>
      </c>
      <c r="C1431" s="55" t="s">
        <v>60</v>
      </c>
      <c r="D1431" s="57">
        <v>23217</v>
      </c>
      <c r="E1431" s="55">
        <v>4464</v>
      </c>
      <c r="F1431" s="55">
        <v>33</v>
      </c>
      <c r="G1431" s="55">
        <v>4</v>
      </c>
      <c r="H1431" s="55">
        <v>0</v>
      </c>
      <c r="I1431" s="55">
        <v>2</v>
      </c>
      <c r="J1431" s="55">
        <v>0</v>
      </c>
    </row>
    <row r="1432" spans="1:10" ht="15" x14ac:dyDescent="0.4">
      <c r="A1432" s="54">
        <v>46092</v>
      </c>
      <c r="B1432" s="55" t="s">
        <v>55</v>
      </c>
      <c r="C1432" s="55" t="s">
        <v>56</v>
      </c>
      <c r="D1432" s="57">
        <v>31047</v>
      </c>
      <c r="E1432" s="55">
        <v>22176</v>
      </c>
      <c r="F1432" s="55">
        <v>216</v>
      </c>
      <c r="G1432" s="55">
        <v>6</v>
      </c>
      <c r="H1432" s="55">
        <v>1</v>
      </c>
      <c r="I1432" s="55">
        <v>2</v>
      </c>
      <c r="J1432" s="55">
        <v>1</v>
      </c>
    </row>
    <row r="1433" spans="1:10" ht="15" x14ac:dyDescent="0.4">
      <c r="A1433" s="54">
        <v>46092</v>
      </c>
      <c r="B1433" s="55" t="s">
        <v>62</v>
      </c>
      <c r="C1433" s="55" t="s">
        <v>56</v>
      </c>
      <c r="D1433" s="57">
        <v>9696</v>
      </c>
      <c r="E1433" s="55">
        <v>6925</v>
      </c>
      <c r="F1433" s="55">
        <v>75</v>
      </c>
      <c r="G1433" s="55">
        <v>4</v>
      </c>
      <c r="H1433" s="55">
        <v>1</v>
      </c>
      <c r="I1433" s="55">
        <v>1</v>
      </c>
      <c r="J1433" s="55">
        <v>0</v>
      </c>
    </row>
    <row r="1434" spans="1:10" ht="15" x14ac:dyDescent="0.4">
      <c r="A1434" s="54">
        <v>46093</v>
      </c>
      <c r="B1434" s="55" t="s">
        <v>61</v>
      </c>
      <c r="C1434" s="55" t="s">
        <v>56</v>
      </c>
      <c r="D1434" s="57">
        <v>17559</v>
      </c>
      <c r="E1434" s="55">
        <v>12542</v>
      </c>
      <c r="F1434" s="55">
        <v>135</v>
      </c>
      <c r="G1434" s="55">
        <v>1</v>
      </c>
      <c r="H1434" s="55">
        <v>1</v>
      </c>
      <c r="I1434" s="55">
        <v>0</v>
      </c>
      <c r="J1434" s="55">
        <v>0</v>
      </c>
    </row>
    <row r="1435" spans="1:10" ht="15" x14ac:dyDescent="0.4">
      <c r="A1435" s="54">
        <v>46093</v>
      </c>
      <c r="B1435" s="55" t="s">
        <v>63</v>
      </c>
      <c r="C1435" s="55" t="s">
        <v>58</v>
      </c>
      <c r="D1435" s="57">
        <v>6735</v>
      </c>
      <c r="E1435" s="55">
        <v>1403</v>
      </c>
      <c r="F1435" s="55">
        <v>65</v>
      </c>
      <c r="G1435" s="55">
        <v>0</v>
      </c>
      <c r="H1435" s="55">
        <v>0</v>
      </c>
      <c r="I1435" s="55">
        <v>1</v>
      </c>
      <c r="J1435" s="55">
        <v>1</v>
      </c>
    </row>
    <row r="1436" spans="1:10" ht="15" x14ac:dyDescent="0.4">
      <c r="A1436" s="54">
        <v>46093</v>
      </c>
      <c r="B1436" s="55" t="s">
        <v>57</v>
      </c>
      <c r="C1436" s="55" t="s">
        <v>58</v>
      </c>
      <c r="D1436" s="57">
        <v>20643</v>
      </c>
      <c r="E1436" s="55">
        <v>4300</v>
      </c>
      <c r="F1436" s="55">
        <v>248</v>
      </c>
      <c r="G1436" s="55">
        <v>5</v>
      </c>
      <c r="H1436" s="55">
        <v>0</v>
      </c>
      <c r="I1436" s="55">
        <v>0</v>
      </c>
      <c r="J1436" s="55">
        <v>0</v>
      </c>
    </row>
    <row r="1437" spans="1:10" ht="15" x14ac:dyDescent="0.4">
      <c r="A1437" s="54">
        <v>46093</v>
      </c>
      <c r="B1437" s="55" t="s">
        <v>59</v>
      </c>
      <c r="C1437" s="55" t="s">
        <v>60</v>
      </c>
      <c r="D1437" s="57">
        <v>27763</v>
      </c>
      <c r="E1437" s="55">
        <v>5339</v>
      </c>
      <c r="F1437" s="55">
        <v>31</v>
      </c>
      <c r="G1437" s="55">
        <v>3</v>
      </c>
      <c r="H1437" s="55">
        <v>1</v>
      </c>
      <c r="I1437" s="55">
        <v>0</v>
      </c>
      <c r="J1437" s="55">
        <v>0</v>
      </c>
    </row>
    <row r="1438" spans="1:10" ht="15" x14ac:dyDescent="0.4">
      <c r="A1438" s="54">
        <v>46093</v>
      </c>
      <c r="B1438" s="55" t="s">
        <v>55</v>
      </c>
      <c r="C1438" s="55" t="s">
        <v>56</v>
      </c>
      <c r="D1438" s="57">
        <v>35426</v>
      </c>
      <c r="E1438" s="55">
        <v>25304</v>
      </c>
      <c r="F1438" s="55">
        <v>294</v>
      </c>
      <c r="G1438" s="55">
        <v>10</v>
      </c>
      <c r="H1438" s="55">
        <v>1</v>
      </c>
      <c r="I1438" s="55">
        <v>0</v>
      </c>
      <c r="J1438" s="55">
        <v>0</v>
      </c>
    </row>
    <row r="1439" spans="1:10" ht="15" x14ac:dyDescent="0.4">
      <c r="A1439" s="54">
        <v>46093</v>
      </c>
      <c r="B1439" s="55" t="s">
        <v>62</v>
      </c>
      <c r="C1439" s="55" t="s">
        <v>56</v>
      </c>
      <c r="D1439" s="57">
        <v>8987</v>
      </c>
      <c r="E1439" s="55">
        <v>6419</v>
      </c>
      <c r="F1439" s="55">
        <v>72</v>
      </c>
      <c r="G1439" s="55">
        <v>3</v>
      </c>
      <c r="H1439" s="55">
        <v>0</v>
      </c>
      <c r="I1439" s="55">
        <v>0</v>
      </c>
      <c r="J1439" s="55">
        <v>0</v>
      </c>
    </row>
    <row r="1440" spans="1:10" ht="15" x14ac:dyDescent="0.4">
      <c r="A1440" s="54">
        <v>46094</v>
      </c>
      <c r="B1440" s="55" t="s">
        <v>61</v>
      </c>
      <c r="C1440" s="55" t="s">
        <v>56</v>
      </c>
      <c r="D1440" s="57">
        <v>16111</v>
      </c>
      <c r="E1440" s="55">
        <v>11507</v>
      </c>
      <c r="F1440" s="55">
        <v>137</v>
      </c>
      <c r="G1440" s="55">
        <v>3</v>
      </c>
      <c r="H1440" s="55">
        <v>0</v>
      </c>
      <c r="I1440" s="55">
        <v>0</v>
      </c>
      <c r="J1440" s="55">
        <v>0</v>
      </c>
    </row>
    <row r="1441" spans="1:10" ht="15" x14ac:dyDescent="0.4">
      <c r="A1441" s="54">
        <v>46094</v>
      </c>
      <c r="B1441" s="55" t="s">
        <v>63</v>
      </c>
      <c r="C1441" s="55" t="s">
        <v>58</v>
      </c>
      <c r="D1441" s="57">
        <v>6730</v>
      </c>
      <c r="E1441" s="55">
        <v>1402</v>
      </c>
      <c r="F1441" s="55">
        <v>74</v>
      </c>
      <c r="G1441" s="55">
        <v>3</v>
      </c>
      <c r="H1441" s="55">
        <v>2</v>
      </c>
      <c r="I1441" s="55">
        <v>0</v>
      </c>
      <c r="J1441" s="55">
        <v>0</v>
      </c>
    </row>
    <row r="1442" spans="1:10" ht="15" x14ac:dyDescent="0.4">
      <c r="A1442" s="54">
        <v>46094</v>
      </c>
      <c r="B1442" s="55" t="s">
        <v>57</v>
      </c>
      <c r="C1442" s="55" t="s">
        <v>58</v>
      </c>
      <c r="D1442" s="57">
        <v>20519</v>
      </c>
      <c r="E1442" s="55">
        <v>4274</v>
      </c>
      <c r="F1442" s="55">
        <v>245</v>
      </c>
      <c r="G1442" s="55">
        <v>4</v>
      </c>
      <c r="H1442" s="55">
        <v>1</v>
      </c>
      <c r="I1442" s="55">
        <v>0</v>
      </c>
      <c r="J1442" s="55">
        <v>0</v>
      </c>
    </row>
    <row r="1443" spans="1:10" ht="15" x14ac:dyDescent="0.4">
      <c r="A1443" s="54">
        <v>46094</v>
      </c>
      <c r="B1443" s="55" t="s">
        <v>59</v>
      </c>
      <c r="C1443" s="55" t="s">
        <v>60</v>
      </c>
      <c r="D1443" s="57">
        <v>24211</v>
      </c>
      <c r="E1443" s="55">
        <v>4655</v>
      </c>
      <c r="F1443" s="55">
        <v>25</v>
      </c>
      <c r="G1443" s="55">
        <v>1</v>
      </c>
      <c r="H1443" s="55">
        <v>2</v>
      </c>
      <c r="I1443" s="55">
        <v>0</v>
      </c>
      <c r="J1443" s="55">
        <v>1</v>
      </c>
    </row>
    <row r="1444" spans="1:10" ht="15" x14ac:dyDescent="0.4">
      <c r="A1444" s="54">
        <v>46094</v>
      </c>
      <c r="B1444" s="55" t="s">
        <v>55</v>
      </c>
      <c r="C1444" s="55" t="s">
        <v>56</v>
      </c>
      <c r="D1444" s="57">
        <v>33096</v>
      </c>
      <c r="E1444" s="55">
        <v>23639</v>
      </c>
      <c r="F1444" s="55">
        <v>227</v>
      </c>
      <c r="G1444" s="55">
        <v>9</v>
      </c>
      <c r="H1444" s="55">
        <v>4</v>
      </c>
      <c r="I1444" s="55">
        <v>0</v>
      </c>
      <c r="J1444" s="55">
        <v>0</v>
      </c>
    </row>
    <row r="1445" spans="1:10" ht="15" x14ac:dyDescent="0.4">
      <c r="A1445" s="54">
        <v>46094</v>
      </c>
      <c r="B1445" s="55" t="s">
        <v>62</v>
      </c>
      <c r="C1445" s="55" t="s">
        <v>56</v>
      </c>
      <c r="D1445" s="57">
        <v>10100</v>
      </c>
      <c r="E1445" s="55">
        <v>7214</v>
      </c>
      <c r="F1445" s="55">
        <v>84</v>
      </c>
      <c r="G1445" s="55">
        <v>4</v>
      </c>
      <c r="H1445" s="55">
        <v>2</v>
      </c>
      <c r="I1445" s="55">
        <v>0</v>
      </c>
      <c r="J1445" s="55">
        <v>0</v>
      </c>
    </row>
    <row r="1446" spans="1:10" ht="15" x14ac:dyDescent="0.4">
      <c r="A1446" s="54">
        <v>46095</v>
      </c>
      <c r="B1446" s="55" t="s">
        <v>61</v>
      </c>
      <c r="C1446" s="55" t="s">
        <v>56</v>
      </c>
      <c r="D1446" s="57">
        <v>17050</v>
      </c>
      <c r="E1446" s="55">
        <v>12178</v>
      </c>
      <c r="F1446" s="55">
        <v>114</v>
      </c>
      <c r="G1446" s="55">
        <v>1</v>
      </c>
      <c r="H1446" s="55">
        <v>0</v>
      </c>
      <c r="I1446" s="55">
        <v>0</v>
      </c>
      <c r="J1446" s="55">
        <v>0</v>
      </c>
    </row>
    <row r="1447" spans="1:10" ht="15" x14ac:dyDescent="0.4">
      <c r="A1447" s="54">
        <v>46095</v>
      </c>
      <c r="B1447" s="55" t="s">
        <v>63</v>
      </c>
      <c r="C1447" s="55" t="s">
        <v>58</v>
      </c>
      <c r="D1447" s="57">
        <v>6404</v>
      </c>
      <c r="E1447" s="55">
        <v>1334</v>
      </c>
      <c r="F1447" s="55">
        <v>79</v>
      </c>
      <c r="G1447" s="55">
        <v>1</v>
      </c>
      <c r="H1447" s="55">
        <v>2</v>
      </c>
      <c r="I1447" s="55">
        <v>0</v>
      </c>
      <c r="J1447" s="55">
        <v>0</v>
      </c>
    </row>
    <row r="1448" spans="1:10" ht="15" x14ac:dyDescent="0.4">
      <c r="A1448" s="54">
        <v>46095</v>
      </c>
      <c r="B1448" s="55" t="s">
        <v>57</v>
      </c>
      <c r="C1448" s="55" t="s">
        <v>58</v>
      </c>
      <c r="D1448" s="57">
        <v>18189</v>
      </c>
      <c r="E1448" s="55">
        <v>3789</v>
      </c>
      <c r="F1448" s="55">
        <v>192</v>
      </c>
      <c r="G1448" s="55">
        <v>1</v>
      </c>
      <c r="H1448" s="55">
        <v>0</v>
      </c>
      <c r="I1448" s="55">
        <v>1</v>
      </c>
      <c r="J1448" s="55">
        <v>0</v>
      </c>
    </row>
    <row r="1449" spans="1:10" ht="15" x14ac:dyDescent="0.4">
      <c r="A1449" s="54">
        <v>46095</v>
      </c>
      <c r="B1449" s="55" t="s">
        <v>59</v>
      </c>
      <c r="C1449" s="55" t="s">
        <v>60</v>
      </c>
      <c r="D1449" s="57">
        <v>27814</v>
      </c>
      <c r="E1449" s="55">
        <v>5348</v>
      </c>
      <c r="F1449" s="55">
        <v>34</v>
      </c>
      <c r="G1449" s="55">
        <v>1</v>
      </c>
      <c r="H1449" s="55">
        <v>0</v>
      </c>
      <c r="I1449" s="55">
        <v>1</v>
      </c>
      <c r="J1449" s="55">
        <v>0</v>
      </c>
    </row>
    <row r="1450" spans="1:10" ht="15" x14ac:dyDescent="0.4">
      <c r="A1450" s="54">
        <v>46095</v>
      </c>
      <c r="B1450" s="55" t="s">
        <v>55</v>
      </c>
      <c r="C1450" s="55" t="s">
        <v>56</v>
      </c>
      <c r="D1450" s="57">
        <v>30601</v>
      </c>
      <c r="E1450" s="55">
        <v>21857</v>
      </c>
      <c r="F1450" s="55">
        <v>227</v>
      </c>
      <c r="G1450" s="55">
        <v>2</v>
      </c>
      <c r="H1450" s="55">
        <v>1</v>
      </c>
      <c r="I1450" s="55">
        <v>0</v>
      </c>
      <c r="J1450" s="55">
        <v>0</v>
      </c>
    </row>
    <row r="1451" spans="1:10" ht="15" x14ac:dyDescent="0.4">
      <c r="A1451" s="54">
        <v>46095</v>
      </c>
      <c r="B1451" s="55" t="s">
        <v>62</v>
      </c>
      <c r="C1451" s="55" t="s">
        <v>56</v>
      </c>
      <c r="D1451" s="57">
        <v>9622</v>
      </c>
      <c r="E1451" s="55">
        <v>6872</v>
      </c>
      <c r="F1451" s="55">
        <v>64</v>
      </c>
      <c r="G1451" s="55">
        <v>3</v>
      </c>
      <c r="H1451" s="55">
        <v>2</v>
      </c>
      <c r="I1451" s="55">
        <v>0</v>
      </c>
      <c r="J1451" s="55">
        <v>0</v>
      </c>
    </row>
    <row r="1452" spans="1:10" ht="15" x14ac:dyDescent="0.4">
      <c r="A1452" s="54">
        <v>46096</v>
      </c>
      <c r="B1452" s="55" t="s">
        <v>61</v>
      </c>
      <c r="C1452" s="55" t="s">
        <v>56</v>
      </c>
      <c r="D1452" s="57">
        <v>0</v>
      </c>
      <c r="E1452" s="55">
        <v>0</v>
      </c>
      <c r="F1452" s="55">
        <v>0</v>
      </c>
      <c r="G1452" s="55">
        <v>0</v>
      </c>
      <c r="H1452" s="55">
        <v>0</v>
      </c>
      <c r="I1452" s="55">
        <v>0</v>
      </c>
      <c r="J1452" s="55">
        <v>1</v>
      </c>
    </row>
    <row r="1453" spans="1:10" ht="15" x14ac:dyDescent="0.4">
      <c r="A1453" s="54">
        <v>46096</v>
      </c>
      <c r="B1453" s="55" t="s">
        <v>63</v>
      </c>
      <c r="C1453" s="55" t="s">
        <v>58</v>
      </c>
      <c r="D1453" s="57">
        <v>6829</v>
      </c>
      <c r="E1453" s="55">
        <v>1422</v>
      </c>
      <c r="F1453" s="55">
        <v>70</v>
      </c>
      <c r="G1453" s="55">
        <v>1</v>
      </c>
      <c r="H1453" s="55">
        <v>1</v>
      </c>
      <c r="I1453" s="55">
        <v>1</v>
      </c>
      <c r="J1453" s="55">
        <v>0</v>
      </c>
    </row>
    <row r="1454" spans="1:10" ht="15" x14ac:dyDescent="0.4">
      <c r="A1454" s="54">
        <v>46096</v>
      </c>
      <c r="B1454" s="55" t="s">
        <v>57</v>
      </c>
      <c r="C1454" s="55" t="s">
        <v>58</v>
      </c>
      <c r="D1454" s="57">
        <v>18696</v>
      </c>
      <c r="E1454" s="55">
        <v>3895</v>
      </c>
      <c r="F1454" s="55">
        <v>203</v>
      </c>
      <c r="G1454" s="55">
        <v>2</v>
      </c>
      <c r="H1454" s="55">
        <v>2</v>
      </c>
      <c r="I1454" s="55">
        <v>0</v>
      </c>
      <c r="J1454" s="55">
        <v>0</v>
      </c>
    </row>
    <row r="1455" spans="1:10" ht="15" x14ac:dyDescent="0.4">
      <c r="A1455" s="54">
        <v>46096</v>
      </c>
      <c r="B1455" s="55" t="s">
        <v>59</v>
      </c>
      <c r="C1455" s="55" t="s">
        <v>60</v>
      </c>
      <c r="D1455" s="57">
        <v>26592</v>
      </c>
      <c r="E1455" s="55">
        <v>5113</v>
      </c>
      <c r="F1455" s="55">
        <v>31</v>
      </c>
      <c r="G1455" s="55">
        <v>0</v>
      </c>
      <c r="H1455" s="55">
        <v>0</v>
      </c>
      <c r="I1455" s="55">
        <v>0</v>
      </c>
      <c r="J1455" s="55">
        <v>1</v>
      </c>
    </row>
    <row r="1456" spans="1:10" ht="15" x14ac:dyDescent="0.4">
      <c r="A1456" s="54">
        <v>46096</v>
      </c>
      <c r="B1456" s="55" t="s">
        <v>55</v>
      </c>
      <c r="C1456" s="55" t="s">
        <v>56</v>
      </c>
      <c r="D1456" s="57">
        <v>35625</v>
      </c>
      <c r="E1456" s="55">
        <v>25446</v>
      </c>
      <c r="F1456" s="55">
        <v>273</v>
      </c>
      <c r="G1456" s="55">
        <v>4</v>
      </c>
      <c r="H1456" s="55">
        <v>1</v>
      </c>
      <c r="I1456" s="55">
        <v>0</v>
      </c>
      <c r="J1456" s="55">
        <v>1</v>
      </c>
    </row>
    <row r="1457" spans="1:10" ht="15" x14ac:dyDescent="0.4">
      <c r="A1457" s="54">
        <v>46096</v>
      </c>
      <c r="B1457" s="55" t="s">
        <v>62</v>
      </c>
      <c r="C1457" s="55" t="s">
        <v>56</v>
      </c>
      <c r="D1457" s="57">
        <v>8474</v>
      </c>
      <c r="E1457" s="55">
        <v>6052</v>
      </c>
      <c r="F1457" s="55">
        <v>65</v>
      </c>
      <c r="G1457" s="55">
        <v>3</v>
      </c>
      <c r="H1457" s="55">
        <v>1</v>
      </c>
      <c r="I1457" s="55">
        <v>0</v>
      </c>
      <c r="J1457" s="55">
        <v>0</v>
      </c>
    </row>
    <row r="1458" spans="1:10" ht="15" x14ac:dyDescent="0.4">
      <c r="A1458" s="54">
        <v>46097</v>
      </c>
      <c r="B1458" s="55" t="s">
        <v>61</v>
      </c>
      <c r="C1458" s="55" t="s">
        <v>56</v>
      </c>
      <c r="D1458" s="57">
        <v>0</v>
      </c>
      <c r="E1458" s="55">
        <v>0</v>
      </c>
      <c r="F1458" s="55">
        <v>0</v>
      </c>
      <c r="G1458" s="55">
        <v>0</v>
      </c>
      <c r="H1458" s="55">
        <v>0</v>
      </c>
      <c r="I1458" s="55">
        <v>0</v>
      </c>
      <c r="J1458" s="55">
        <v>1</v>
      </c>
    </row>
    <row r="1459" spans="1:10" ht="15" x14ac:dyDescent="0.4">
      <c r="A1459" s="54">
        <v>46097</v>
      </c>
      <c r="B1459" s="55" t="s">
        <v>63</v>
      </c>
      <c r="C1459" s="55" t="s">
        <v>58</v>
      </c>
      <c r="D1459" s="57">
        <v>6247</v>
      </c>
      <c r="E1459" s="55">
        <v>1301</v>
      </c>
      <c r="F1459" s="55">
        <v>59</v>
      </c>
      <c r="G1459" s="55">
        <v>3</v>
      </c>
      <c r="H1459" s="55">
        <v>0</v>
      </c>
      <c r="I1459" s="55">
        <v>1</v>
      </c>
      <c r="J1459" s="55">
        <v>0</v>
      </c>
    </row>
    <row r="1460" spans="1:10" ht="15" x14ac:dyDescent="0.4">
      <c r="A1460" s="54">
        <v>46097</v>
      </c>
      <c r="B1460" s="55" t="s">
        <v>57</v>
      </c>
      <c r="C1460" s="55" t="s">
        <v>58</v>
      </c>
      <c r="D1460" s="57">
        <v>18095</v>
      </c>
      <c r="E1460" s="55">
        <v>3769</v>
      </c>
      <c r="F1460" s="55">
        <v>177</v>
      </c>
      <c r="G1460" s="55">
        <v>1</v>
      </c>
      <c r="H1460" s="55">
        <v>1</v>
      </c>
      <c r="I1460" s="55">
        <v>0</v>
      </c>
      <c r="J1460" s="55">
        <v>0</v>
      </c>
    </row>
    <row r="1461" spans="1:10" ht="15" x14ac:dyDescent="0.4">
      <c r="A1461" s="54">
        <v>46097</v>
      </c>
      <c r="B1461" s="55" t="s">
        <v>59</v>
      </c>
      <c r="C1461" s="55" t="s">
        <v>60</v>
      </c>
      <c r="D1461" s="57">
        <v>23854</v>
      </c>
      <c r="E1461" s="55">
        <v>4587</v>
      </c>
      <c r="F1461" s="55">
        <v>31</v>
      </c>
      <c r="G1461" s="55">
        <v>2</v>
      </c>
      <c r="H1461" s="55">
        <v>1</v>
      </c>
      <c r="I1461" s="55">
        <v>0</v>
      </c>
      <c r="J1461" s="55">
        <v>0</v>
      </c>
    </row>
    <row r="1462" spans="1:10" ht="15" x14ac:dyDescent="0.4">
      <c r="A1462" s="54">
        <v>46097</v>
      </c>
      <c r="B1462" s="55" t="s">
        <v>55</v>
      </c>
      <c r="C1462" s="55" t="s">
        <v>56</v>
      </c>
      <c r="D1462" s="57">
        <v>33436</v>
      </c>
      <c r="E1462" s="55">
        <v>23882</v>
      </c>
      <c r="F1462" s="55">
        <v>287</v>
      </c>
      <c r="G1462" s="55">
        <v>9</v>
      </c>
      <c r="H1462" s="55">
        <v>0</v>
      </c>
      <c r="I1462" s="55">
        <v>0</v>
      </c>
      <c r="J1462" s="55">
        <v>1</v>
      </c>
    </row>
    <row r="1463" spans="1:10" ht="15" x14ac:dyDescent="0.4">
      <c r="A1463" s="54">
        <v>46097</v>
      </c>
      <c r="B1463" s="55" t="s">
        <v>62</v>
      </c>
      <c r="C1463" s="55" t="s">
        <v>56</v>
      </c>
      <c r="D1463" s="57">
        <v>9675</v>
      </c>
      <c r="E1463" s="55">
        <v>6910</v>
      </c>
      <c r="F1463" s="55">
        <v>76</v>
      </c>
      <c r="G1463" s="55">
        <v>2</v>
      </c>
      <c r="H1463" s="55">
        <v>1</v>
      </c>
      <c r="I1463" s="55">
        <v>1</v>
      </c>
      <c r="J1463" s="55">
        <v>0</v>
      </c>
    </row>
    <row r="1464" spans="1:10" ht="15" x14ac:dyDescent="0.4">
      <c r="A1464" s="54">
        <v>46098</v>
      </c>
      <c r="B1464" s="55" t="s">
        <v>61</v>
      </c>
      <c r="C1464" s="55" t="s">
        <v>56</v>
      </c>
      <c r="D1464" s="57">
        <v>0</v>
      </c>
      <c r="E1464" s="55">
        <v>0</v>
      </c>
      <c r="F1464" s="55">
        <v>0</v>
      </c>
      <c r="G1464" s="55">
        <v>0</v>
      </c>
      <c r="H1464" s="55">
        <v>0</v>
      </c>
      <c r="I1464" s="55">
        <v>0</v>
      </c>
      <c r="J1464" s="55">
        <v>0</v>
      </c>
    </row>
    <row r="1465" spans="1:10" ht="15" x14ac:dyDescent="0.4">
      <c r="A1465" s="54">
        <v>46098</v>
      </c>
      <c r="B1465" s="55" t="s">
        <v>63</v>
      </c>
      <c r="C1465" s="55" t="s">
        <v>58</v>
      </c>
      <c r="D1465" s="57">
        <v>6640</v>
      </c>
      <c r="E1465" s="55">
        <v>1383</v>
      </c>
      <c r="F1465" s="55">
        <v>80</v>
      </c>
      <c r="G1465" s="55">
        <v>5</v>
      </c>
      <c r="H1465" s="55">
        <v>1</v>
      </c>
      <c r="I1465" s="55">
        <v>0</v>
      </c>
      <c r="J1465" s="55">
        <v>0</v>
      </c>
    </row>
    <row r="1466" spans="1:10" ht="15" x14ac:dyDescent="0.4">
      <c r="A1466" s="54">
        <v>46098</v>
      </c>
      <c r="B1466" s="55" t="s">
        <v>57</v>
      </c>
      <c r="C1466" s="55" t="s">
        <v>58</v>
      </c>
      <c r="D1466" s="57">
        <v>21054</v>
      </c>
      <c r="E1466" s="55">
        <v>4386</v>
      </c>
      <c r="F1466" s="55">
        <v>199</v>
      </c>
      <c r="G1466" s="55">
        <v>6</v>
      </c>
      <c r="H1466" s="55">
        <v>1</v>
      </c>
      <c r="I1466" s="55">
        <v>1</v>
      </c>
      <c r="J1466" s="55">
        <v>0</v>
      </c>
    </row>
    <row r="1467" spans="1:10" ht="15" x14ac:dyDescent="0.4">
      <c r="A1467" s="54">
        <v>46098</v>
      </c>
      <c r="B1467" s="55" t="s">
        <v>59</v>
      </c>
      <c r="C1467" s="55" t="s">
        <v>60</v>
      </c>
      <c r="D1467" s="57">
        <v>27899</v>
      </c>
      <c r="E1467" s="55">
        <v>5365</v>
      </c>
      <c r="F1467" s="55">
        <v>35</v>
      </c>
      <c r="G1467" s="55">
        <v>3</v>
      </c>
      <c r="H1467" s="55">
        <v>1</v>
      </c>
      <c r="I1467" s="55">
        <v>2</v>
      </c>
      <c r="J1467" s="55">
        <v>0</v>
      </c>
    </row>
    <row r="1468" spans="1:10" ht="15" x14ac:dyDescent="0.4">
      <c r="A1468" s="54">
        <v>46098</v>
      </c>
      <c r="B1468" s="55" t="s">
        <v>55</v>
      </c>
      <c r="C1468" s="55" t="s">
        <v>56</v>
      </c>
      <c r="D1468" s="57">
        <v>29241</v>
      </c>
      <c r="E1468" s="55">
        <v>20886</v>
      </c>
      <c r="F1468" s="55">
        <v>203</v>
      </c>
      <c r="G1468" s="55">
        <v>5</v>
      </c>
      <c r="H1468" s="55">
        <v>2</v>
      </c>
      <c r="I1468" s="55">
        <v>0</v>
      </c>
      <c r="J1468" s="55">
        <v>0</v>
      </c>
    </row>
    <row r="1469" spans="1:10" ht="15" x14ac:dyDescent="0.4">
      <c r="A1469" s="54">
        <v>46098</v>
      </c>
      <c r="B1469" s="55" t="s">
        <v>62</v>
      </c>
      <c r="C1469" s="55" t="s">
        <v>56</v>
      </c>
      <c r="D1469" s="57">
        <v>9570</v>
      </c>
      <c r="E1469" s="55">
        <v>6835</v>
      </c>
      <c r="F1469" s="55">
        <v>81</v>
      </c>
      <c r="G1469" s="55">
        <v>1</v>
      </c>
      <c r="H1469" s="55">
        <v>1</v>
      </c>
      <c r="I1469" s="55">
        <v>1</v>
      </c>
      <c r="J1469" s="55">
        <v>0</v>
      </c>
    </row>
    <row r="1470" spans="1:10" ht="15" x14ac:dyDescent="0.4">
      <c r="A1470" s="54">
        <v>46099</v>
      </c>
      <c r="B1470" s="55" t="s">
        <v>63</v>
      </c>
      <c r="C1470" s="55" t="s">
        <v>58</v>
      </c>
      <c r="D1470" s="57">
        <v>6764</v>
      </c>
      <c r="E1470" s="55">
        <v>1409</v>
      </c>
      <c r="F1470" s="55">
        <v>63</v>
      </c>
      <c r="G1470" s="55">
        <v>2</v>
      </c>
      <c r="H1470" s="55">
        <v>2</v>
      </c>
      <c r="I1470" s="55">
        <v>0</v>
      </c>
      <c r="J1470" s="55">
        <v>0</v>
      </c>
    </row>
    <row r="1471" spans="1:10" ht="15" x14ac:dyDescent="0.4">
      <c r="A1471" s="54">
        <v>46099</v>
      </c>
      <c r="B1471" s="55" t="s">
        <v>57</v>
      </c>
      <c r="C1471" s="55" t="s">
        <v>58</v>
      </c>
      <c r="D1471" s="57">
        <v>19164</v>
      </c>
      <c r="E1471" s="55">
        <v>3992</v>
      </c>
      <c r="F1471" s="55">
        <v>193</v>
      </c>
      <c r="G1471" s="55">
        <v>1</v>
      </c>
      <c r="H1471" s="55">
        <v>2</v>
      </c>
      <c r="I1471" s="55">
        <v>0</v>
      </c>
      <c r="J1471" s="55">
        <v>0</v>
      </c>
    </row>
    <row r="1472" spans="1:10" ht="15" x14ac:dyDescent="0.4">
      <c r="A1472" s="54">
        <v>46099</v>
      </c>
      <c r="B1472" s="55" t="s">
        <v>59</v>
      </c>
      <c r="C1472" s="55" t="s">
        <v>60</v>
      </c>
      <c r="D1472" s="57">
        <v>24200</v>
      </c>
      <c r="E1472" s="55">
        <v>4653</v>
      </c>
      <c r="F1472" s="55">
        <v>29</v>
      </c>
      <c r="G1472" s="55">
        <v>3</v>
      </c>
      <c r="H1472" s="55">
        <v>0</v>
      </c>
      <c r="I1472" s="55">
        <v>0</v>
      </c>
      <c r="J1472" s="55">
        <v>0</v>
      </c>
    </row>
    <row r="1473" spans="1:10" ht="15" x14ac:dyDescent="0.4">
      <c r="A1473" s="54">
        <v>46099</v>
      </c>
      <c r="B1473" s="55" t="s">
        <v>55</v>
      </c>
      <c r="C1473" s="55" t="s">
        <v>56</v>
      </c>
      <c r="D1473" s="57">
        <v>34956</v>
      </c>
      <c r="E1473" s="55">
        <v>24968</v>
      </c>
      <c r="F1473" s="55">
        <v>264</v>
      </c>
      <c r="G1473" s="55">
        <v>6</v>
      </c>
      <c r="H1473" s="55">
        <v>1</v>
      </c>
      <c r="I1473" s="55">
        <v>1</v>
      </c>
      <c r="J1473" s="55">
        <v>0</v>
      </c>
    </row>
    <row r="1474" spans="1:10" ht="15" x14ac:dyDescent="0.4">
      <c r="A1474" s="54">
        <v>46099</v>
      </c>
      <c r="B1474" s="55" t="s">
        <v>62</v>
      </c>
      <c r="C1474" s="55" t="s">
        <v>56</v>
      </c>
      <c r="D1474" s="57">
        <v>8577</v>
      </c>
      <c r="E1474" s="55">
        <v>6126</v>
      </c>
      <c r="F1474" s="55">
        <v>75</v>
      </c>
      <c r="G1474" s="55">
        <v>3</v>
      </c>
      <c r="H1474" s="55">
        <v>1</v>
      </c>
      <c r="I1474" s="55">
        <v>1</v>
      </c>
      <c r="J1474" s="55">
        <v>0</v>
      </c>
    </row>
    <row r="1475" spans="1:10" ht="15" x14ac:dyDescent="0.4">
      <c r="A1475" s="54">
        <v>46100</v>
      </c>
      <c r="B1475" s="55" t="s">
        <v>61</v>
      </c>
      <c r="C1475" s="55" t="s">
        <v>56</v>
      </c>
      <c r="D1475" s="57">
        <v>0</v>
      </c>
      <c r="E1475" s="55">
        <v>0</v>
      </c>
      <c r="F1475" s="55">
        <v>0</v>
      </c>
      <c r="G1475" s="55">
        <v>0</v>
      </c>
      <c r="H1475" s="55">
        <v>0</v>
      </c>
      <c r="I1475" s="55">
        <v>0</v>
      </c>
      <c r="J1475" s="55">
        <v>1</v>
      </c>
    </row>
    <row r="1476" spans="1:10" ht="15" x14ac:dyDescent="0.4">
      <c r="A1476" s="54">
        <v>46100</v>
      </c>
      <c r="B1476" s="55" t="s">
        <v>63</v>
      </c>
      <c r="C1476" s="55" t="s">
        <v>58</v>
      </c>
      <c r="D1476" s="57">
        <v>6941</v>
      </c>
      <c r="E1476" s="55">
        <v>1446</v>
      </c>
      <c r="F1476" s="55">
        <v>76</v>
      </c>
      <c r="G1476" s="55">
        <v>2</v>
      </c>
      <c r="H1476" s="55">
        <v>2</v>
      </c>
      <c r="I1476" s="55">
        <v>1</v>
      </c>
      <c r="J1476" s="55">
        <v>0</v>
      </c>
    </row>
    <row r="1477" spans="1:10" ht="15" x14ac:dyDescent="0.4">
      <c r="A1477" s="54">
        <v>46100</v>
      </c>
      <c r="B1477" s="55" t="s">
        <v>57</v>
      </c>
      <c r="C1477" s="55" t="s">
        <v>58</v>
      </c>
      <c r="D1477" s="57">
        <v>17333</v>
      </c>
      <c r="E1477" s="55">
        <v>3611</v>
      </c>
      <c r="F1477" s="55">
        <v>206</v>
      </c>
      <c r="G1477" s="55">
        <v>5</v>
      </c>
      <c r="H1477" s="55">
        <v>1</v>
      </c>
      <c r="I1477" s="55">
        <v>0</v>
      </c>
      <c r="J1477" s="55">
        <v>0</v>
      </c>
    </row>
    <row r="1478" spans="1:10" ht="15" x14ac:dyDescent="0.4">
      <c r="A1478" s="54">
        <v>46100</v>
      </c>
      <c r="B1478" s="55" t="s">
        <v>59</v>
      </c>
      <c r="C1478" s="55" t="s">
        <v>60</v>
      </c>
      <c r="D1478" s="57">
        <v>25918</v>
      </c>
      <c r="E1478" s="55">
        <v>4984</v>
      </c>
      <c r="F1478" s="55">
        <v>27</v>
      </c>
      <c r="G1478" s="55">
        <v>3</v>
      </c>
      <c r="H1478" s="55">
        <v>4</v>
      </c>
      <c r="I1478" s="55">
        <v>0</v>
      </c>
      <c r="J1478" s="55">
        <v>0</v>
      </c>
    </row>
    <row r="1479" spans="1:10" ht="15" x14ac:dyDescent="0.4">
      <c r="A1479" s="54">
        <v>46100</v>
      </c>
      <c r="B1479" s="55" t="s">
        <v>55</v>
      </c>
      <c r="C1479" s="55" t="s">
        <v>56</v>
      </c>
      <c r="D1479" s="57">
        <v>32820</v>
      </c>
      <c r="E1479" s="55">
        <v>23442</v>
      </c>
      <c r="F1479" s="55">
        <v>268</v>
      </c>
      <c r="G1479" s="55">
        <v>7</v>
      </c>
      <c r="H1479" s="55">
        <v>2</v>
      </c>
      <c r="I1479" s="55">
        <v>1</v>
      </c>
      <c r="J1479" s="55">
        <v>0</v>
      </c>
    </row>
    <row r="1480" spans="1:10" ht="15" x14ac:dyDescent="0.4">
      <c r="A1480" s="54">
        <v>46100</v>
      </c>
      <c r="B1480" s="55" t="s">
        <v>62</v>
      </c>
      <c r="C1480" s="55" t="s">
        <v>56</v>
      </c>
      <c r="D1480" s="57">
        <v>9861</v>
      </c>
      <c r="E1480" s="55">
        <v>7043</v>
      </c>
      <c r="F1480" s="55">
        <v>73</v>
      </c>
      <c r="G1480" s="55">
        <v>3</v>
      </c>
      <c r="H1480" s="55">
        <v>0</v>
      </c>
      <c r="I1480" s="55">
        <v>0</v>
      </c>
      <c r="J1480" s="55">
        <v>0</v>
      </c>
    </row>
    <row r="1481" spans="1:10" ht="15" x14ac:dyDescent="0.4">
      <c r="A1481" s="54">
        <v>46101</v>
      </c>
      <c r="B1481" s="55" t="s">
        <v>61</v>
      </c>
      <c r="C1481" s="55" t="s">
        <v>56</v>
      </c>
      <c r="D1481" s="57">
        <v>0</v>
      </c>
      <c r="E1481" s="55">
        <v>0</v>
      </c>
      <c r="F1481" s="55">
        <v>0</v>
      </c>
      <c r="G1481" s="55">
        <v>0</v>
      </c>
      <c r="H1481" s="55">
        <v>0</v>
      </c>
      <c r="I1481" s="55">
        <v>0</v>
      </c>
      <c r="J1481" s="55">
        <v>0</v>
      </c>
    </row>
    <row r="1482" spans="1:10" ht="15" x14ac:dyDescent="0.4">
      <c r="A1482" s="54">
        <v>46101</v>
      </c>
      <c r="B1482" s="55" t="s">
        <v>63</v>
      </c>
      <c r="C1482" s="55" t="s">
        <v>58</v>
      </c>
      <c r="D1482" s="57">
        <v>7008</v>
      </c>
      <c r="E1482" s="55">
        <v>1460</v>
      </c>
      <c r="F1482" s="55">
        <v>74</v>
      </c>
      <c r="G1482" s="55">
        <v>2</v>
      </c>
      <c r="H1482" s="55">
        <v>1</v>
      </c>
      <c r="I1482" s="55">
        <v>0</v>
      </c>
      <c r="J1482" s="55">
        <v>0</v>
      </c>
    </row>
    <row r="1483" spans="1:10" ht="15" x14ac:dyDescent="0.4">
      <c r="A1483" s="54">
        <v>46101</v>
      </c>
      <c r="B1483" s="55" t="s">
        <v>57</v>
      </c>
      <c r="C1483" s="55" t="s">
        <v>58</v>
      </c>
      <c r="D1483" s="57">
        <v>18871</v>
      </c>
      <c r="E1483" s="55">
        <v>3931</v>
      </c>
      <c r="F1483" s="55">
        <v>178</v>
      </c>
      <c r="G1483" s="55">
        <v>4</v>
      </c>
      <c r="H1483" s="55">
        <v>1</v>
      </c>
      <c r="I1483" s="55">
        <v>0</v>
      </c>
      <c r="J1483" s="55">
        <v>0</v>
      </c>
    </row>
    <row r="1484" spans="1:10" ht="15" x14ac:dyDescent="0.4">
      <c r="A1484" s="54">
        <v>46101</v>
      </c>
      <c r="B1484" s="55" t="s">
        <v>59</v>
      </c>
      <c r="C1484" s="55" t="s">
        <v>60</v>
      </c>
      <c r="D1484" s="57">
        <v>23464</v>
      </c>
      <c r="E1484" s="55">
        <v>4512</v>
      </c>
      <c r="F1484" s="55">
        <v>31</v>
      </c>
      <c r="G1484" s="55">
        <v>0</v>
      </c>
      <c r="H1484" s="55">
        <v>0</v>
      </c>
      <c r="I1484" s="55">
        <v>1</v>
      </c>
      <c r="J1484" s="55">
        <v>0</v>
      </c>
    </row>
    <row r="1485" spans="1:10" ht="15" x14ac:dyDescent="0.4">
      <c r="A1485" s="54">
        <v>46101</v>
      </c>
      <c r="B1485" s="55" t="s">
        <v>55</v>
      </c>
      <c r="C1485" s="55" t="s">
        <v>56</v>
      </c>
      <c r="D1485" s="57">
        <v>34758</v>
      </c>
      <c r="E1485" s="55">
        <v>24827</v>
      </c>
      <c r="F1485" s="55">
        <v>272</v>
      </c>
      <c r="G1485" s="55">
        <v>9</v>
      </c>
      <c r="H1485" s="55">
        <v>0</v>
      </c>
      <c r="I1485" s="55">
        <v>1</v>
      </c>
      <c r="J1485" s="55">
        <v>0</v>
      </c>
    </row>
    <row r="1486" spans="1:10" ht="15" x14ac:dyDescent="0.4">
      <c r="A1486" s="54">
        <v>46101</v>
      </c>
      <c r="B1486" s="55" t="s">
        <v>62</v>
      </c>
      <c r="C1486" s="55" t="s">
        <v>56</v>
      </c>
      <c r="D1486" s="57">
        <v>8833</v>
      </c>
      <c r="E1486" s="55">
        <v>6309</v>
      </c>
      <c r="F1486" s="55">
        <v>78</v>
      </c>
      <c r="G1486" s="55">
        <v>0</v>
      </c>
      <c r="H1486" s="55">
        <v>0</v>
      </c>
      <c r="I1486" s="55">
        <v>0</v>
      </c>
      <c r="J1486" s="55">
        <v>0</v>
      </c>
    </row>
    <row r="1487" spans="1:10" ht="15" x14ac:dyDescent="0.4">
      <c r="A1487" s="54">
        <v>46102</v>
      </c>
      <c r="B1487" s="55" t="s">
        <v>63</v>
      </c>
      <c r="C1487" s="55" t="s">
        <v>58</v>
      </c>
      <c r="D1487" s="57">
        <v>6990</v>
      </c>
      <c r="E1487" s="55">
        <v>1456</v>
      </c>
      <c r="F1487" s="55">
        <v>78</v>
      </c>
      <c r="G1487" s="55">
        <v>1</v>
      </c>
      <c r="H1487" s="55">
        <v>4</v>
      </c>
      <c r="I1487" s="55">
        <v>0</v>
      </c>
      <c r="J1487" s="55">
        <v>0</v>
      </c>
    </row>
    <row r="1488" spans="1:10" ht="15" x14ac:dyDescent="0.4">
      <c r="A1488" s="54">
        <v>46102</v>
      </c>
      <c r="B1488" s="55" t="s">
        <v>57</v>
      </c>
      <c r="C1488" s="55" t="s">
        <v>58</v>
      </c>
      <c r="D1488" s="57">
        <v>19101</v>
      </c>
      <c r="E1488" s="55">
        <v>3979</v>
      </c>
      <c r="F1488" s="55">
        <v>201</v>
      </c>
      <c r="G1488" s="55">
        <v>2</v>
      </c>
      <c r="H1488" s="55">
        <v>0</v>
      </c>
      <c r="I1488" s="55">
        <v>0</v>
      </c>
      <c r="J1488" s="55">
        <v>1</v>
      </c>
    </row>
    <row r="1489" spans="1:10" ht="15" x14ac:dyDescent="0.4">
      <c r="A1489" s="54">
        <v>46102</v>
      </c>
      <c r="B1489" s="55" t="s">
        <v>59</v>
      </c>
      <c r="C1489" s="55" t="s">
        <v>60</v>
      </c>
      <c r="D1489" s="57">
        <v>24589</v>
      </c>
      <c r="E1489" s="55">
        <v>4728</v>
      </c>
      <c r="F1489" s="55">
        <v>26</v>
      </c>
      <c r="G1489" s="55">
        <v>0</v>
      </c>
      <c r="H1489" s="55">
        <v>0</v>
      </c>
      <c r="I1489" s="55">
        <v>0</v>
      </c>
      <c r="J1489" s="55">
        <v>0</v>
      </c>
    </row>
    <row r="1490" spans="1:10" ht="15" x14ac:dyDescent="0.4">
      <c r="A1490" s="54">
        <v>46102</v>
      </c>
      <c r="B1490" s="55" t="s">
        <v>55</v>
      </c>
      <c r="C1490" s="55" t="s">
        <v>56</v>
      </c>
      <c r="D1490" s="57">
        <v>31467</v>
      </c>
      <c r="E1490" s="55">
        <v>22476</v>
      </c>
      <c r="F1490" s="55">
        <v>211</v>
      </c>
      <c r="G1490" s="55">
        <v>4</v>
      </c>
      <c r="H1490" s="55">
        <v>1</v>
      </c>
      <c r="I1490" s="55">
        <v>0</v>
      </c>
      <c r="J1490" s="55">
        <v>0</v>
      </c>
    </row>
    <row r="1491" spans="1:10" ht="15" x14ac:dyDescent="0.4">
      <c r="A1491" s="54">
        <v>46102</v>
      </c>
      <c r="B1491" s="55" t="s">
        <v>62</v>
      </c>
      <c r="C1491" s="55" t="s">
        <v>56</v>
      </c>
      <c r="D1491" s="57">
        <v>8546</v>
      </c>
      <c r="E1491" s="55">
        <v>6104</v>
      </c>
      <c r="F1491" s="55">
        <v>73</v>
      </c>
      <c r="G1491" s="55">
        <v>2</v>
      </c>
      <c r="H1491" s="55">
        <v>0</v>
      </c>
      <c r="I1491" s="55">
        <v>0</v>
      </c>
      <c r="J1491" s="55">
        <v>0</v>
      </c>
    </row>
    <row r="1492" spans="1:10" ht="15" x14ac:dyDescent="0.4">
      <c r="A1492" s="54">
        <v>46103</v>
      </c>
      <c r="B1492" s="55" t="s">
        <v>63</v>
      </c>
      <c r="C1492" s="55" t="s">
        <v>58</v>
      </c>
      <c r="D1492" s="57">
        <v>7348</v>
      </c>
      <c r="E1492" s="55">
        <v>1530</v>
      </c>
      <c r="F1492" s="55">
        <v>70</v>
      </c>
      <c r="G1492" s="55">
        <v>5</v>
      </c>
      <c r="H1492" s="55">
        <v>0</v>
      </c>
      <c r="I1492" s="55">
        <v>2</v>
      </c>
      <c r="J1492" s="55">
        <v>0</v>
      </c>
    </row>
    <row r="1493" spans="1:10" ht="15" x14ac:dyDescent="0.4">
      <c r="A1493" s="54">
        <v>46103</v>
      </c>
      <c r="B1493" s="55" t="s">
        <v>57</v>
      </c>
      <c r="C1493" s="55" t="s">
        <v>58</v>
      </c>
      <c r="D1493" s="57">
        <v>20972</v>
      </c>
      <c r="E1493" s="55">
        <v>4369</v>
      </c>
      <c r="F1493" s="55">
        <v>203</v>
      </c>
      <c r="G1493" s="55">
        <v>1</v>
      </c>
      <c r="H1493" s="55">
        <v>2</v>
      </c>
      <c r="I1493" s="55">
        <v>0</v>
      </c>
      <c r="J1493" s="55">
        <v>0</v>
      </c>
    </row>
    <row r="1494" spans="1:10" ht="15" x14ac:dyDescent="0.4">
      <c r="A1494" s="54">
        <v>46103</v>
      </c>
      <c r="B1494" s="55" t="s">
        <v>59</v>
      </c>
      <c r="C1494" s="55" t="s">
        <v>60</v>
      </c>
      <c r="D1494" s="57">
        <v>28033</v>
      </c>
      <c r="E1494" s="55">
        <v>5390</v>
      </c>
      <c r="F1494" s="55">
        <v>33</v>
      </c>
      <c r="G1494" s="55">
        <v>2</v>
      </c>
      <c r="H1494" s="55">
        <v>1</v>
      </c>
      <c r="I1494" s="55">
        <v>2</v>
      </c>
      <c r="J1494" s="55">
        <v>0</v>
      </c>
    </row>
    <row r="1495" spans="1:10" ht="15" x14ac:dyDescent="0.4">
      <c r="A1495" s="54">
        <v>46103</v>
      </c>
      <c r="B1495" s="55" t="s">
        <v>55</v>
      </c>
      <c r="C1495" s="55" t="s">
        <v>56</v>
      </c>
      <c r="D1495" s="57">
        <v>35506</v>
      </c>
      <c r="E1495" s="55">
        <v>25361</v>
      </c>
      <c r="F1495" s="55">
        <v>297</v>
      </c>
      <c r="G1495" s="55">
        <v>6</v>
      </c>
      <c r="H1495" s="55">
        <v>0</v>
      </c>
      <c r="I1495" s="55">
        <v>1</v>
      </c>
      <c r="J1495" s="55">
        <v>0</v>
      </c>
    </row>
    <row r="1496" spans="1:10" ht="15" x14ac:dyDescent="0.4">
      <c r="A1496" s="54">
        <v>46103</v>
      </c>
      <c r="B1496" s="55" t="s">
        <v>62</v>
      </c>
      <c r="C1496" s="55" t="s">
        <v>56</v>
      </c>
      <c r="D1496" s="57">
        <v>9857</v>
      </c>
      <c r="E1496" s="55">
        <v>7040</v>
      </c>
      <c r="F1496" s="55">
        <v>85</v>
      </c>
      <c r="G1496" s="55">
        <v>1</v>
      </c>
      <c r="H1496" s="55">
        <v>2</v>
      </c>
      <c r="I1496" s="55">
        <v>1</v>
      </c>
      <c r="J1496" s="55">
        <v>0</v>
      </c>
    </row>
    <row r="1497" spans="1:10" ht="15" x14ac:dyDescent="0.4">
      <c r="A1497" s="54">
        <v>46104</v>
      </c>
      <c r="B1497" s="55" t="s">
        <v>63</v>
      </c>
      <c r="C1497" s="55" t="s">
        <v>58</v>
      </c>
      <c r="D1497" s="57">
        <v>6945</v>
      </c>
      <c r="E1497" s="55">
        <v>1446</v>
      </c>
      <c r="F1497" s="55">
        <v>76</v>
      </c>
      <c r="G1497" s="55">
        <v>5</v>
      </c>
      <c r="H1497" s="55">
        <v>2</v>
      </c>
      <c r="I1497" s="55">
        <v>1</v>
      </c>
      <c r="J1497" s="55">
        <v>1</v>
      </c>
    </row>
    <row r="1498" spans="1:10" ht="15" x14ac:dyDescent="0.4">
      <c r="A1498" s="54">
        <v>46104</v>
      </c>
      <c r="B1498" s="55" t="s">
        <v>57</v>
      </c>
      <c r="C1498" s="55" t="s">
        <v>58</v>
      </c>
      <c r="D1498" s="57">
        <v>18568</v>
      </c>
      <c r="E1498" s="55">
        <v>3868</v>
      </c>
      <c r="F1498" s="55">
        <v>228</v>
      </c>
      <c r="G1498" s="55">
        <v>5</v>
      </c>
      <c r="H1498" s="55">
        <v>0</v>
      </c>
      <c r="I1498" s="55">
        <v>1</v>
      </c>
      <c r="J1498" s="55">
        <v>0</v>
      </c>
    </row>
    <row r="1499" spans="1:10" ht="15" x14ac:dyDescent="0.4">
      <c r="A1499" s="54">
        <v>46104</v>
      </c>
      <c r="B1499" s="55" t="s">
        <v>59</v>
      </c>
      <c r="C1499" s="55" t="s">
        <v>60</v>
      </c>
      <c r="D1499" s="57">
        <v>24325</v>
      </c>
      <c r="E1499" s="55">
        <v>4677</v>
      </c>
      <c r="F1499" s="55">
        <v>34</v>
      </c>
      <c r="G1499" s="55">
        <v>2</v>
      </c>
      <c r="H1499" s="55">
        <v>0</v>
      </c>
      <c r="I1499" s="55">
        <v>0</v>
      </c>
      <c r="J1499" s="55">
        <v>0</v>
      </c>
    </row>
    <row r="1500" spans="1:10" ht="15" x14ac:dyDescent="0.4">
      <c r="A1500" s="54">
        <v>46104</v>
      </c>
      <c r="B1500" s="55" t="s">
        <v>55</v>
      </c>
      <c r="C1500" s="55" t="s">
        <v>56</v>
      </c>
      <c r="D1500" s="57">
        <v>32026</v>
      </c>
      <c r="E1500" s="55">
        <v>22875</v>
      </c>
      <c r="F1500" s="55">
        <v>217</v>
      </c>
      <c r="G1500" s="55">
        <v>6</v>
      </c>
      <c r="H1500" s="55">
        <v>4</v>
      </c>
      <c r="I1500" s="55">
        <v>0</v>
      </c>
      <c r="J1500" s="55">
        <v>2</v>
      </c>
    </row>
    <row r="1501" spans="1:10" ht="15" x14ac:dyDescent="0.4">
      <c r="A1501" s="54">
        <v>46104</v>
      </c>
      <c r="B1501" s="55" t="s">
        <v>62</v>
      </c>
      <c r="C1501" s="55" t="s">
        <v>56</v>
      </c>
      <c r="D1501" s="57">
        <v>8759</v>
      </c>
      <c r="E1501" s="55">
        <v>6256</v>
      </c>
      <c r="F1501" s="55">
        <v>73</v>
      </c>
      <c r="G1501" s="55">
        <v>2</v>
      </c>
      <c r="H1501" s="55">
        <v>1</v>
      </c>
      <c r="I1501" s="55">
        <v>0</v>
      </c>
      <c r="J1501" s="55">
        <v>0</v>
      </c>
    </row>
    <row r="1502" spans="1:10" ht="15" x14ac:dyDescent="0.4">
      <c r="A1502" s="54">
        <v>46105</v>
      </c>
      <c r="B1502" s="55" t="s">
        <v>63</v>
      </c>
      <c r="C1502" s="55" t="s">
        <v>58</v>
      </c>
      <c r="D1502" s="57">
        <v>7067</v>
      </c>
      <c r="E1502" s="55">
        <v>1472</v>
      </c>
      <c r="F1502" s="55">
        <v>69</v>
      </c>
      <c r="G1502" s="55">
        <v>5</v>
      </c>
      <c r="H1502" s="55">
        <v>2</v>
      </c>
      <c r="I1502" s="55">
        <v>0</v>
      </c>
      <c r="J1502" s="55">
        <v>0</v>
      </c>
    </row>
    <row r="1503" spans="1:10" ht="15" x14ac:dyDescent="0.4">
      <c r="A1503" s="54">
        <v>46105</v>
      </c>
      <c r="B1503" s="55" t="s">
        <v>57</v>
      </c>
      <c r="C1503" s="55" t="s">
        <v>58</v>
      </c>
      <c r="D1503" s="57">
        <v>17695</v>
      </c>
      <c r="E1503" s="55">
        <v>3686</v>
      </c>
      <c r="F1503" s="55">
        <v>216</v>
      </c>
      <c r="G1503" s="55">
        <v>3</v>
      </c>
      <c r="H1503" s="55">
        <v>1</v>
      </c>
      <c r="I1503" s="55">
        <v>1</v>
      </c>
      <c r="J1503" s="55">
        <v>0</v>
      </c>
    </row>
    <row r="1504" spans="1:10" ht="15" x14ac:dyDescent="0.4">
      <c r="A1504" s="54">
        <v>46105</v>
      </c>
      <c r="B1504" s="55" t="s">
        <v>59</v>
      </c>
      <c r="C1504" s="55" t="s">
        <v>60</v>
      </c>
      <c r="D1504" s="57">
        <v>23529</v>
      </c>
      <c r="E1504" s="55">
        <v>4524</v>
      </c>
      <c r="F1504" s="55">
        <v>28</v>
      </c>
      <c r="G1504" s="55">
        <v>1</v>
      </c>
      <c r="H1504" s="55">
        <v>1</v>
      </c>
      <c r="I1504" s="55">
        <v>0</v>
      </c>
      <c r="J1504" s="55">
        <v>0</v>
      </c>
    </row>
    <row r="1505" spans="1:10" ht="15" x14ac:dyDescent="0.4">
      <c r="A1505" s="54">
        <v>46105</v>
      </c>
      <c r="B1505" s="55" t="s">
        <v>55</v>
      </c>
      <c r="C1505" s="55" t="s">
        <v>56</v>
      </c>
      <c r="D1505" s="57">
        <v>33960</v>
      </c>
      <c r="E1505" s="55">
        <v>24257</v>
      </c>
      <c r="F1505" s="55">
        <v>294</v>
      </c>
      <c r="G1505" s="55">
        <v>6</v>
      </c>
      <c r="H1505" s="55">
        <v>0</v>
      </c>
      <c r="I1505" s="55">
        <v>2</v>
      </c>
      <c r="J1505" s="55">
        <v>0</v>
      </c>
    </row>
    <row r="1506" spans="1:10" ht="15" x14ac:dyDescent="0.4">
      <c r="A1506" s="54">
        <v>46105</v>
      </c>
      <c r="B1506" s="55" t="s">
        <v>62</v>
      </c>
      <c r="C1506" s="55" t="s">
        <v>56</v>
      </c>
      <c r="D1506" s="57">
        <v>10013</v>
      </c>
      <c r="E1506" s="55">
        <v>7152</v>
      </c>
      <c r="F1506" s="55">
        <v>80</v>
      </c>
      <c r="G1506" s="55">
        <v>3</v>
      </c>
      <c r="H1506" s="55">
        <v>0</v>
      </c>
      <c r="I1506" s="55">
        <v>0</v>
      </c>
      <c r="J1506" s="55">
        <v>0</v>
      </c>
    </row>
    <row r="1507" spans="1:10" ht="15" x14ac:dyDescent="0.4">
      <c r="A1507" s="54">
        <v>46106</v>
      </c>
      <c r="B1507" s="55" t="s">
        <v>63</v>
      </c>
      <c r="C1507" s="55" t="s">
        <v>58</v>
      </c>
      <c r="D1507" s="57">
        <v>6746</v>
      </c>
      <c r="E1507" s="55">
        <v>1405</v>
      </c>
      <c r="F1507" s="55">
        <v>80</v>
      </c>
      <c r="G1507" s="55">
        <v>3</v>
      </c>
      <c r="H1507" s="55">
        <v>3</v>
      </c>
      <c r="I1507" s="55">
        <v>0</v>
      </c>
      <c r="J1507" s="55">
        <v>0</v>
      </c>
    </row>
    <row r="1508" spans="1:10" ht="15" x14ac:dyDescent="0.4">
      <c r="A1508" s="54">
        <v>46106</v>
      </c>
      <c r="B1508" s="55" t="s">
        <v>57</v>
      </c>
      <c r="C1508" s="55" t="s">
        <v>58</v>
      </c>
      <c r="D1508" s="57">
        <v>20491</v>
      </c>
      <c r="E1508" s="55">
        <v>4268</v>
      </c>
      <c r="F1508" s="55">
        <v>233</v>
      </c>
      <c r="G1508" s="55">
        <v>4</v>
      </c>
      <c r="H1508" s="55">
        <v>1</v>
      </c>
      <c r="I1508" s="55">
        <v>0</v>
      </c>
      <c r="J1508" s="55">
        <v>1</v>
      </c>
    </row>
    <row r="1509" spans="1:10" ht="15" x14ac:dyDescent="0.4">
      <c r="A1509" s="54">
        <v>46106</v>
      </c>
      <c r="B1509" s="55" t="s">
        <v>59</v>
      </c>
      <c r="C1509" s="55" t="s">
        <v>60</v>
      </c>
      <c r="D1509" s="57">
        <v>27579</v>
      </c>
      <c r="E1509" s="55">
        <v>5303</v>
      </c>
      <c r="F1509" s="55">
        <v>31</v>
      </c>
      <c r="G1509" s="55">
        <v>1</v>
      </c>
      <c r="H1509" s="55">
        <v>0</v>
      </c>
      <c r="I1509" s="55">
        <v>1</v>
      </c>
      <c r="J1509" s="55">
        <v>0</v>
      </c>
    </row>
    <row r="1510" spans="1:10" ht="15" x14ac:dyDescent="0.4">
      <c r="A1510" s="54">
        <v>46106</v>
      </c>
      <c r="B1510" s="55" t="s">
        <v>55</v>
      </c>
      <c r="C1510" s="55" t="s">
        <v>56</v>
      </c>
      <c r="D1510" s="57">
        <v>29956</v>
      </c>
      <c r="E1510" s="55">
        <v>21397</v>
      </c>
      <c r="F1510" s="55">
        <v>254</v>
      </c>
      <c r="G1510" s="55">
        <v>9</v>
      </c>
      <c r="H1510" s="55">
        <v>3</v>
      </c>
      <c r="I1510" s="55">
        <v>1</v>
      </c>
      <c r="J1510" s="55">
        <v>0</v>
      </c>
    </row>
    <row r="1511" spans="1:10" ht="15" x14ac:dyDescent="0.4">
      <c r="A1511" s="54">
        <v>46106</v>
      </c>
      <c r="B1511" s="55" t="s">
        <v>62</v>
      </c>
      <c r="C1511" s="55" t="s">
        <v>56</v>
      </c>
      <c r="D1511" s="57">
        <v>9954</v>
      </c>
      <c r="E1511" s="55">
        <v>7110</v>
      </c>
      <c r="F1511" s="55">
        <v>73</v>
      </c>
      <c r="G1511" s="55">
        <v>3</v>
      </c>
      <c r="H1511" s="55">
        <v>1</v>
      </c>
      <c r="I1511" s="55">
        <v>0</v>
      </c>
      <c r="J1511" s="55">
        <v>1</v>
      </c>
    </row>
    <row r="1512" spans="1:10" ht="15" x14ac:dyDescent="0.4">
      <c r="A1512" s="54">
        <v>46107</v>
      </c>
      <c r="B1512" s="55" t="s">
        <v>63</v>
      </c>
      <c r="C1512" s="55" t="s">
        <v>58</v>
      </c>
      <c r="D1512" s="57">
        <v>6446</v>
      </c>
      <c r="E1512" s="55">
        <v>1342</v>
      </c>
      <c r="F1512" s="55">
        <v>70</v>
      </c>
      <c r="G1512" s="55">
        <v>0</v>
      </c>
      <c r="H1512" s="55">
        <v>3</v>
      </c>
      <c r="I1512" s="55">
        <v>1</v>
      </c>
      <c r="J1512" s="55">
        <v>0</v>
      </c>
    </row>
    <row r="1513" spans="1:10" ht="15" x14ac:dyDescent="0.4">
      <c r="A1513" s="54">
        <v>46107</v>
      </c>
      <c r="B1513" s="55" t="s">
        <v>57</v>
      </c>
      <c r="C1513" s="55" t="s">
        <v>58</v>
      </c>
      <c r="D1513" s="57">
        <v>19616</v>
      </c>
      <c r="E1513" s="55">
        <v>4086</v>
      </c>
      <c r="F1513" s="55">
        <v>198</v>
      </c>
      <c r="G1513" s="55">
        <v>4</v>
      </c>
      <c r="H1513" s="55">
        <v>2</v>
      </c>
      <c r="I1513" s="55">
        <v>0</v>
      </c>
      <c r="J1513" s="55">
        <v>0</v>
      </c>
    </row>
    <row r="1514" spans="1:10" ht="15" x14ac:dyDescent="0.4">
      <c r="A1514" s="54">
        <v>46107</v>
      </c>
      <c r="B1514" s="55" t="s">
        <v>59</v>
      </c>
      <c r="C1514" s="55" t="s">
        <v>60</v>
      </c>
      <c r="D1514" s="57">
        <v>24432</v>
      </c>
      <c r="E1514" s="55">
        <v>4698</v>
      </c>
      <c r="F1514" s="55">
        <v>30</v>
      </c>
      <c r="G1514" s="55">
        <v>2</v>
      </c>
      <c r="H1514" s="55">
        <v>1</v>
      </c>
      <c r="I1514" s="55">
        <v>0</v>
      </c>
      <c r="J1514" s="55">
        <v>0</v>
      </c>
    </row>
    <row r="1515" spans="1:10" ht="15" x14ac:dyDescent="0.4">
      <c r="A1515" s="54">
        <v>46107</v>
      </c>
      <c r="B1515" s="55" t="s">
        <v>55</v>
      </c>
      <c r="C1515" s="55" t="s">
        <v>56</v>
      </c>
      <c r="D1515" s="57">
        <v>32988</v>
      </c>
      <c r="E1515" s="55">
        <v>23562</v>
      </c>
      <c r="F1515" s="55">
        <v>268</v>
      </c>
      <c r="G1515" s="55">
        <v>9</v>
      </c>
      <c r="H1515" s="55">
        <v>0</v>
      </c>
      <c r="I1515" s="55">
        <v>1</v>
      </c>
      <c r="J1515" s="55">
        <v>0</v>
      </c>
    </row>
    <row r="1516" spans="1:10" ht="15" x14ac:dyDescent="0.4">
      <c r="A1516" s="54">
        <v>46107</v>
      </c>
      <c r="B1516" s="55" t="s">
        <v>62</v>
      </c>
      <c r="C1516" s="55" t="s">
        <v>56</v>
      </c>
      <c r="D1516" s="57">
        <v>10145</v>
      </c>
      <c r="E1516" s="55">
        <v>7246</v>
      </c>
      <c r="F1516" s="55">
        <v>75</v>
      </c>
      <c r="G1516" s="55">
        <v>2</v>
      </c>
      <c r="H1516" s="55">
        <v>0</v>
      </c>
      <c r="I1516" s="55">
        <v>0</v>
      </c>
      <c r="J1516" s="55">
        <v>0</v>
      </c>
    </row>
    <row r="1517" spans="1:10" ht="15" x14ac:dyDescent="0.4">
      <c r="A1517" s="54">
        <v>46108</v>
      </c>
      <c r="B1517" s="55" t="s">
        <v>63</v>
      </c>
      <c r="C1517" s="55" t="s">
        <v>58</v>
      </c>
      <c r="D1517" s="57">
        <v>6473</v>
      </c>
      <c r="E1517" s="55">
        <v>1348</v>
      </c>
      <c r="F1517" s="55">
        <v>65</v>
      </c>
      <c r="G1517" s="55">
        <v>2</v>
      </c>
      <c r="H1517" s="55">
        <v>0</v>
      </c>
      <c r="I1517" s="55">
        <v>2</v>
      </c>
      <c r="J1517" s="55">
        <v>0</v>
      </c>
    </row>
    <row r="1518" spans="1:10" ht="15" x14ac:dyDescent="0.4">
      <c r="A1518" s="54">
        <v>46108</v>
      </c>
      <c r="B1518" s="55" t="s">
        <v>57</v>
      </c>
      <c r="C1518" s="55" t="s">
        <v>58</v>
      </c>
      <c r="D1518" s="57">
        <v>19336</v>
      </c>
      <c r="E1518" s="55">
        <v>4028</v>
      </c>
      <c r="F1518" s="55">
        <v>212</v>
      </c>
      <c r="G1518" s="55">
        <v>3</v>
      </c>
      <c r="H1518" s="55">
        <v>1</v>
      </c>
      <c r="I1518" s="55">
        <v>1</v>
      </c>
      <c r="J1518" s="55">
        <v>0</v>
      </c>
    </row>
    <row r="1519" spans="1:10" ht="15" x14ac:dyDescent="0.4">
      <c r="A1519" s="54">
        <v>46108</v>
      </c>
      <c r="B1519" s="55" t="s">
        <v>59</v>
      </c>
      <c r="C1519" s="55" t="s">
        <v>60</v>
      </c>
      <c r="D1519" s="57">
        <v>27493</v>
      </c>
      <c r="E1519" s="55">
        <v>5287</v>
      </c>
      <c r="F1519" s="55">
        <v>36</v>
      </c>
      <c r="G1519" s="55">
        <v>1</v>
      </c>
      <c r="H1519" s="55">
        <v>1</v>
      </c>
      <c r="I1519" s="55">
        <v>0</v>
      </c>
      <c r="J1519" s="55">
        <v>0</v>
      </c>
    </row>
    <row r="1520" spans="1:10" ht="15" x14ac:dyDescent="0.4">
      <c r="A1520" s="54">
        <v>46108</v>
      </c>
      <c r="B1520" s="55" t="s">
        <v>55</v>
      </c>
      <c r="C1520" s="55" t="s">
        <v>56</v>
      </c>
      <c r="D1520" s="57">
        <v>35428</v>
      </c>
      <c r="E1520" s="55">
        <v>25305</v>
      </c>
      <c r="F1520" s="55">
        <v>274</v>
      </c>
      <c r="G1520" s="55">
        <v>11</v>
      </c>
      <c r="H1520" s="55">
        <v>2</v>
      </c>
      <c r="I1520" s="55">
        <v>0</v>
      </c>
      <c r="J1520" s="55">
        <v>1</v>
      </c>
    </row>
    <row r="1521" spans="1:10" ht="15" x14ac:dyDescent="0.4">
      <c r="A1521" s="54">
        <v>46108</v>
      </c>
      <c r="B1521" s="55" t="s">
        <v>62</v>
      </c>
      <c r="C1521" s="55" t="s">
        <v>56</v>
      </c>
      <c r="D1521" s="57">
        <v>8796</v>
      </c>
      <c r="E1521" s="55">
        <v>6282</v>
      </c>
      <c r="F1521" s="55">
        <v>61</v>
      </c>
      <c r="G1521" s="55">
        <v>4</v>
      </c>
      <c r="H1521" s="55">
        <v>1</v>
      </c>
      <c r="I1521" s="55">
        <v>0</v>
      </c>
      <c r="J1521" s="55">
        <v>0</v>
      </c>
    </row>
    <row r="1522" spans="1:10" ht="15" x14ac:dyDescent="0.4">
      <c r="A1522" s="54">
        <v>46109</v>
      </c>
      <c r="B1522" s="55" t="s">
        <v>63</v>
      </c>
      <c r="C1522" s="55" t="s">
        <v>58</v>
      </c>
      <c r="D1522" s="57">
        <v>6569</v>
      </c>
      <c r="E1522" s="55">
        <v>1368</v>
      </c>
      <c r="F1522" s="55">
        <v>63</v>
      </c>
      <c r="G1522" s="55">
        <v>4</v>
      </c>
      <c r="H1522" s="55">
        <v>1</v>
      </c>
      <c r="I1522" s="55">
        <v>0</v>
      </c>
      <c r="J1522" s="55">
        <v>0</v>
      </c>
    </row>
    <row r="1523" spans="1:10" ht="15" x14ac:dyDescent="0.4">
      <c r="A1523" s="54">
        <v>46109</v>
      </c>
      <c r="B1523" s="55" t="s">
        <v>57</v>
      </c>
      <c r="C1523" s="55" t="s">
        <v>58</v>
      </c>
      <c r="D1523" s="57">
        <v>17987</v>
      </c>
      <c r="E1523" s="55">
        <v>3747</v>
      </c>
      <c r="F1523" s="55">
        <v>195</v>
      </c>
      <c r="G1523" s="55">
        <v>1</v>
      </c>
      <c r="H1523" s="55">
        <v>1</v>
      </c>
      <c r="I1523" s="55">
        <v>0</v>
      </c>
      <c r="J1523" s="55">
        <v>0</v>
      </c>
    </row>
    <row r="1524" spans="1:10" ht="15" x14ac:dyDescent="0.4">
      <c r="A1524" s="54">
        <v>46109</v>
      </c>
      <c r="B1524" s="55" t="s">
        <v>59</v>
      </c>
      <c r="C1524" s="55" t="s">
        <v>60</v>
      </c>
      <c r="D1524" s="57">
        <v>22915</v>
      </c>
      <c r="E1524" s="55">
        <v>4406</v>
      </c>
      <c r="F1524" s="55">
        <v>29</v>
      </c>
      <c r="G1524" s="55">
        <v>1</v>
      </c>
      <c r="H1524" s="55">
        <v>0</v>
      </c>
      <c r="I1524" s="55">
        <v>1</v>
      </c>
      <c r="J1524" s="55">
        <v>1</v>
      </c>
    </row>
    <row r="1525" spans="1:10" ht="15" x14ac:dyDescent="0.4">
      <c r="A1525" s="54">
        <v>46109</v>
      </c>
      <c r="B1525" s="55" t="s">
        <v>55</v>
      </c>
      <c r="C1525" s="55" t="s">
        <v>56</v>
      </c>
      <c r="D1525" s="57">
        <v>32538</v>
      </c>
      <c r="E1525" s="55">
        <v>23241</v>
      </c>
      <c r="F1525" s="55">
        <v>270</v>
      </c>
      <c r="G1525" s="55">
        <v>2</v>
      </c>
      <c r="H1525" s="55">
        <v>0</v>
      </c>
      <c r="I1525" s="55">
        <v>0</v>
      </c>
      <c r="J1525" s="55">
        <v>0</v>
      </c>
    </row>
    <row r="1526" spans="1:10" ht="15" x14ac:dyDescent="0.4">
      <c r="A1526" s="54">
        <v>46109</v>
      </c>
      <c r="B1526" s="55" t="s">
        <v>62</v>
      </c>
      <c r="C1526" s="55" t="s">
        <v>56</v>
      </c>
      <c r="D1526" s="57">
        <v>8365</v>
      </c>
      <c r="E1526" s="55">
        <v>5975</v>
      </c>
      <c r="F1526" s="55">
        <v>56</v>
      </c>
      <c r="G1526" s="55">
        <v>1</v>
      </c>
      <c r="H1526" s="55">
        <v>0</v>
      </c>
      <c r="I1526" s="55">
        <v>0</v>
      </c>
      <c r="J1526" s="55">
        <v>0</v>
      </c>
    </row>
    <row r="1527" spans="1:10" ht="15" x14ac:dyDescent="0.4">
      <c r="A1527" s="54">
        <v>46110</v>
      </c>
      <c r="B1527" s="55" t="s">
        <v>63</v>
      </c>
      <c r="C1527" s="55" t="s">
        <v>58</v>
      </c>
      <c r="D1527" s="57">
        <v>7276</v>
      </c>
      <c r="E1527" s="55">
        <v>1515</v>
      </c>
      <c r="F1527" s="55">
        <v>71</v>
      </c>
      <c r="G1527" s="55">
        <v>3</v>
      </c>
      <c r="H1527" s="55">
        <v>1</v>
      </c>
      <c r="I1527" s="55">
        <v>3</v>
      </c>
      <c r="J1527" s="55">
        <v>2</v>
      </c>
    </row>
    <row r="1528" spans="1:10" ht="15" x14ac:dyDescent="0.4">
      <c r="A1528" s="54">
        <v>46110</v>
      </c>
      <c r="B1528" s="55" t="s">
        <v>57</v>
      </c>
      <c r="C1528" s="55" t="s">
        <v>58</v>
      </c>
      <c r="D1528" s="57">
        <v>18973</v>
      </c>
      <c r="E1528" s="55">
        <v>3952</v>
      </c>
      <c r="F1528" s="55">
        <v>178</v>
      </c>
      <c r="G1528" s="55">
        <v>2</v>
      </c>
      <c r="H1528" s="55">
        <v>0</v>
      </c>
      <c r="I1528" s="55">
        <v>0</v>
      </c>
      <c r="J1528" s="55">
        <v>0</v>
      </c>
    </row>
    <row r="1529" spans="1:10" ht="15" x14ac:dyDescent="0.4">
      <c r="A1529" s="54">
        <v>46110</v>
      </c>
      <c r="B1529" s="55" t="s">
        <v>59</v>
      </c>
      <c r="C1529" s="55" t="s">
        <v>60</v>
      </c>
      <c r="D1529" s="57">
        <v>26966</v>
      </c>
      <c r="E1529" s="55">
        <v>5185</v>
      </c>
      <c r="F1529" s="55">
        <v>36</v>
      </c>
      <c r="G1529" s="55">
        <v>1</v>
      </c>
      <c r="H1529" s="55">
        <v>2</v>
      </c>
      <c r="I1529" s="55">
        <v>0</v>
      </c>
      <c r="J1529" s="55">
        <v>0</v>
      </c>
    </row>
    <row r="1530" spans="1:10" ht="15" x14ac:dyDescent="0.4">
      <c r="A1530" s="54">
        <v>46110</v>
      </c>
      <c r="B1530" s="55" t="s">
        <v>55</v>
      </c>
      <c r="C1530" s="55" t="s">
        <v>56</v>
      </c>
      <c r="D1530" s="57">
        <v>33483</v>
      </c>
      <c r="E1530" s="55">
        <v>23916</v>
      </c>
      <c r="F1530" s="55">
        <v>249</v>
      </c>
      <c r="G1530" s="55">
        <v>2</v>
      </c>
      <c r="H1530" s="55">
        <v>1</v>
      </c>
      <c r="I1530" s="55">
        <v>1</v>
      </c>
      <c r="J1530" s="55">
        <v>0</v>
      </c>
    </row>
    <row r="1531" spans="1:10" ht="15" x14ac:dyDescent="0.4">
      <c r="A1531" s="54">
        <v>46110</v>
      </c>
      <c r="B1531" s="55" t="s">
        <v>62</v>
      </c>
      <c r="C1531" s="55" t="s">
        <v>56</v>
      </c>
      <c r="D1531" s="57">
        <v>8518</v>
      </c>
      <c r="E1531" s="55">
        <v>6084</v>
      </c>
      <c r="F1531" s="55">
        <v>62</v>
      </c>
      <c r="G1531" s="55">
        <v>5</v>
      </c>
      <c r="H1531" s="55">
        <v>0</v>
      </c>
      <c r="I1531" s="55">
        <v>2</v>
      </c>
      <c r="J1531" s="55">
        <v>0</v>
      </c>
    </row>
    <row r="1532" spans="1:10" ht="15" x14ac:dyDescent="0.4">
      <c r="A1532" s="54">
        <v>46111</v>
      </c>
      <c r="B1532" s="55" t="s">
        <v>63</v>
      </c>
      <c r="C1532" s="55" t="s">
        <v>58</v>
      </c>
      <c r="D1532" s="57">
        <v>6535</v>
      </c>
      <c r="E1532" s="55">
        <v>1361</v>
      </c>
      <c r="F1532" s="55">
        <v>76</v>
      </c>
      <c r="G1532" s="55">
        <v>3</v>
      </c>
      <c r="H1532" s="55">
        <v>3</v>
      </c>
      <c r="I1532" s="55">
        <v>0</v>
      </c>
      <c r="J1532" s="55">
        <v>0</v>
      </c>
    </row>
    <row r="1533" spans="1:10" ht="15" x14ac:dyDescent="0.4">
      <c r="A1533" s="54">
        <v>46111</v>
      </c>
      <c r="B1533" s="55" t="s">
        <v>57</v>
      </c>
      <c r="C1533" s="55" t="s">
        <v>58</v>
      </c>
      <c r="D1533" s="57">
        <v>19493</v>
      </c>
      <c r="E1533" s="55">
        <v>4061</v>
      </c>
      <c r="F1533" s="55">
        <v>234</v>
      </c>
      <c r="G1533" s="55">
        <v>4</v>
      </c>
      <c r="H1533" s="55">
        <v>1</v>
      </c>
      <c r="I1533" s="55">
        <v>2</v>
      </c>
      <c r="J1533" s="55">
        <v>0</v>
      </c>
    </row>
    <row r="1534" spans="1:10" ht="15" x14ac:dyDescent="0.4">
      <c r="A1534" s="54">
        <v>46111</v>
      </c>
      <c r="B1534" s="55" t="s">
        <v>59</v>
      </c>
      <c r="C1534" s="55" t="s">
        <v>60</v>
      </c>
      <c r="D1534" s="57">
        <v>24528</v>
      </c>
      <c r="E1534" s="55">
        <v>4716</v>
      </c>
      <c r="F1534" s="55">
        <v>28</v>
      </c>
      <c r="G1534" s="55">
        <v>2</v>
      </c>
      <c r="H1534" s="55">
        <v>0</v>
      </c>
      <c r="I1534" s="55">
        <v>1</v>
      </c>
      <c r="J1534" s="55">
        <v>1</v>
      </c>
    </row>
    <row r="1535" spans="1:10" ht="15" x14ac:dyDescent="0.4">
      <c r="A1535" s="54">
        <v>46111</v>
      </c>
      <c r="B1535" s="55" t="s">
        <v>55</v>
      </c>
      <c r="C1535" s="55" t="s">
        <v>56</v>
      </c>
      <c r="D1535" s="57">
        <v>32194</v>
      </c>
      <c r="E1535" s="55">
        <v>22995</v>
      </c>
      <c r="F1535" s="55">
        <v>268</v>
      </c>
      <c r="G1535" s="55">
        <v>10</v>
      </c>
      <c r="H1535" s="55">
        <v>3</v>
      </c>
      <c r="I1535" s="55">
        <v>0</v>
      </c>
      <c r="J1535" s="55">
        <v>0</v>
      </c>
    </row>
    <row r="1536" spans="1:10" ht="15" x14ac:dyDescent="0.4">
      <c r="A1536" s="54">
        <v>46111</v>
      </c>
      <c r="B1536" s="55" t="s">
        <v>62</v>
      </c>
      <c r="C1536" s="55" t="s">
        <v>56</v>
      </c>
      <c r="D1536" s="57">
        <v>9560</v>
      </c>
      <c r="E1536" s="55">
        <v>6828</v>
      </c>
      <c r="F1536" s="55">
        <v>79</v>
      </c>
      <c r="G1536" s="55">
        <v>5</v>
      </c>
      <c r="H1536" s="55">
        <v>1</v>
      </c>
      <c r="I1536" s="55">
        <v>0</v>
      </c>
      <c r="J1536" s="55">
        <v>0</v>
      </c>
    </row>
    <row r="1537" spans="1:10" ht="15" x14ac:dyDescent="0.4">
      <c r="A1537" s="54">
        <v>46112</v>
      </c>
      <c r="B1537" s="55" t="s">
        <v>63</v>
      </c>
      <c r="C1537" s="55" t="s">
        <v>58</v>
      </c>
      <c r="D1537" s="57">
        <v>6977</v>
      </c>
      <c r="E1537" s="55">
        <v>1453</v>
      </c>
      <c r="F1537" s="55">
        <v>78</v>
      </c>
      <c r="G1537" s="55">
        <v>1</v>
      </c>
      <c r="H1537" s="55">
        <v>2</v>
      </c>
      <c r="I1537" s="55">
        <v>0</v>
      </c>
      <c r="J1537" s="55">
        <v>0</v>
      </c>
    </row>
    <row r="1538" spans="1:10" ht="15" x14ac:dyDescent="0.4">
      <c r="A1538" s="54">
        <v>46112</v>
      </c>
      <c r="B1538" s="55" t="s">
        <v>57</v>
      </c>
      <c r="C1538" s="55" t="s">
        <v>58</v>
      </c>
      <c r="D1538" s="57">
        <v>20167</v>
      </c>
      <c r="E1538" s="55">
        <v>4201</v>
      </c>
      <c r="F1538" s="55">
        <v>227</v>
      </c>
      <c r="G1538" s="55">
        <v>0</v>
      </c>
      <c r="H1538" s="55">
        <v>0</v>
      </c>
      <c r="I1538" s="55">
        <v>0</v>
      </c>
      <c r="J1538" s="55">
        <v>0</v>
      </c>
    </row>
    <row r="1539" spans="1:10" ht="15" x14ac:dyDescent="0.4">
      <c r="A1539" s="54">
        <v>46112</v>
      </c>
      <c r="B1539" s="55" t="s">
        <v>59</v>
      </c>
      <c r="C1539" s="55" t="s">
        <v>60</v>
      </c>
      <c r="D1539" s="57">
        <v>26762</v>
      </c>
      <c r="E1539" s="55">
        <v>5146</v>
      </c>
      <c r="F1539" s="55">
        <v>36</v>
      </c>
      <c r="G1539" s="55">
        <v>3</v>
      </c>
      <c r="H1539" s="55">
        <v>2</v>
      </c>
      <c r="I1539" s="55">
        <v>1</v>
      </c>
      <c r="J1539" s="55">
        <v>0</v>
      </c>
    </row>
    <row r="1540" spans="1:10" ht="15" x14ac:dyDescent="0.4">
      <c r="A1540" s="54">
        <v>46112</v>
      </c>
      <c r="B1540" s="55" t="s">
        <v>55</v>
      </c>
      <c r="C1540" s="55" t="s">
        <v>56</v>
      </c>
      <c r="D1540" s="57">
        <v>34716</v>
      </c>
      <c r="E1540" s="55">
        <v>24797</v>
      </c>
      <c r="F1540" s="55">
        <v>239</v>
      </c>
      <c r="G1540" s="55">
        <v>10</v>
      </c>
      <c r="H1540" s="55">
        <v>1</v>
      </c>
      <c r="I1540" s="55">
        <v>1</v>
      </c>
      <c r="J1540" s="55">
        <v>1</v>
      </c>
    </row>
    <row r="1541" spans="1:10" ht="15" x14ac:dyDescent="0.4">
      <c r="A1541" s="54">
        <v>46112</v>
      </c>
      <c r="B1541" s="55" t="s">
        <v>62</v>
      </c>
      <c r="C1541" s="55" t="s">
        <v>56</v>
      </c>
      <c r="D1541" s="57">
        <v>10112</v>
      </c>
      <c r="E1541" s="55">
        <v>7222</v>
      </c>
      <c r="F1541" s="55">
        <v>82</v>
      </c>
      <c r="G1541" s="55">
        <v>2</v>
      </c>
      <c r="H1541" s="55">
        <v>1</v>
      </c>
      <c r="I1541" s="55">
        <v>0</v>
      </c>
      <c r="J1541" s="55">
        <v>0</v>
      </c>
    </row>
    <row r="1542" spans="1:10" ht="15" x14ac:dyDescent="0.4">
      <c r="A1542" s="54">
        <v>46113</v>
      </c>
      <c r="B1542" s="55" t="s">
        <v>63</v>
      </c>
      <c r="C1542" s="55" t="s">
        <v>58</v>
      </c>
      <c r="D1542" s="57">
        <v>7113</v>
      </c>
      <c r="E1542" s="55">
        <v>1481</v>
      </c>
      <c r="F1542" s="55">
        <v>81</v>
      </c>
      <c r="G1542" s="55">
        <v>3</v>
      </c>
      <c r="H1542" s="55">
        <v>0</v>
      </c>
      <c r="I1542" s="55">
        <v>0</v>
      </c>
      <c r="J1542" s="55">
        <v>0</v>
      </c>
    </row>
    <row r="1543" spans="1:10" ht="15" x14ac:dyDescent="0.4">
      <c r="A1543" s="54">
        <v>46113</v>
      </c>
      <c r="B1543" s="55" t="s">
        <v>57</v>
      </c>
      <c r="C1543" s="55" t="s">
        <v>58</v>
      </c>
      <c r="D1543" s="57">
        <v>20839</v>
      </c>
      <c r="E1543" s="55">
        <v>4341</v>
      </c>
      <c r="F1543" s="55">
        <v>251</v>
      </c>
      <c r="G1543" s="55">
        <v>2</v>
      </c>
      <c r="H1543" s="55">
        <v>0</v>
      </c>
      <c r="I1543" s="55">
        <v>0</v>
      </c>
      <c r="J1543" s="55">
        <v>0</v>
      </c>
    </row>
    <row r="1544" spans="1:10" ht="15" x14ac:dyDescent="0.4">
      <c r="A1544" s="54">
        <v>46113</v>
      </c>
      <c r="B1544" s="55" t="s">
        <v>59</v>
      </c>
      <c r="C1544" s="55" t="s">
        <v>60</v>
      </c>
      <c r="D1544" s="57">
        <v>26171</v>
      </c>
      <c r="E1544" s="55">
        <v>5032</v>
      </c>
      <c r="F1544" s="55">
        <v>29</v>
      </c>
      <c r="G1544" s="55">
        <v>2</v>
      </c>
      <c r="H1544" s="55">
        <v>1</v>
      </c>
      <c r="I1544" s="55">
        <v>1</v>
      </c>
      <c r="J1544" s="55">
        <v>0</v>
      </c>
    </row>
    <row r="1545" spans="1:10" ht="15" x14ac:dyDescent="0.4">
      <c r="A1545" s="54">
        <v>46113</v>
      </c>
      <c r="B1545" s="55" t="s">
        <v>55</v>
      </c>
      <c r="C1545" s="55" t="s">
        <v>56</v>
      </c>
      <c r="D1545" s="57">
        <v>37406</v>
      </c>
      <c r="E1545" s="55">
        <v>26718</v>
      </c>
      <c r="F1545" s="55">
        <v>307</v>
      </c>
      <c r="G1545" s="55">
        <v>12</v>
      </c>
      <c r="H1545" s="55">
        <v>2</v>
      </c>
      <c r="I1545" s="55">
        <v>1</v>
      </c>
      <c r="J1545" s="55">
        <v>0</v>
      </c>
    </row>
    <row r="1546" spans="1:10" ht="15" x14ac:dyDescent="0.4">
      <c r="A1546" s="54">
        <v>46113</v>
      </c>
      <c r="B1546" s="55" t="s">
        <v>62</v>
      </c>
      <c r="C1546" s="55" t="s">
        <v>56</v>
      </c>
      <c r="D1546" s="57">
        <v>9065</v>
      </c>
      <c r="E1546" s="55">
        <v>6475</v>
      </c>
      <c r="F1546" s="55">
        <v>68</v>
      </c>
      <c r="G1546" s="55">
        <v>3</v>
      </c>
      <c r="H1546" s="55">
        <v>2</v>
      </c>
      <c r="I1546" s="55">
        <v>0</v>
      </c>
      <c r="J1546" s="55">
        <v>0</v>
      </c>
    </row>
    <row r="1547" spans="1:10" ht="15" x14ac:dyDescent="0.4">
      <c r="A1547" s="54">
        <v>46114</v>
      </c>
      <c r="B1547" s="55" t="s">
        <v>63</v>
      </c>
      <c r="C1547" s="55" t="s">
        <v>58</v>
      </c>
      <c r="D1547" s="57">
        <v>7207</v>
      </c>
      <c r="E1547" s="55">
        <v>1501</v>
      </c>
      <c r="F1547" s="55">
        <v>78</v>
      </c>
      <c r="G1547" s="55">
        <v>4</v>
      </c>
      <c r="H1547" s="55">
        <v>2</v>
      </c>
      <c r="I1547" s="55">
        <v>0</v>
      </c>
      <c r="J1547" s="55">
        <v>0</v>
      </c>
    </row>
    <row r="1548" spans="1:10" ht="15" x14ac:dyDescent="0.4">
      <c r="A1548" s="54">
        <v>46114</v>
      </c>
      <c r="B1548" s="55" t="s">
        <v>57</v>
      </c>
      <c r="C1548" s="55" t="s">
        <v>58</v>
      </c>
      <c r="D1548" s="57">
        <v>19349</v>
      </c>
      <c r="E1548" s="55">
        <v>4031</v>
      </c>
      <c r="F1548" s="55">
        <v>233</v>
      </c>
      <c r="G1548" s="55">
        <v>3</v>
      </c>
      <c r="H1548" s="55">
        <v>1</v>
      </c>
      <c r="I1548" s="55">
        <v>0</v>
      </c>
      <c r="J1548" s="55">
        <v>0</v>
      </c>
    </row>
    <row r="1549" spans="1:10" ht="15" x14ac:dyDescent="0.4">
      <c r="A1549" s="54">
        <v>46114</v>
      </c>
      <c r="B1549" s="55" t="s">
        <v>59</v>
      </c>
      <c r="C1549" s="55" t="s">
        <v>60</v>
      </c>
      <c r="D1549" s="57">
        <v>26252</v>
      </c>
      <c r="E1549" s="55">
        <v>5048</v>
      </c>
      <c r="F1549" s="55">
        <v>31</v>
      </c>
      <c r="G1549" s="55">
        <v>3</v>
      </c>
      <c r="H1549" s="55">
        <v>3</v>
      </c>
      <c r="I1549" s="55">
        <v>0</v>
      </c>
      <c r="J1549" s="55">
        <v>0</v>
      </c>
    </row>
    <row r="1550" spans="1:10" ht="15" x14ac:dyDescent="0.4">
      <c r="A1550" s="54">
        <v>46114</v>
      </c>
      <c r="B1550" s="55" t="s">
        <v>55</v>
      </c>
      <c r="C1550" s="55" t="s">
        <v>56</v>
      </c>
      <c r="D1550" s="57">
        <v>40974</v>
      </c>
      <c r="E1550" s="55">
        <v>29267</v>
      </c>
      <c r="F1550" s="55">
        <v>340</v>
      </c>
      <c r="G1550" s="55">
        <v>8</v>
      </c>
      <c r="H1550" s="55">
        <v>1</v>
      </c>
      <c r="I1550" s="55">
        <v>1</v>
      </c>
      <c r="J1550" s="55">
        <v>0</v>
      </c>
    </row>
    <row r="1551" spans="1:10" ht="15" x14ac:dyDescent="0.4">
      <c r="A1551" s="54">
        <v>46114</v>
      </c>
      <c r="B1551" s="55" t="s">
        <v>62</v>
      </c>
      <c r="C1551" s="55" t="s">
        <v>56</v>
      </c>
      <c r="D1551" s="57">
        <v>8630</v>
      </c>
      <c r="E1551" s="55">
        <v>6164</v>
      </c>
      <c r="F1551" s="55">
        <v>71</v>
      </c>
      <c r="G1551" s="55">
        <v>2</v>
      </c>
      <c r="H1551" s="55">
        <v>0</v>
      </c>
      <c r="I1551" s="55">
        <v>1</v>
      </c>
      <c r="J1551" s="55">
        <v>0</v>
      </c>
    </row>
    <row r="1552" spans="1:10" ht="15" x14ac:dyDescent="0.4">
      <c r="A1552" s="54">
        <v>46115</v>
      </c>
      <c r="B1552" s="55" t="s">
        <v>63</v>
      </c>
      <c r="C1552" s="55" t="s">
        <v>58</v>
      </c>
      <c r="D1552" s="57">
        <v>6164</v>
      </c>
      <c r="E1552" s="55">
        <v>1284</v>
      </c>
      <c r="F1552" s="55">
        <v>75</v>
      </c>
      <c r="G1552" s="55">
        <v>3</v>
      </c>
      <c r="H1552" s="55">
        <v>1</v>
      </c>
      <c r="I1552" s="55">
        <v>0</v>
      </c>
      <c r="J1552" s="55">
        <v>0</v>
      </c>
    </row>
    <row r="1553" spans="1:10" ht="15" x14ac:dyDescent="0.4">
      <c r="A1553" s="54">
        <v>46115</v>
      </c>
      <c r="B1553" s="55" t="s">
        <v>57</v>
      </c>
      <c r="C1553" s="55" t="s">
        <v>58</v>
      </c>
      <c r="D1553" s="57">
        <v>17968</v>
      </c>
      <c r="E1553" s="55">
        <v>3743</v>
      </c>
      <c r="F1553" s="55">
        <v>203</v>
      </c>
      <c r="G1553" s="55">
        <v>4</v>
      </c>
      <c r="H1553" s="55">
        <v>0</v>
      </c>
      <c r="I1553" s="55">
        <v>1</v>
      </c>
      <c r="J1553" s="55">
        <v>0</v>
      </c>
    </row>
    <row r="1554" spans="1:10" ht="15" x14ac:dyDescent="0.4">
      <c r="A1554" s="54">
        <v>46115</v>
      </c>
      <c r="B1554" s="55" t="s">
        <v>59</v>
      </c>
      <c r="C1554" s="55" t="s">
        <v>60</v>
      </c>
      <c r="D1554" s="57">
        <v>23444</v>
      </c>
      <c r="E1554" s="55">
        <v>4508</v>
      </c>
      <c r="F1554" s="55">
        <v>26</v>
      </c>
      <c r="G1554" s="55">
        <v>1</v>
      </c>
      <c r="H1554" s="55">
        <v>1</v>
      </c>
      <c r="I1554" s="55">
        <v>3</v>
      </c>
      <c r="J1554" s="55">
        <v>1</v>
      </c>
    </row>
    <row r="1555" spans="1:10" ht="15" x14ac:dyDescent="0.4">
      <c r="A1555" s="54">
        <v>46115</v>
      </c>
      <c r="B1555" s="55" t="s">
        <v>55</v>
      </c>
      <c r="C1555" s="55" t="s">
        <v>56</v>
      </c>
      <c r="D1555" s="57">
        <v>37231</v>
      </c>
      <c r="E1555" s="55">
        <v>26593</v>
      </c>
      <c r="F1555" s="55">
        <v>287</v>
      </c>
      <c r="G1555" s="55">
        <v>10</v>
      </c>
      <c r="H1555" s="55">
        <v>3</v>
      </c>
      <c r="I1555" s="55">
        <v>1</v>
      </c>
      <c r="J1555" s="55">
        <v>0</v>
      </c>
    </row>
    <row r="1556" spans="1:10" ht="15" x14ac:dyDescent="0.4">
      <c r="A1556" s="54">
        <v>46115</v>
      </c>
      <c r="B1556" s="55" t="s">
        <v>62</v>
      </c>
      <c r="C1556" s="55" t="s">
        <v>56</v>
      </c>
      <c r="D1556" s="57">
        <v>9800</v>
      </c>
      <c r="E1556" s="55">
        <v>7000</v>
      </c>
      <c r="F1556" s="55">
        <v>74</v>
      </c>
      <c r="G1556" s="55">
        <v>5</v>
      </c>
      <c r="H1556" s="55">
        <v>1</v>
      </c>
      <c r="I1556" s="55">
        <v>0</v>
      </c>
      <c r="J1556" s="55">
        <v>0</v>
      </c>
    </row>
    <row r="1557" spans="1:10" ht="15" x14ac:dyDescent="0.4">
      <c r="A1557" s="54">
        <v>46116</v>
      </c>
      <c r="B1557" s="55" t="s">
        <v>63</v>
      </c>
      <c r="C1557" s="55" t="s">
        <v>58</v>
      </c>
      <c r="D1557" s="57">
        <v>7146</v>
      </c>
      <c r="E1557" s="55">
        <v>1488</v>
      </c>
      <c r="F1557" s="55">
        <v>77</v>
      </c>
      <c r="G1557" s="55">
        <v>1</v>
      </c>
      <c r="H1557" s="55">
        <v>2</v>
      </c>
      <c r="I1557" s="55">
        <v>1</v>
      </c>
      <c r="J1557" s="55">
        <v>0</v>
      </c>
    </row>
    <row r="1558" spans="1:10" ht="15" x14ac:dyDescent="0.4">
      <c r="A1558" s="54">
        <v>46116</v>
      </c>
      <c r="B1558" s="55" t="s">
        <v>57</v>
      </c>
      <c r="C1558" s="55" t="s">
        <v>58</v>
      </c>
      <c r="D1558" s="57">
        <v>20536</v>
      </c>
      <c r="E1558" s="55">
        <v>4278</v>
      </c>
      <c r="F1558" s="55">
        <v>253</v>
      </c>
      <c r="G1558" s="55">
        <v>1</v>
      </c>
      <c r="H1558" s="55">
        <v>1</v>
      </c>
      <c r="I1558" s="55">
        <v>0</v>
      </c>
      <c r="J1558" s="55">
        <v>0</v>
      </c>
    </row>
    <row r="1559" spans="1:10" ht="15" x14ac:dyDescent="0.4">
      <c r="A1559" s="54">
        <v>46116</v>
      </c>
      <c r="B1559" s="55" t="s">
        <v>59</v>
      </c>
      <c r="C1559" s="55" t="s">
        <v>60</v>
      </c>
      <c r="D1559" s="57">
        <v>26416</v>
      </c>
      <c r="E1559" s="55">
        <v>5080</v>
      </c>
      <c r="F1559" s="55">
        <v>32</v>
      </c>
      <c r="G1559" s="55">
        <v>2</v>
      </c>
      <c r="H1559" s="55">
        <v>1</v>
      </c>
      <c r="I1559" s="55">
        <v>0</v>
      </c>
      <c r="J1559" s="55">
        <v>0</v>
      </c>
    </row>
    <row r="1560" spans="1:10" ht="15" x14ac:dyDescent="0.4">
      <c r="A1560" s="54">
        <v>46116</v>
      </c>
      <c r="B1560" s="55" t="s">
        <v>55</v>
      </c>
      <c r="C1560" s="55" t="s">
        <v>56</v>
      </c>
      <c r="D1560" s="57">
        <v>41593</v>
      </c>
      <c r="E1560" s="55">
        <v>29709</v>
      </c>
      <c r="F1560" s="55">
        <v>284</v>
      </c>
      <c r="G1560" s="55">
        <v>7</v>
      </c>
      <c r="H1560" s="55">
        <v>2</v>
      </c>
      <c r="I1560" s="55">
        <v>0</v>
      </c>
      <c r="J1560" s="55">
        <v>0</v>
      </c>
    </row>
    <row r="1561" spans="1:10" ht="15" x14ac:dyDescent="0.4">
      <c r="A1561" s="54">
        <v>46116</v>
      </c>
      <c r="B1561" s="55" t="s">
        <v>62</v>
      </c>
      <c r="C1561" s="55" t="s">
        <v>56</v>
      </c>
      <c r="D1561" s="57">
        <v>9604</v>
      </c>
      <c r="E1561" s="55">
        <v>6860</v>
      </c>
      <c r="F1561" s="55">
        <v>82</v>
      </c>
      <c r="G1561" s="55">
        <v>1</v>
      </c>
      <c r="H1561" s="55">
        <v>1</v>
      </c>
      <c r="I1561" s="55">
        <v>0</v>
      </c>
      <c r="J1561" s="55">
        <v>0</v>
      </c>
    </row>
    <row r="1562" spans="1:10" ht="15" x14ac:dyDescent="0.4">
      <c r="A1562" s="54">
        <v>46117</v>
      </c>
      <c r="B1562" s="55" t="s">
        <v>63</v>
      </c>
      <c r="C1562" s="55" t="s">
        <v>58</v>
      </c>
      <c r="D1562" s="57">
        <v>7325</v>
      </c>
      <c r="E1562" s="55">
        <v>1526</v>
      </c>
      <c r="F1562" s="55">
        <v>82</v>
      </c>
      <c r="G1562" s="55">
        <v>4</v>
      </c>
      <c r="H1562" s="55">
        <v>1</v>
      </c>
      <c r="I1562" s="55">
        <v>1</v>
      </c>
      <c r="J1562" s="55">
        <v>1</v>
      </c>
    </row>
    <row r="1563" spans="1:10" ht="15" x14ac:dyDescent="0.4">
      <c r="A1563" s="54">
        <v>46117</v>
      </c>
      <c r="B1563" s="55" t="s">
        <v>57</v>
      </c>
      <c r="C1563" s="55" t="s">
        <v>58</v>
      </c>
      <c r="D1563" s="57">
        <v>17394</v>
      </c>
      <c r="E1563" s="55">
        <v>3623</v>
      </c>
      <c r="F1563" s="55">
        <v>182</v>
      </c>
      <c r="G1563" s="55">
        <v>1</v>
      </c>
      <c r="H1563" s="55">
        <v>0</v>
      </c>
      <c r="I1563" s="55">
        <v>1</v>
      </c>
      <c r="J1563" s="55">
        <v>0</v>
      </c>
    </row>
    <row r="1564" spans="1:10" ht="15" x14ac:dyDescent="0.4">
      <c r="A1564" s="54">
        <v>46117</v>
      </c>
      <c r="B1564" s="55" t="s">
        <v>59</v>
      </c>
      <c r="C1564" s="55" t="s">
        <v>60</v>
      </c>
      <c r="D1564" s="57">
        <v>26582</v>
      </c>
      <c r="E1564" s="55">
        <v>5111</v>
      </c>
      <c r="F1564" s="55">
        <v>32</v>
      </c>
      <c r="G1564" s="55">
        <v>2</v>
      </c>
      <c r="H1564" s="55">
        <v>2</v>
      </c>
      <c r="I1564" s="55">
        <v>1</v>
      </c>
      <c r="J1564" s="55">
        <v>0</v>
      </c>
    </row>
    <row r="1565" spans="1:10" ht="15" x14ac:dyDescent="0.4">
      <c r="A1565" s="54">
        <v>46117</v>
      </c>
      <c r="B1565" s="55" t="s">
        <v>55</v>
      </c>
      <c r="C1565" s="55" t="s">
        <v>56</v>
      </c>
      <c r="D1565" s="57">
        <v>36885</v>
      </c>
      <c r="E1565" s="55">
        <v>26346</v>
      </c>
      <c r="F1565" s="55">
        <v>330</v>
      </c>
      <c r="G1565" s="55">
        <v>3</v>
      </c>
      <c r="H1565" s="55">
        <v>3</v>
      </c>
      <c r="I1565" s="55">
        <v>0</v>
      </c>
      <c r="J1565" s="55">
        <v>0</v>
      </c>
    </row>
    <row r="1566" spans="1:10" ht="15" x14ac:dyDescent="0.4">
      <c r="A1566" s="54">
        <v>46117</v>
      </c>
      <c r="B1566" s="55" t="s">
        <v>62</v>
      </c>
      <c r="C1566" s="55" t="s">
        <v>56</v>
      </c>
      <c r="D1566" s="57">
        <v>9346</v>
      </c>
      <c r="E1566" s="55">
        <v>6675</v>
      </c>
      <c r="F1566" s="55">
        <v>82</v>
      </c>
      <c r="G1566" s="55">
        <v>1</v>
      </c>
      <c r="H1566" s="55">
        <v>0</v>
      </c>
      <c r="I1566" s="55">
        <v>0</v>
      </c>
      <c r="J1566" s="55">
        <v>0</v>
      </c>
    </row>
    <row r="1567" spans="1:10" ht="15" x14ac:dyDescent="0.4">
      <c r="A1567" s="54">
        <v>46118</v>
      </c>
      <c r="B1567" s="55" t="s">
        <v>63</v>
      </c>
      <c r="C1567" s="55" t="s">
        <v>58</v>
      </c>
      <c r="D1567" s="57">
        <v>6291</v>
      </c>
      <c r="E1567" s="55">
        <v>1310</v>
      </c>
      <c r="F1567" s="55">
        <v>60</v>
      </c>
      <c r="G1567" s="55">
        <v>5</v>
      </c>
      <c r="H1567" s="55">
        <v>1</v>
      </c>
      <c r="I1567" s="55">
        <v>0</v>
      </c>
      <c r="J1567" s="55">
        <v>0</v>
      </c>
    </row>
    <row r="1568" spans="1:10" ht="15" x14ac:dyDescent="0.4">
      <c r="A1568" s="54">
        <v>46118</v>
      </c>
      <c r="B1568" s="55" t="s">
        <v>57</v>
      </c>
      <c r="C1568" s="55" t="s">
        <v>58</v>
      </c>
      <c r="D1568" s="57">
        <v>19209</v>
      </c>
      <c r="E1568" s="55">
        <v>4001</v>
      </c>
      <c r="F1568" s="55">
        <v>210</v>
      </c>
      <c r="G1568" s="55">
        <v>4</v>
      </c>
      <c r="H1568" s="55">
        <v>0</v>
      </c>
      <c r="I1568" s="55">
        <v>0</v>
      </c>
      <c r="J1568" s="55">
        <v>0</v>
      </c>
    </row>
    <row r="1569" spans="1:10" ht="15" x14ac:dyDescent="0.4">
      <c r="A1569" s="54">
        <v>46118</v>
      </c>
      <c r="B1569" s="55" t="s">
        <v>59</v>
      </c>
      <c r="C1569" s="55" t="s">
        <v>60</v>
      </c>
      <c r="D1569" s="57">
        <v>26557</v>
      </c>
      <c r="E1569" s="55">
        <v>5107</v>
      </c>
      <c r="F1569" s="55">
        <v>36</v>
      </c>
      <c r="G1569" s="55">
        <v>3</v>
      </c>
      <c r="H1569" s="55">
        <v>0</v>
      </c>
      <c r="I1569" s="55">
        <v>1</v>
      </c>
      <c r="J1569" s="55">
        <v>0</v>
      </c>
    </row>
    <row r="1570" spans="1:10" ht="15" x14ac:dyDescent="0.4">
      <c r="A1570" s="54">
        <v>46118</v>
      </c>
      <c r="B1570" s="55" t="s">
        <v>55</v>
      </c>
      <c r="C1570" s="55" t="s">
        <v>56</v>
      </c>
      <c r="D1570" s="57">
        <v>35839</v>
      </c>
      <c r="E1570" s="55">
        <v>25599</v>
      </c>
      <c r="F1570" s="55">
        <v>276</v>
      </c>
      <c r="G1570" s="55">
        <v>13</v>
      </c>
      <c r="H1570" s="55">
        <v>2</v>
      </c>
      <c r="I1570" s="55">
        <v>1</v>
      </c>
      <c r="J1570" s="55">
        <v>0</v>
      </c>
    </row>
    <row r="1571" spans="1:10" ht="15" x14ac:dyDescent="0.4">
      <c r="A1571" s="54">
        <v>46118</v>
      </c>
      <c r="B1571" s="55" t="s">
        <v>62</v>
      </c>
      <c r="C1571" s="55" t="s">
        <v>56</v>
      </c>
      <c r="D1571" s="57">
        <v>8708</v>
      </c>
      <c r="E1571" s="55">
        <v>6220</v>
      </c>
      <c r="F1571" s="55">
        <v>63</v>
      </c>
      <c r="G1571" s="55">
        <v>2</v>
      </c>
      <c r="H1571" s="55">
        <v>0</v>
      </c>
      <c r="I1571" s="55">
        <v>0</v>
      </c>
      <c r="J1571" s="55">
        <v>0</v>
      </c>
    </row>
    <row r="1572" spans="1:10" ht="15" x14ac:dyDescent="0.4">
      <c r="A1572" s="54">
        <v>46119</v>
      </c>
      <c r="B1572" s="55" t="s">
        <v>63</v>
      </c>
      <c r="C1572" s="55" t="s">
        <v>58</v>
      </c>
      <c r="D1572" s="57">
        <v>6575</v>
      </c>
      <c r="E1572" s="55">
        <v>1369</v>
      </c>
      <c r="F1572" s="55">
        <v>68</v>
      </c>
      <c r="G1572" s="55">
        <v>3</v>
      </c>
      <c r="H1572" s="55">
        <v>3</v>
      </c>
      <c r="I1572" s="55">
        <v>2</v>
      </c>
      <c r="J1572" s="55">
        <v>0</v>
      </c>
    </row>
    <row r="1573" spans="1:10" ht="15" x14ac:dyDescent="0.4">
      <c r="A1573" s="54">
        <v>46119</v>
      </c>
      <c r="B1573" s="55" t="s">
        <v>57</v>
      </c>
      <c r="C1573" s="55" t="s">
        <v>58</v>
      </c>
      <c r="D1573" s="57">
        <v>19313</v>
      </c>
      <c r="E1573" s="55">
        <v>4023</v>
      </c>
      <c r="F1573" s="55">
        <v>225</v>
      </c>
      <c r="G1573" s="55">
        <v>6</v>
      </c>
      <c r="H1573" s="55">
        <v>3</v>
      </c>
      <c r="I1573" s="55">
        <v>0</v>
      </c>
      <c r="J1573" s="55">
        <v>0</v>
      </c>
    </row>
    <row r="1574" spans="1:10" ht="15" x14ac:dyDescent="0.4">
      <c r="A1574" s="54">
        <v>46119</v>
      </c>
      <c r="B1574" s="55" t="s">
        <v>59</v>
      </c>
      <c r="C1574" s="55" t="s">
        <v>60</v>
      </c>
      <c r="D1574" s="57">
        <v>27977</v>
      </c>
      <c r="E1574" s="55">
        <v>5380</v>
      </c>
      <c r="F1574" s="55">
        <v>38</v>
      </c>
      <c r="G1574" s="55">
        <v>1</v>
      </c>
      <c r="H1574" s="55">
        <v>1</v>
      </c>
      <c r="I1574" s="55">
        <v>0</v>
      </c>
      <c r="J1574" s="55">
        <v>1</v>
      </c>
    </row>
    <row r="1575" spans="1:10" ht="15" x14ac:dyDescent="0.4">
      <c r="A1575" s="54">
        <v>46119</v>
      </c>
      <c r="B1575" s="55" t="s">
        <v>55</v>
      </c>
      <c r="C1575" s="55" t="s">
        <v>56</v>
      </c>
      <c r="D1575" s="57">
        <v>42481</v>
      </c>
      <c r="E1575" s="55">
        <v>30343</v>
      </c>
      <c r="F1575" s="55">
        <v>350</v>
      </c>
      <c r="G1575" s="55">
        <v>13</v>
      </c>
      <c r="H1575" s="55">
        <v>2</v>
      </c>
      <c r="I1575" s="55">
        <v>1</v>
      </c>
      <c r="J1575" s="55">
        <v>0</v>
      </c>
    </row>
    <row r="1576" spans="1:10" ht="15" x14ac:dyDescent="0.4">
      <c r="A1576" s="54">
        <v>46119</v>
      </c>
      <c r="B1576" s="55" t="s">
        <v>62</v>
      </c>
      <c r="C1576" s="55" t="s">
        <v>56</v>
      </c>
      <c r="D1576" s="57">
        <v>8892</v>
      </c>
      <c r="E1576" s="55">
        <v>6351</v>
      </c>
      <c r="F1576" s="55">
        <v>65</v>
      </c>
      <c r="G1576" s="55">
        <v>3</v>
      </c>
      <c r="H1576" s="55">
        <v>0</v>
      </c>
      <c r="I1576" s="55">
        <v>0</v>
      </c>
      <c r="J1576" s="55">
        <v>0</v>
      </c>
    </row>
    <row r="1577" spans="1:10" ht="15" x14ac:dyDescent="0.4">
      <c r="A1577" s="54">
        <v>46120</v>
      </c>
      <c r="B1577" s="55" t="s">
        <v>63</v>
      </c>
      <c r="C1577" s="55" t="s">
        <v>58</v>
      </c>
      <c r="D1577" s="57">
        <v>6613</v>
      </c>
      <c r="E1577" s="55">
        <v>1377</v>
      </c>
      <c r="F1577" s="55">
        <v>80</v>
      </c>
      <c r="G1577" s="55">
        <v>2</v>
      </c>
      <c r="H1577" s="55">
        <v>1</v>
      </c>
      <c r="I1577" s="55">
        <v>0</v>
      </c>
      <c r="J1577" s="55">
        <v>0</v>
      </c>
    </row>
    <row r="1578" spans="1:10" ht="15" x14ac:dyDescent="0.4">
      <c r="A1578" s="54">
        <v>46120</v>
      </c>
      <c r="B1578" s="55" t="s">
        <v>57</v>
      </c>
      <c r="C1578" s="55" t="s">
        <v>58</v>
      </c>
      <c r="D1578" s="57">
        <v>18490</v>
      </c>
      <c r="E1578" s="55">
        <v>3852</v>
      </c>
      <c r="F1578" s="55">
        <v>210</v>
      </c>
      <c r="G1578" s="55">
        <v>2</v>
      </c>
      <c r="H1578" s="55">
        <v>0</v>
      </c>
      <c r="I1578" s="55">
        <v>0</v>
      </c>
      <c r="J1578" s="55">
        <v>0</v>
      </c>
    </row>
    <row r="1579" spans="1:10" ht="15" x14ac:dyDescent="0.4">
      <c r="A1579" s="54">
        <v>46120</v>
      </c>
      <c r="B1579" s="55" t="s">
        <v>59</v>
      </c>
      <c r="C1579" s="55" t="s">
        <v>60</v>
      </c>
      <c r="D1579" s="57">
        <v>26367</v>
      </c>
      <c r="E1579" s="55">
        <v>5070</v>
      </c>
      <c r="F1579" s="55">
        <v>35</v>
      </c>
      <c r="G1579" s="55">
        <v>2</v>
      </c>
      <c r="H1579" s="55">
        <v>0</v>
      </c>
      <c r="I1579" s="55">
        <v>1</v>
      </c>
      <c r="J1579" s="55">
        <v>0</v>
      </c>
    </row>
    <row r="1580" spans="1:10" ht="15" x14ac:dyDescent="0.4">
      <c r="A1580" s="54">
        <v>46120</v>
      </c>
      <c r="B1580" s="55" t="s">
        <v>55</v>
      </c>
      <c r="C1580" s="55" t="s">
        <v>56</v>
      </c>
      <c r="D1580" s="57">
        <v>37739</v>
      </c>
      <c r="E1580" s="55">
        <v>26956</v>
      </c>
      <c r="F1580" s="55">
        <v>268</v>
      </c>
      <c r="G1580" s="55">
        <v>8</v>
      </c>
      <c r="H1580" s="55">
        <v>2</v>
      </c>
      <c r="I1580" s="55">
        <v>2</v>
      </c>
      <c r="J1580" s="55">
        <v>0</v>
      </c>
    </row>
    <row r="1581" spans="1:10" ht="15" x14ac:dyDescent="0.4">
      <c r="A1581" s="54">
        <v>46120</v>
      </c>
      <c r="B1581" s="55" t="s">
        <v>62</v>
      </c>
      <c r="C1581" s="55" t="s">
        <v>56</v>
      </c>
      <c r="D1581" s="57">
        <v>9635</v>
      </c>
      <c r="E1581" s="55">
        <v>6882</v>
      </c>
      <c r="F1581" s="55">
        <v>78</v>
      </c>
      <c r="G1581" s="55">
        <v>6</v>
      </c>
      <c r="H1581" s="55">
        <v>0</v>
      </c>
      <c r="I1581" s="55">
        <v>0</v>
      </c>
      <c r="J1581" s="55">
        <v>0</v>
      </c>
    </row>
    <row r="1582" spans="1:10" ht="15" x14ac:dyDescent="0.4">
      <c r="A1582" s="54">
        <v>46121</v>
      </c>
      <c r="B1582" s="55" t="s">
        <v>63</v>
      </c>
      <c r="C1582" s="55" t="s">
        <v>58</v>
      </c>
      <c r="D1582" s="57">
        <v>7415</v>
      </c>
      <c r="E1582" s="55">
        <v>1544</v>
      </c>
      <c r="F1582" s="55">
        <v>84</v>
      </c>
      <c r="G1582" s="55">
        <v>5</v>
      </c>
      <c r="H1582" s="55">
        <v>0</v>
      </c>
      <c r="I1582" s="55">
        <v>0</v>
      </c>
      <c r="J1582" s="55">
        <v>0</v>
      </c>
    </row>
    <row r="1583" spans="1:10" ht="15" x14ac:dyDescent="0.4">
      <c r="A1583" s="54">
        <v>46121</v>
      </c>
      <c r="B1583" s="55" t="s">
        <v>57</v>
      </c>
      <c r="C1583" s="55" t="s">
        <v>58</v>
      </c>
      <c r="D1583" s="57">
        <v>20983</v>
      </c>
      <c r="E1583" s="55">
        <v>4371</v>
      </c>
      <c r="F1583" s="55">
        <v>201</v>
      </c>
      <c r="G1583" s="55">
        <v>2</v>
      </c>
      <c r="H1583" s="55">
        <v>1</v>
      </c>
      <c r="I1583" s="55">
        <v>0</v>
      </c>
      <c r="J1583" s="55">
        <v>0</v>
      </c>
    </row>
    <row r="1584" spans="1:10" ht="15" x14ac:dyDescent="0.4">
      <c r="A1584" s="54">
        <v>46121</v>
      </c>
      <c r="B1584" s="55" t="s">
        <v>59</v>
      </c>
      <c r="C1584" s="55" t="s">
        <v>60</v>
      </c>
      <c r="D1584" s="57">
        <v>26879</v>
      </c>
      <c r="E1584" s="55">
        <v>5169</v>
      </c>
      <c r="F1584" s="55">
        <v>31</v>
      </c>
      <c r="G1584" s="55">
        <v>2</v>
      </c>
      <c r="H1584" s="55">
        <v>0</v>
      </c>
      <c r="I1584" s="55">
        <v>1</v>
      </c>
      <c r="J1584" s="55">
        <v>0</v>
      </c>
    </row>
    <row r="1585" spans="1:10" ht="15" x14ac:dyDescent="0.4">
      <c r="A1585" s="54">
        <v>46121</v>
      </c>
      <c r="B1585" s="55" t="s">
        <v>55</v>
      </c>
      <c r="C1585" s="55" t="s">
        <v>56</v>
      </c>
      <c r="D1585" s="57">
        <v>41458</v>
      </c>
      <c r="E1585" s="55">
        <v>29612</v>
      </c>
      <c r="F1585" s="55">
        <v>318</v>
      </c>
      <c r="G1585" s="55">
        <v>12</v>
      </c>
      <c r="H1585" s="55">
        <v>2</v>
      </c>
      <c r="I1585" s="55">
        <v>0</v>
      </c>
      <c r="J1585" s="55">
        <v>0</v>
      </c>
    </row>
    <row r="1586" spans="1:10" ht="15" x14ac:dyDescent="0.4">
      <c r="A1586" s="54">
        <v>46121</v>
      </c>
      <c r="B1586" s="55" t="s">
        <v>62</v>
      </c>
      <c r="C1586" s="55" t="s">
        <v>56</v>
      </c>
      <c r="D1586" s="57">
        <v>8904</v>
      </c>
      <c r="E1586" s="55">
        <v>6360</v>
      </c>
      <c r="F1586" s="55">
        <v>75</v>
      </c>
      <c r="G1586" s="55">
        <v>5</v>
      </c>
      <c r="H1586" s="55">
        <v>2</v>
      </c>
      <c r="I1586" s="55">
        <v>0</v>
      </c>
      <c r="J1586" s="55">
        <v>0</v>
      </c>
    </row>
    <row r="1587" spans="1:10" ht="15" x14ac:dyDescent="0.4">
      <c r="A1587" s="54">
        <v>46122</v>
      </c>
      <c r="B1587" s="55" t="s">
        <v>63</v>
      </c>
      <c r="C1587" s="55" t="s">
        <v>58</v>
      </c>
      <c r="D1587" s="57">
        <v>7219</v>
      </c>
      <c r="E1587" s="55">
        <v>1503</v>
      </c>
      <c r="F1587" s="55">
        <v>74</v>
      </c>
      <c r="G1587" s="55">
        <v>5</v>
      </c>
      <c r="H1587" s="55">
        <v>1</v>
      </c>
      <c r="I1587" s="55">
        <v>1</v>
      </c>
      <c r="J1587" s="55">
        <v>1</v>
      </c>
    </row>
    <row r="1588" spans="1:10" ht="15" x14ac:dyDescent="0.4">
      <c r="A1588" s="54">
        <v>46122</v>
      </c>
      <c r="B1588" s="55" t="s">
        <v>57</v>
      </c>
      <c r="C1588" s="55" t="s">
        <v>58</v>
      </c>
      <c r="D1588" s="57">
        <v>20628</v>
      </c>
      <c r="E1588" s="55">
        <v>4297</v>
      </c>
      <c r="F1588" s="55">
        <v>211</v>
      </c>
      <c r="G1588" s="55">
        <v>2</v>
      </c>
      <c r="H1588" s="55">
        <v>0</v>
      </c>
      <c r="I1588" s="55">
        <v>0</v>
      </c>
      <c r="J1588" s="55">
        <v>0</v>
      </c>
    </row>
    <row r="1589" spans="1:10" ht="15" x14ac:dyDescent="0.4">
      <c r="A1589" s="54">
        <v>46122</v>
      </c>
      <c r="B1589" s="55" t="s">
        <v>59</v>
      </c>
      <c r="C1589" s="55" t="s">
        <v>60</v>
      </c>
      <c r="D1589" s="57">
        <v>23748</v>
      </c>
      <c r="E1589" s="55">
        <v>4566</v>
      </c>
      <c r="F1589" s="55">
        <v>31</v>
      </c>
      <c r="G1589" s="55">
        <v>0</v>
      </c>
      <c r="H1589" s="55">
        <v>1</v>
      </c>
      <c r="I1589" s="55">
        <v>1</v>
      </c>
      <c r="J1589" s="55">
        <v>0</v>
      </c>
    </row>
    <row r="1590" spans="1:10" ht="15" x14ac:dyDescent="0.4">
      <c r="A1590" s="54">
        <v>46122</v>
      </c>
      <c r="B1590" s="55" t="s">
        <v>55</v>
      </c>
      <c r="C1590" s="55" t="s">
        <v>56</v>
      </c>
      <c r="D1590" s="57">
        <v>42582</v>
      </c>
      <c r="E1590" s="55">
        <v>30415</v>
      </c>
      <c r="F1590" s="55">
        <v>367</v>
      </c>
      <c r="G1590" s="55">
        <v>7</v>
      </c>
      <c r="H1590" s="55">
        <v>4</v>
      </c>
      <c r="I1590" s="55">
        <v>2</v>
      </c>
      <c r="J1590" s="55">
        <v>0</v>
      </c>
    </row>
    <row r="1591" spans="1:10" ht="15" x14ac:dyDescent="0.4">
      <c r="A1591" s="54">
        <v>46122</v>
      </c>
      <c r="B1591" s="55" t="s">
        <v>62</v>
      </c>
      <c r="C1591" s="55" t="s">
        <v>56</v>
      </c>
      <c r="D1591" s="57">
        <v>9313</v>
      </c>
      <c r="E1591" s="55">
        <v>6652</v>
      </c>
      <c r="F1591" s="55">
        <v>65</v>
      </c>
      <c r="G1591" s="55">
        <v>3</v>
      </c>
      <c r="H1591" s="55">
        <v>4</v>
      </c>
      <c r="I1591" s="55">
        <v>1</v>
      </c>
      <c r="J1591" s="55">
        <v>0</v>
      </c>
    </row>
    <row r="1592" spans="1:10" ht="15" x14ac:dyDescent="0.4">
      <c r="A1592" s="54">
        <v>46123</v>
      </c>
      <c r="B1592" s="55" t="s">
        <v>63</v>
      </c>
      <c r="C1592" s="55" t="s">
        <v>58</v>
      </c>
      <c r="D1592" s="57">
        <v>6691</v>
      </c>
      <c r="E1592" s="55">
        <v>1393</v>
      </c>
      <c r="F1592" s="55">
        <v>70</v>
      </c>
      <c r="G1592" s="55">
        <v>1</v>
      </c>
      <c r="H1592" s="55">
        <v>1</v>
      </c>
      <c r="I1592" s="55">
        <v>1</v>
      </c>
      <c r="J1592" s="55">
        <v>0</v>
      </c>
    </row>
    <row r="1593" spans="1:10" ht="15" x14ac:dyDescent="0.4">
      <c r="A1593" s="54">
        <v>46123</v>
      </c>
      <c r="B1593" s="55" t="s">
        <v>57</v>
      </c>
      <c r="C1593" s="55" t="s">
        <v>58</v>
      </c>
      <c r="D1593" s="57">
        <v>19719</v>
      </c>
      <c r="E1593" s="55">
        <v>4108</v>
      </c>
      <c r="F1593" s="55">
        <v>196</v>
      </c>
      <c r="G1593" s="55">
        <v>3</v>
      </c>
      <c r="H1593" s="55">
        <v>1</v>
      </c>
      <c r="I1593" s="55">
        <v>0</v>
      </c>
      <c r="J1593" s="55">
        <v>0</v>
      </c>
    </row>
    <row r="1594" spans="1:10" ht="15" x14ac:dyDescent="0.4">
      <c r="A1594" s="54">
        <v>46123</v>
      </c>
      <c r="B1594" s="55" t="s">
        <v>59</v>
      </c>
      <c r="C1594" s="55" t="s">
        <v>60</v>
      </c>
      <c r="D1594" s="57">
        <v>26369</v>
      </c>
      <c r="E1594" s="55">
        <v>5070</v>
      </c>
      <c r="F1594" s="55">
        <v>32</v>
      </c>
      <c r="G1594" s="55">
        <v>1</v>
      </c>
      <c r="H1594" s="55">
        <v>1</v>
      </c>
      <c r="I1594" s="55">
        <v>0</v>
      </c>
      <c r="J1594" s="55">
        <v>0</v>
      </c>
    </row>
    <row r="1595" spans="1:10" ht="15" x14ac:dyDescent="0.4">
      <c r="A1595" s="54">
        <v>46123</v>
      </c>
      <c r="B1595" s="55" t="s">
        <v>55</v>
      </c>
      <c r="C1595" s="55" t="s">
        <v>56</v>
      </c>
      <c r="D1595" s="57">
        <v>37577</v>
      </c>
      <c r="E1595" s="55">
        <v>26840</v>
      </c>
      <c r="F1595" s="55">
        <v>291</v>
      </c>
      <c r="G1595" s="55">
        <v>11</v>
      </c>
      <c r="H1595" s="55">
        <v>0</v>
      </c>
      <c r="I1595" s="55">
        <v>2</v>
      </c>
      <c r="J1595" s="55">
        <v>0</v>
      </c>
    </row>
    <row r="1596" spans="1:10" ht="15" x14ac:dyDescent="0.4">
      <c r="A1596" s="54">
        <v>46123</v>
      </c>
      <c r="B1596" s="55" t="s">
        <v>62</v>
      </c>
      <c r="C1596" s="55" t="s">
        <v>56</v>
      </c>
      <c r="D1596" s="57">
        <v>9691</v>
      </c>
      <c r="E1596" s="55">
        <v>6922</v>
      </c>
      <c r="F1596" s="55">
        <v>73</v>
      </c>
      <c r="G1596" s="55">
        <v>2</v>
      </c>
      <c r="H1596" s="55">
        <v>1</v>
      </c>
      <c r="I1596" s="55">
        <v>0</v>
      </c>
      <c r="J1596" s="55">
        <v>0</v>
      </c>
    </row>
    <row r="1597" spans="1:10" ht="15" x14ac:dyDescent="0.4">
      <c r="A1597" s="54">
        <v>46124</v>
      </c>
      <c r="B1597" s="55" t="s">
        <v>63</v>
      </c>
      <c r="C1597" s="55" t="s">
        <v>58</v>
      </c>
      <c r="D1597" s="57">
        <v>6565</v>
      </c>
      <c r="E1597" s="55">
        <v>1367</v>
      </c>
      <c r="F1597" s="55">
        <v>63</v>
      </c>
      <c r="G1597" s="55">
        <v>2</v>
      </c>
      <c r="H1597" s="55">
        <v>3</v>
      </c>
      <c r="I1597" s="55">
        <v>0</v>
      </c>
      <c r="J1597" s="55">
        <v>0</v>
      </c>
    </row>
    <row r="1598" spans="1:10" ht="15" x14ac:dyDescent="0.4">
      <c r="A1598" s="54">
        <v>46124</v>
      </c>
      <c r="B1598" s="55" t="s">
        <v>57</v>
      </c>
      <c r="C1598" s="55" t="s">
        <v>58</v>
      </c>
      <c r="D1598" s="57">
        <v>20162</v>
      </c>
      <c r="E1598" s="55">
        <v>4200</v>
      </c>
      <c r="F1598" s="55">
        <v>242</v>
      </c>
      <c r="G1598" s="55">
        <v>1</v>
      </c>
      <c r="H1598" s="55">
        <v>0</v>
      </c>
      <c r="I1598" s="55">
        <v>0</v>
      </c>
      <c r="J1598" s="55">
        <v>0</v>
      </c>
    </row>
    <row r="1599" spans="1:10" ht="15" x14ac:dyDescent="0.4">
      <c r="A1599" s="54">
        <v>46124</v>
      </c>
      <c r="B1599" s="55" t="s">
        <v>59</v>
      </c>
      <c r="C1599" s="55" t="s">
        <v>60</v>
      </c>
      <c r="D1599" s="57">
        <v>26657</v>
      </c>
      <c r="E1599" s="55">
        <v>5126</v>
      </c>
      <c r="F1599" s="55">
        <v>34</v>
      </c>
      <c r="G1599" s="55">
        <v>0</v>
      </c>
      <c r="H1599" s="55">
        <v>0</v>
      </c>
      <c r="I1599" s="55">
        <v>0</v>
      </c>
      <c r="J1599" s="55">
        <v>0</v>
      </c>
    </row>
    <row r="1600" spans="1:10" ht="15" x14ac:dyDescent="0.4">
      <c r="A1600" s="54">
        <v>46124</v>
      </c>
      <c r="B1600" s="55" t="s">
        <v>55</v>
      </c>
      <c r="C1600" s="55" t="s">
        <v>56</v>
      </c>
      <c r="D1600" s="57">
        <v>38660</v>
      </c>
      <c r="E1600" s="55">
        <v>27614</v>
      </c>
      <c r="F1600" s="55">
        <v>332</v>
      </c>
      <c r="G1600" s="55">
        <v>14</v>
      </c>
      <c r="H1600" s="55">
        <v>2</v>
      </c>
      <c r="I1600" s="55">
        <v>1</v>
      </c>
      <c r="J1600" s="55">
        <v>0</v>
      </c>
    </row>
    <row r="1601" spans="1:10" ht="15" x14ac:dyDescent="0.4">
      <c r="A1601" s="54">
        <v>46124</v>
      </c>
      <c r="B1601" s="55" t="s">
        <v>62</v>
      </c>
      <c r="C1601" s="55" t="s">
        <v>56</v>
      </c>
      <c r="D1601" s="57">
        <v>9063</v>
      </c>
      <c r="E1601" s="55">
        <v>6473</v>
      </c>
      <c r="F1601" s="55">
        <v>71</v>
      </c>
      <c r="G1601" s="55">
        <v>2</v>
      </c>
      <c r="H1601" s="55">
        <v>2</v>
      </c>
      <c r="I1601" s="55">
        <v>0</v>
      </c>
      <c r="J1601" s="55">
        <v>0</v>
      </c>
    </row>
    <row r="1602" spans="1:10" ht="15" x14ac:dyDescent="0.4">
      <c r="A1602" s="54">
        <v>46125</v>
      </c>
      <c r="B1602" s="55" t="s">
        <v>63</v>
      </c>
      <c r="C1602" s="55" t="s">
        <v>58</v>
      </c>
      <c r="D1602" s="57">
        <v>6994</v>
      </c>
      <c r="E1602" s="55">
        <v>1457</v>
      </c>
      <c r="F1602" s="55">
        <v>81</v>
      </c>
      <c r="G1602" s="55">
        <v>3</v>
      </c>
      <c r="H1602" s="55">
        <v>1</v>
      </c>
      <c r="I1602" s="55">
        <v>2</v>
      </c>
      <c r="J1602" s="55">
        <v>0</v>
      </c>
    </row>
    <row r="1603" spans="1:10" ht="15" x14ac:dyDescent="0.4">
      <c r="A1603" s="54">
        <v>46125</v>
      </c>
      <c r="B1603" s="55" t="s">
        <v>57</v>
      </c>
      <c r="C1603" s="55" t="s">
        <v>58</v>
      </c>
      <c r="D1603" s="57">
        <v>19229</v>
      </c>
      <c r="E1603" s="55">
        <v>4006</v>
      </c>
      <c r="F1603" s="55">
        <v>178</v>
      </c>
      <c r="G1603" s="55">
        <v>1</v>
      </c>
      <c r="H1603" s="55">
        <v>1</v>
      </c>
      <c r="I1603" s="55">
        <v>0</v>
      </c>
      <c r="J1603" s="55">
        <v>0</v>
      </c>
    </row>
    <row r="1604" spans="1:10" ht="15" x14ac:dyDescent="0.4">
      <c r="A1604" s="54">
        <v>46125</v>
      </c>
      <c r="B1604" s="55" t="s">
        <v>59</v>
      </c>
      <c r="C1604" s="55" t="s">
        <v>60</v>
      </c>
      <c r="D1604" s="57">
        <v>26451</v>
      </c>
      <c r="E1604" s="55">
        <v>5086</v>
      </c>
      <c r="F1604" s="55">
        <v>30</v>
      </c>
      <c r="G1604" s="55">
        <v>4</v>
      </c>
      <c r="H1604" s="55">
        <v>0</v>
      </c>
      <c r="I1604" s="55">
        <v>1</v>
      </c>
      <c r="J1604" s="55">
        <v>1</v>
      </c>
    </row>
    <row r="1605" spans="1:10" ht="15" x14ac:dyDescent="0.4">
      <c r="A1605" s="54">
        <v>46125</v>
      </c>
      <c r="B1605" s="55" t="s">
        <v>55</v>
      </c>
      <c r="C1605" s="55" t="s">
        <v>56</v>
      </c>
      <c r="D1605" s="57">
        <v>38506</v>
      </c>
      <c r="E1605" s="55">
        <v>27504</v>
      </c>
      <c r="F1605" s="55">
        <v>312</v>
      </c>
      <c r="G1605" s="55">
        <v>11</v>
      </c>
      <c r="H1605" s="55">
        <v>3</v>
      </c>
      <c r="I1605" s="55">
        <v>0</v>
      </c>
      <c r="J1605" s="55">
        <v>0</v>
      </c>
    </row>
    <row r="1606" spans="1:10" ht="15" x14ac:dyDescent="0.4">
      <c r="A1606" s="54">
        <v>46125</v>
      </c>
      <c r="B1606" s="55" t="s">
        <v>62</v>
      </c>
      <c r="C1606" s="55" t="s">
        <v>56</v>
      </c>
      <c r="D1606" s="57">
        <v>8890</v>
      </c>
      <c r="E1606" s="55">
        <v>6350</v>
      </c>
      <c r="F1606" s="55">
        <v>64</v>
      </c>
      <c r="G1606" s="55">
        <v>7</v>
      </c>
      <c r="H1606" s="55">
        <v>1</v>
      </c>
      <c r="I1606" s="55">
        <v>0</v>
      </c>
      <c r="J1606" s="55">
        <v>0</v>
      </c>
    </row>
    <row r="1607" spans="1:10" ht="15" x14ac:dyDescent="0.4">
      <c r="A1607" s="54">
        <v>46126</v>
      </c>
      <c r="B1607" s="55" t="s">
        <v>63</v>
      </c>
      <c r="C1607" s="55" t="s">
        <v>58</v>
      </c>
      <c r="D1607" s="57">
        <v>7093</v>
      </c>
      <c r="E1607" s="55">
        <v>1477</v>
      </c>
      <c r="F1607" s="55">
        <v>87</v>
      </c>
      <c r="G1607" s="55">
        <v>1</v>
      </c>
      <c r="H1607" s="55">
        <v>1</v>
      </c>
      <c r="I1607" s="55">
        <v>0</v>
      </c>
      <c r="J1607" s="55">
        <v>1</v>
      </c>
    </row>
    <row r="1608" spans="1:10" ht="15" x14ac:dyDescent="0.4">
      <c r="A1608" s="54">
        <v>46126</v>
      </c>
      <c r="B1608" s="55" t="s">
        <v>57</v>
      </c>
      <c r="C1608" s="55" t="s">
        <v>58</v>
      </c>
      <c r="D1608" s="57">
        <v>20966</v>
      </c>
      <c r="E1608" s="55">
        <v>4367</v>
      </c>
      <c r="F1608" s="55">
        <v>206</v>
      </c>
      <c r="G1608" s="55">
        <v>3</v>
      </c>
      <c r="H1608" s="55">
        <v>2</v>
      </c>
      <c r="I1608" s="55">
        <v>1</v>
      </c>
      <c r="J1608" s="55">
        <v>0</v>
      </c>
    </row>
    <row r="1609" spans="1:10" ht="15" x14ac:dyDescent="0.4">
      <c r="A1609" s="54">
        <v>46126</v>
      </c>
      <c r="B1609" s="55" t="s">
        <v>59</v>
      </c>
      <c r="C1609" s="55" t="s">
        <v>60</v>
      </c>
      <c r="D1609" s="57">
        <v>24467</v>
      </c>
      <c r="E1609" s="55">
        <v>4705</v>
      </c>
      <c r="F1609" s="55">
        <v>28</v>
      </c>
      <c r="G1609" s="55">
        <v>2</v>
      </c>
      <c r="H1609" s="55">
        <v>0</v>
      </c>
      <c r="I1609" s="55">
        <v>0</v>
      </c>
      <c r="J1609" s="55">
        <v>0</v>
      </c>
    </row>
    <row r="1610" spans="1:10" ht="15" x14ac:dyDescent="0.4">
      <c r="A1610" s="54">
        <v>46126</v>
      </c>
      <c r="B1610" s="55" t="s">
        <v>55</v>
      </c>
      <c r="C1610" s="55" t="s">
        <v>56</v>
      </c>
      <c r="D1610" s="57">
        <v>42269</v>
      </c>
      <c r="E1610" s="55">
        <v>30192</v>
      </c>
      <c r="F1610" s="55">
        <v>355</v>
      </c>
      <c r="G1610" s="55">
        <v>8</v>
      </c>
      <c r="H1610" s="55">
        <v>2</v>
      </c>
      <c r="I1610" s="55">
        <v>0</v>
      </c>
      <c r="J1610" s="55">
        <v>0</v>
      </c>
    </row>
    <row r="1611" spans="1:10" ht="15" x14ac:dyDescent="0.4">
      <c r="A1611" s="54">
        <v>46126</v>
      </c>
      <c r="B1611" s="55" t="s">
        <v>62</v>
      </c>
      <c r="C1611" s="55" t="s">
        <v>56</v>
      </c>
      <c r="D1611" s="57">
        <v>8438</v>
      </c>
      <c r="E1611" s="55">
        <v>6027</v>
      </c>
      <c r="F1611" s="55">
        <v>61</v>
      </c>
      <c r="G1611" s="55">
        <v>2</v>
      </c>
      <c r="H1611" s="55">
        <v>0</v>
      </c>
      <c r="I1611" s="55">
        <v>1</v>
      </c>
      <c r="J1611" s="55">
        <v>0</v>
      </c>
    </row>
    <row r="1612" spans="1:10" ht="15" x14ac:dyDescent="0.4">
      <c r="A1612" s="54">
        <v>46127</v>
      </c>
      <c r="B1612" s="55" t="s">
        <v>63</v>
      </c>
      <c r="C1612" s="55" t="s">
        <v>58</v>
      </c>
      <c r="D1612" s="57">
        <v>7366</v>
      </c>
      <c r="E1612" s="55">
        <v>1534</v>
      </c>
      <c r="F1612" s="55">
        <v>91</v>
      </c>
      <c r="G1612" s="55">
        <v>3</v>
      </c>
      <c r="H1612" s="55">
        <v>2</v>
      </c>
      <c r="I1612" s="55">
        <v>0</v>
      </c>
      <c r="J1612" s="55">
        <v>0</v>
      </c>
    </row>
    <row r="1613" spans="1:10" ht="15" x14ac:dyDescent="0.4">
      <c r="A1613" s="54">
        <v>46127</v>
      </c>
      <c r="B1613" s="55" t="s">
        <v>57</v>
      </c>
      <c r="C1613" s="55" t="s">
        <v>58</v>
      </c>
      <c r="D1613" s="57">
        <v>20898</v>
      </c>
      <c r="E1613" s="55">
        <v>4353</v>
      </c>
      <c r="F1613" s="55">
        <v>197</v>
      </c>
      <c r="G1613" s="55">
        <v>1</v>
      </c>
      <c r="H1613" s="55">
        <v>0</v>
      </c>
      <c r="I1613" s="55">
        <v>1</v>
      </c>
      <c r="J1613" s="55">
        <v>0</v>
      </c>
    </row>
    <row r="1614" spans="1:10" ht="15" x14ac:dyDescent="0.4">
      <c r="A1614" s="54">
        <v>46127</v>
      </c>
      <c r="B1614" s="55" t="s">
        <v>59</v>
      </c>
      <c r="C1614" s="55" t="s">
        <v>60</v>
      </c>
      <c r="D1614" s="57">
        <v>26280</v>
      </c>
      <c r="E1614" s="55">
        <v>5053</v>
      </c>
      <c r="F1614" s="55">
        <v>35</v>
      </c>
      <c r="G1614" s="55">
        <v>0</v>
      </c>
      <c r="H1614" s="55">
        <v>1</v>
      </c>
      <c r="I1614" s="55">
        <v>0</v>
      </c>
      <c r="J1614" s="55">
        <v>0</v>
      </c>
    </row>
    <row r="1615" spans="1:10" ht="15" x14ac:dyDescent="0.4">
      <c r="A1615" s="54">
        <v>46127</v>
      </c>
      <c r="B1615" s="55" t="s">
        <v>55</v>
      </c>
      <c r="C1615" s="55" t="s">
        <v>56</v>
      </c>
      <c r="D1615" s="57">
        <v>36087</v>
      </c>
      <c r="E1615" s="55">
        <v>25776</v>
      </c>
      <c r="F1615" s="55">
        <v>266</v>
      </c>
      <c r="G1615" s="55">
        <v>12</v>
      </c>
      <c r="H1615" s="55">
        <v>2</v>
      </c>
      <c r="I1615" s="55">
        <v>1</v>
      </c>
      <c r="J1615" s="55">
        <v>0</v>
      </c>
    </row>
    <row r="1616" spans="1:10" ht="15" x14ac:dyDescent="0.4">
      <c r="A1616" s="54">
        <v>46127</v>
      </c>
      <c r="B1616" s="55" t="s">
        <v>62</v>
      </c>
      <c r="C1616" s="55" t="s">
        <v>56</v>
      </c>
      <c r="D1616" s="57">
        <v>9935</v>
      </c>
      <c r="E1616" s="55">
        <v>7096</v>
      </c>
      <c r="F1616" s="55">
        <v>73</v>
      </c>
      <c r="G1616" s="55">
        <v>7</v>
      </c>
      <c r="H1616" s="55">
        <v>1</v>
      </c>
      <c r="I1616" s="55">
        <v>0</v>
      </c>
      <c r="J1616" s="55">
        <v>1</v>
      </c>
    </row>
    <row r="1617" spans="1:10" ht="15" x14ac:dyDescent="0.4">
      <c r="A1617" s="54">
        <v>46128</v>
      </c>
      <c r="B1617" s="55" t="s">
        <v>63</v>
      </c>
      <c r="C1617" s="55" t="s">
        <v>58</v>
      </c>
      <c r="D1617" s="57">
        <v>6526</v>
      </c>
      <c r="E1617" s="55">
        <v>1359</v>
      </c>
      <c r="F1617" s="55">
        <v>75</v>
      </c>
      <c r="G1617" s="55">
        <v>3</v>
      </c>
      <c r="H1617" s="55">
        <v>3</v>
      </c>
      <c r="I1617" s="55">
        <v>1</v>
      </c>
      <c r="J1617" s="55">
        <v>0</v>
      </c>
    </row>
    <row r="1618" spans="1:10" ht="15" x14ac:dyDescent="0.4">
      <c r="A1618" s="54">
        <v>46128</v>
      </c>
      <c r="B1618" s="55" t="s">
        <v>57</v>
      </c>
      <c r="C1618" s="55" t="s">
        <v>58</v>
      </c>
      <c r="D1618" s="57">
        <v>18272</v>
      </c>
      <c r="E1618" s="55">
        <v>3806</v>
      </c>
      <c r="F1618" s="55">
        <v>207</v>
      </c>
      <c r="G1618" s="55">
        <v>2</v>
      </c>
      <c r="H1618" s="55">
        <v>0</v>
      </c>
      <c r="I1618" s="55">
        <v>0</v>
      </c>
      <c r="J1618" s="55">
        <v>0</v>
      </c>
    </row>
    <row r="1619" spans="1:10" ht="15" x14ac:dyDescent="0.4">
      <c r="A1619" s="54">
        <v>46128</v>
      </c>
      <c r="B1619" s="55" t="s">
        <v>59</v>
      </c>
      <c r="C1619" s="55" t="s">
        <v>60</v>
      </c>
      <c r="D1619" s="57">
        <v>26150</v>
      </c>
      <c r="E1619" s="55">
        <v>5028</v>
      </c>
      <c r="F1619" s="55">
        <v>34</v>
      </c>
      <c r="G1619" s="55">
        <v>2</v>
      </c>
      <c r="H1619" s="55">
        <v>0</v>
      </c>
      <c r="I1619" s="55">
        <v>1</v>
      </c>
      <c r="J1619" s="55">
        <v>1</v>
      </c>
    </row>
    <row r="1620" spans="1:10" ht="15" x14ac:dyDescent="0.4">
      <c r="A1620" s="54">
        <v>46128</v>
      </c>
      <c r="B1620" s="55" t="s">
        <v>55</v>
      </c>
      <c r="C1620" s="55" t="s">
        <v>56</v>
      </c>
      <c r="D1620" s="57">
        <v>37161</v>
      </c>
      <c r="E1620" s="55">
        <v>26543</v>
      </c>
      <c r="F1620" s="55">
        <v>254</v>
      </c>
      <c r="G1620" s="55">
        <v>15</v>
      </c>
      <c r="H1620" s="55">
        <v>3</v>
      </c>
      <c r="I1620" s="55">
        <v>4</v>
      </c>
      <c r="J1620" s="55">
        <v>0</v>
      </c>
    </row>
    <row r="1621" spans="1:10" ht="15" x14ac:dyDescent="0.4">
      <c r="A1621" s="54">
        <v>46128</v>
      </c>
      <c r="B1621" s="55" t="s">
        <v>62</v>
      </c>
      <c r="C1621" s="55" t="s">
        <v>56</v>
      </c>
      <c r="D1621" s="57">
        <v>10034</v>
      </c>
      <c r="E1621" s="55">
        <v>7167</v>
      </c>
      <c r="F1621" s="55">
        <v>76</v>
      </c>
      <c r="G1621" s="55">
        <v>4</v>
      </c>
      <c r="H1621" s="55">
        <v>0</v>
      </c>
      <c r="I1621" s="55">
        <v>0</v>
      </c>
      <c r="J1621" s="55">
        <v>0</v>
      </c>
    </row>
    <row r="1622" spans="1:10" ht="15" x14ac:dyDescent="0.4">
      <c r="A1622" s="54">
        <v>46129</v>
      </c>
      <c r="B1622" s="55" t="s">
        <v>63</v>
      </c>
      <c r="C1622" s="55" t="s">
        <v>58</v>
      </c>
      <c r="D1622" s="57">
        <v>6625</v>
      </c>
      <c r="E1622" s="55">
        <v>1380</v>
      </c>
      <c r="F1622" s="55">
        <v>65</v>
      </c>
      <c r="G1622" s="55">
        <v>1</v>
      </c>
      <c r="H1622" s="55">
        <v>1</v>
      </c>
      <c r="I1622" s="55">
        <v>0</v>
      </c>
      <c r="J1622" s="55">
        <v>0</v>
      </c>
    </row>
    <row r="1623" spans="1:10" ht="15" x14ac:dyDescent="0.4">
      <c r="A1623" s="54">
        <v>46129</v>
      </c>
      <c r="B1623" s="55" t="s">
        <v>57</v>
      </c>
      <c r="C1623" s="55" t="s">
        <v>58</v>
      </c>
      <c r="D1623" s="57">
        <v>17990</v>
      </c>
      <c r="E1623" s="55">
        <v>3747</v>
      </c>
      <c r="F1623" s="55">
        <v>171</v>
      </c>
      <c r="G1623" s="55">
        <v>0</v>
      </c>
      <c r="H1623" s="55">
        <v>1</v>
      </c>
      <c r="I1623" s="55">
        <v>0</v>
      </c>
      <c r="J1623" s="55">
        <v>0</v>
      </c>
    </row>
    <row r="1624" spans="1:10" ht="15" x14ac:dyDescent="0.4">
      <c r="A1624" s="54">
        <v>46129</v>
      </c>
      <c r="B1624" s="55" t="s">
        <v>59</v>
      </c>
      <c r="C1624" s="55" t="s">
        <v>60</v>
      </c>
      <c r="D1624" s="57">
        <v>22887</v>
      </c>
      <c r="E1624" s="55">
        <v>4401</v>
      </c>
      <c r="F1624" s="55">
        <v>28</v>
      </c>
      <c r="G1624" s="55">
        <v>0</v>
      </c>
      <c r="H1624" s="55">
        <v>1</v>
      </c>
      <c r="I1624" s="55">
        <v>0</v>
      </c>
      <c r="J1624" s="55">
        <v>1</v>
      </c>
    </row>
    <row r="1625" spans="1:10" ht="15" x14ac:dyDescent="0.4">
      <c r="A1625" s="54">
        <v>46129</v>
      </c>
      <c r="B1625" s="55" t="s">
        <v>55</v>
      </c>
      <c r="C1625" s="55" t="s">
        <v>56</v>
      </c>
      <c r="D1625" s="57">
        <v>41074</v>
      </c>
      <c r="E1625" s="55">
        <v>29338</v>
      </c>
      <c r="F1625" s="55">
        <v>306</v>
      </c>
      <c r="G1625" s="55">
        <v>9</v>
      </c>
      <c r="H1625" s="55">
        <v>1</v>
      </c>
      <c r="I1625" s="55">
        <v>0</v>
      </c>
      <c r="J1625" s="55">
        <v>1</v>
      </c>
    </row>
    <row r="1626" spans="1:10" ht="15" x14ac:dyDescent="0.4">
      <c r="A1626" s="54">
        <v>46129</v>
      </c>
      <c r="B1626" s="55" t="s">
        <v>62</v>
      </c>
      <c r="C1626" s="55" t="s">
        <v>56</v>
      </c>
      <c r="D1626" s="57">
        <v>8619</v>
      </c>
      <c r="E1626" s="55">
        <v>6156</v>
      </c>
      <c r="F1626" s="55">
        <v>59</v>
      </c>
      <c r="G1626" s="55">
        <v>1</v>
      </c>
      <c r="H1626" s="55">
        <v>5</v>
      </c>
      <c r="I1626" s="55">
        <v>0</v>
      </c>
      <c r="J1626" s="55">
        <v>0</v>
      </c>
    </row>
    <row r="1627" spans="1:10" ht="15" x14ac:dyDescent="0.4">
      <c r="A1627" s="54">
        <v>46130</v>
      </c>
      <c r="B1627" s="55" t="s">
        <v>63</v>
      </c>
      <c r="C1627" s="55" t="s">
        <v>58</v>
      </c>
      <c r="D1627" s="57">
        <v>6838</v>
      </c>
      <c r="E1627" s="55">
        <v>1424</v>
      </c>
      <c r="F1627" s="55">
        <v>82</v>
      </c>
      <c r="G1627" s="55">
        <v>3</v>
      </c>
      <c r="H1627" s="55">
        <v>2</v>
      </c>
      <c r="I1627" s="55">
        <v>0</v>
      </c>
      <c r="J1627" s="55">
        <v>0</v>
      </c>
    </row>
    <row r="1628" spans="1:10" ht="15" x14ac:dyDescent="0.4">
      <c r="A1628" s="54">
        <v>46130</v>
      </c>
      <c r="B1628" s="55" t="s">
        <v>57</v>
      </c>
      <c r="C1628" s="55" t="s">
        <v>58</v>
      </c>
      <c r="D1628" s="57">
        <v>19212</v>
      </c>
      <c r="E1628" s="55">
        <v>4002</v>
      </c>
      <c r="F1628" s="55">
        <v>208</v>
      </c>
      <c r="G1628" s="55">
        <v>4</v>
      </c>
      <c r="H1628" s="55">
        <v>0</v>
      </c>
      <c r="I1628" s="55">
        <v>0</v>
      </c>
      <c r="J1628" s="55">
        <v>0</v>
      </c>
    </row>
    <row r="1629" spans="1:10" ht="15" x14ac:dyDescent="0.4">
      <c r="A1629" s="54">
        <v>46130</v>
      </c>
      <c r="B1629" s="55" t="s">
        <v>59</v>
      </c>
      <c r="C1629" s="55" t="s">
        <v>60</v>
      </c>
      <c r="D1629" s="57">
        <v>27771</v>
      </c>
      <c r="E1629" s="55">
        <v>5340</v>
      </c>
      <c r="F1629" s="55">
        <v>39</v>
      </c>
      <c r="G1629" s="55">
        <v>1</v>
      </c>
      <c r="H1629" s="55">
        <v>3</v>
      </c>
      <c r="I1629" s="55">
        <v>0</v>
      </c>
      <c r="J1629" s="55">
        <v>0</v>
      </c>
    </row>
    <row r="1630" spans="1:10" ht="15" x14ac:dyDescent="0.4">
      <c r="A1630" s="54">
        <v>46130</v>
      </c>
      <c r="B1630" s="55" t="s">
        <v>55</v>
      </c>
      <c r="C1630" s="55" t="s">
        <v>56</v>
      </c>
      <c r="D1630" s="57">
        <v>39382</v>
      </c>
      <c r="E1630" s="55">
        <v>28130</v>
      </c>
      <c r="F1630" s="55">
        <v>273</v>
      </c>
      <c r="G1630" s="55">
        <v>12</v>
      </c>
      <c r="H1630" s="55">
        <v>4</v>
      </c>
      <c r="I1630" s="55">
        <v>0</v>
      </c>
      <c r="J1630" s="55">
        <v>0</v>
      </c>
    </row>
    <row r="1631" spans="1:10" ht="15" x14ac:dyDescent="0.4">
      <c r="A1631" s="54">
        <v>46130</v>
      </c>
      <c r="B1631" s="55" t="s">
        <v>62</v>
      </c>
      <c r="C1631" s="55" t="s">
        <v>56</v>
      </c>
      <c r="D1631" s="57">
        <v>8851</v>
      </c>
      <c r="E1631" s="55">
        <v>6322</v>
      </c>
      <c r="F1631" s="55">
        <v>76</v>
      </c>
      <c r="G1631" s="55">
        <v>5</v>
      </c>
      <c r="H1631" s="55">
        <v>1</v>
      </c>
      <c r="I1631" s="55">
        <v>3</v>
      </c>
      <c r="J1631" s="55">
        <v>0</v>
      </c>
    </row>
    <row r="1632" spans="1:10" ht="15" x14ac:dyDescent="0.4">
      <c r="A1632" s="54">
        <v>46131</v>
      </c>
      <c r="B1632" s="55" t="s">
        <v>63</v>
      </c>
      <c r="C1632" s="55" t="s">
        <v>58</v>
      </c>
      <c r="D1632" s="57">
        <v>6492</v>
      </c>
      <c r="E1632" s="55">
        <v>1352</v>
      </c>
      <c r="F1632" s="55">
        <v>70</v>
      </c>
      <c r="G1632" s="55">
        <v>3</v>
      </c>
      <c r="H1632" s="55">
        <v>1</v>
      </c>
      <c r="I1632" s="55">
        <v>1</v>
      </c>
      <c r="J1632" s="55">
        <v>2</v>
      </c>
    </row>
    <row r="1633" spans="1:10" ht="15" x14ac:dyDescent="0.4">
      <c r="A1633" s="54">
        <v>46131</v>
      </c>
      <c r="B1633" s="55" t="s">
        <v>57</v>
      </c>
      <c r="C1633" s="55" t="s">
        <v>58</v>
      </c>
      <c r="D1633" s="57">
        <v>20693</v>
      </c>
      <c r="E1633" s="55">
        <v>4311</v>
      </c>
      <c r="F1633" s="55">
        <v>196</v>
      </c>
      <c r="G1633" s="55">
        <v>1</v>
      </c>
      <c r="H1633" s="55">
        <v>1</v>
      </c>
      <c r="I1633" s="55">
        <v>0</v>
      </c>
      <c r="J1633" s="55">
        <v>0</v>
      </c>
    </row>
    <row r="1634" spans="1:10" ht="15" x14ac:dyDescent="0.4">
      <c r="A1634" s="54">
        <v>46131</v>
      </c>
      <c r="B1634" s="55" t="s">
        <v>59</v>
      </c>
      <c r="C1634" s="55" t="s">
        <v>60</v>
      </c>
      <c r="D1634" s="57">
        <v>25129</v>
      </c>
      <c r="E1634" s="55">
        <v>4832</v>
      </c>
      <c r="F1634" s="55">
        <v>31</v>
      </c>
      <c r="G1634" s="55">
        <v>1</v>
      </c>
      <c r="H1634" s="55">
        <v>0</v>
      </c>
      <c r="I1634" s="55">
        <v>0</v>
      </c>
      <c r="J1634" s="55">
        <v>1</v>
      </c>
    </row>
    <row r="1635" spans="1:10" ht="15" x14ac:dyDescent="0.4">
      <c r="A1635" s="54">
        <v>46131</v>
      </c>
      <c r="B1635" s="55" t="s">
        <v>55</v>
      </c>
      <c r="C1635" s="55" t="s">
        <v>56</v>
      </c>
      <c r="D1635" s="57">
        <v>38919</v>
      </c>
      <c r="E1635" s="55">
        <v>27799</v>
      </c>
      <c r="F1635" s="55">
        <v>301</v>
      </c>
      <c r="G1635" s="55">
        <v>4</v>
      </c>
      <c r="H1635" s="55">
        <v>6</v>
      </c>
      <c r="I1635" s="55">
        <v>2</v>
      </c>
      <c r="J1635" s="55">
        <v>0</v>
      </c>
    </row>
    <row r="1636" spans="1:10" ht="15" x14ac:dyDescent="0.4">
      <c r="A1636" s="54">
        <v>46131</v>
      </c>
      <c r="B1636" s="55" t="s">
        <v>62</v>
      </c>
      <c r="C1636" s="55" t="s">
        <v>56</v>
      </c>
      <c r="D1636" s="57">
        <v>9161</v>
      </c>
      <c r="E1636" s="55">
        <v>6543</v>
      </c>
      <c r="F1636" s="55">
        <v>75</v>
      </c>
      <c r="G1636" s="55">
        <v>7</v>
      </c>
      <c r="H1636" s="55">
        <v>1</v>
      </c>
      <c r="I1636" s="55">
        <v>1</v>
      </c>
      <c r="J1636" s="55">
        <v>0</v>
      </c>
    </row>
    <row r="1637" spans="1:10" ht="15" x14ac:dyDescent="0.4">
      <c r="A1637" s="54">
        <v>46132</v>
      </c>
      <c r="B1637" s="55" t="s">
        <v>63</v>
      </c>
      <c r="C1637" s="55" t="s">
        <v>58</v>
      </c>
      <c r="D1637" s="57">
        <v>6217</v>
      </c>
      <c r="E1637" s="55">
        <v>1295</v>
      </c>
      <c r="F1637" s="55">
        <v>70</v>
      </c>
      <c r="G1637" s="55">
        <v>8</v>
      </c>
      <c r="H1637" s="55">
        <v>0</v>
      </c>
      <c r="I1637" s="55">
        <v>3</v>
      </c>
      <c r="J1637" s="55">
        <v>0</v>
      </c>
    </row>
    <row r="1638" spans="1:10" ht="15" x14ac:dyDescent="0.4">
      <c r="A1638" s="54">
        <v>46132</v>
      </c>
      <c r="B1638" s="55" t="s">
        <v>57</v>
      </c>
      <c r="C1638" s="55" t="s">
        <v>58</v>
      </c>
      <c r="D1638" s="57">
        <v>18421</v>
      </c>
      <c r="E1638" s="55">
        <v>3837</v>
      </c>
      <c r="F1638" s="55">
        <v>208</v>
      </c>
      <c r="G1638" s="55">
        <v>2</v>
      </c>
      <c r="H1638" s="55">
        <v>0</v>
      </c>
      <c r="I1638" s="55">
        <v>0</v>
      </c>
      <c r="J1638" s="55">
        <v>0</v>
      </c>
    </row>
    <row r="1639" spans="1:10" ht="15" x14ac:dyDescent="0.4">
      <c r="A1639" s="54">
        <v>46132</v>
      </c>
      <c r="B1639" s="55" t="s">
        <v>59</v>
      </c>
      <c r="C1639" s="55" t="s">
        <v>60</v>
      </c>
      <c r="D1639" s="57">
        <v>23374</v>
      </c>
      <c r="E1639" s="55">
        <v>4495</v>
      </c>
      <c r="F1639" s="55">
        <v>33</v>
      </c>
      <c r="G1639" s="55">
        <v>2</v>
      </c>
      <c r="H1639" s="55">
        <v>0</v>
      </c>
      <c r="I1639" s="55">
        <v>0</v>
      </c>
      <c r="J1639" s="55">
        <v>0</v>
      </c>
    </row>
    <row r="1640" spans="1:10" ht="15" x14ac:dyDescent="0.4">
      <c r="A1640" s="54">
        <v>46132</v>
      </c>
      <c r="B1640" s="55" t="s">
        <v>55</v>
      </c>
      <c r="C1640" s="55" t="s">
        <v>56</v>
      </c>
      <c r="D1640" s="57">
        <v>35903</v>
      </c>
      <c r="E1640" s="55">
        <v>25645</v>
      </c>
      <c r="F1640" s="55">
        <v>282</v>
      </c>
      <c r="G1640" s="55">
        <v>7</v>
      </c>
      <c r="H1640" s="55">
        <v>3</v>
      </c>
      <c r="I1640" s="55">
        <v>5</v>
      </c>
      <c r="J1640" s="55">
        <v>0</v>
      </c>
    </row>
    <row r="1641" spans="1:10" ht="15" x14ac:dyDescent="0.4">
      <c r="A1641" s="54">
        <v>46132</v>
      </c>
      <c r="B1641" s="55" t="s">
        <v>62</v>
      </c>
      <c r="C1641" s="55" t="s">
        <v>56</v>
      </c>
      <c r="D1641" s="57">
        <v>9794</v>
      </c>
      <c r="E1641" s="55">
        <v>6995</v>
      </c>
      <c r="F1641" s="55">
        <v>66</v>
      </c>
      <c r="G1641" s="55">
        <v>1</v>
      </c>
      <c r="H1641" s="55">
        <v>1</v>
      </c>
      <c r="I1641" s="55">
        <v>1</v>
      </c>
      <c r="J1641" s="55">
        <v>0</v>
      </c>
    </row>
    <row r="1642" spans="1:10" ht="15" x14ac:dyDescent="0.4">
      <c r="A1642" s="54">
        <v>46133</v>
      </c>
      <c r="B1642" s="55" t="s">
        <v>63</v>
      </c>
      <c r="C1642" s="55" t="s">
        <v>58</v>
      </c>
      <c r="D1642" s="57">
        <v>6326</v>
      </c>
      <c r="E1642" s="55">
        <v>1317</v>
      </c>
      <c r="F1642" s="55">
        <v>59</v>
      </c>
      <c r="G1642" s="55">
        <v>2</v>
      </c>
      <c r="H1642" s="55">
        <v>3</v>
      </c>
      <c r="I1642" s="55">
        <v>0</v>
      </c>
      <c r="J1642" s="55">
        <v>0</v>
      </c>
    </row>
    <row r="1643" spans="1:10" ht="15" x14ac:dyDescent="0.4">
      <c r="A1643" s="54">
        <v>46133</v>
      </c>
      <c r="B1643" s="55" t="s">
        <v>57</v>
      </c>
      <c r="C1643" s="55" t="s">
        <v>58</v>
      </c>
      <c r="D1643" s="57">
        <v>19212</v>
      </c>
      <c r="E1643" s="55">
        <v>4002</v>
      </c>
      <c r="F1643" s="55">
        <v>194</v>
      </c>
      <c r="G1643" s="55">
        <v>3</v>
      </c>
      <c r="H1643" s="55">
        <v>1</v>
      </c>
      <c r="I1643" s="55">
        <v>0</v>
      </c>
      <c r="J1643" s="55">
        <v>0</v>
      </c>
    </row>
    <row r="1644" spans="1:10" ht="15" x14ac:dyDescent="0.4">
      <c r="A1644" s="54">
        <v>46133</v>
      </c>
      <c r="B1644" s="55" t="s">
        <v>59</v>
      </c>
      <c r="C1644" s="55" t="s">
        <v>60</v>
      </c>
      <c r="D1644" s="57">
        <v>26031</v>
      </c>
      <c r="E1644" s="55">
        <v>5005</v>
      </c>
      <c r="F1644" s="55">
        <v>29</v>
      </c>
      <c r="G1644" s="55">
        <v>3</v>
      </c>
      <c r="H1644" s="55">
        <v>1</v>
      </c>
      <c r="I1644" s="55">
        <v>2</v>
      </c>
      <c r="J1644" s="55">
        <v>0</v>
      </c>
    </row>
    <row r="1645" spans="1:10" ht="15" x14ac:dyDescent="0.4">
      <c r="A1645" s="54">
        <v>46133</v>
      </c>
      <c r="B1645" s="55" t="s">
        <v>55</v>
      </c>
      <c r="C1645" s="55" t="s">
        <v>56</v>
      </c>
      <c r="D1645" s="57">
        <v>40377</v>
      </c>
      <c r="E1645" s="55">
        <v>28840</v>
      </c>
      <c r="F1645" s="55">
        <v>317</v>
      </c>
      <c r="G1645" s="55">
        <v>10</v>
      </c>
      <c r="H1645" s="55">
        <v>0</v>
      </c>
      <c r="I1645" s="55">
        <v>2</v>
      </c>
      <c r="J1645" s="55">
        <v>0</v>
      </c>
    </row>
    <row r="1646" spans="1:10" ht="15" x14ac:dyDescent="0.4">
      <c r="A1646" s="54">
        <v>46133</v>
      </c>
      <c r="B1646" s="55" t="s">
        <v>62</v>
      </c>
      <c r="C1646" s="55" t="s">
        <v>56</v>
      </c>
      <c r="D1646" s="57">
        <v>9279</v>
      </c>
      <c r="E1646" s="55">
        <v>6627</v>
      </c>
      <c r="F1646" s="55">
        <v>72</v>
      </c>
      <c r="G1646" s="55">
        <v>3</v>
      </c>
      <c r="H1646" s="55">
        <v>1</v>
      </c>
      <c r="I1646" s="55">
        <v>1</v>
      </c>
      <c r="J1646" s="55">
        <v>0</v>
      </c>
    </row>
    <row r="1647" spans="1:10" ht="15" x14ac:dyDescent="0.4">
      <c r="A1647" s="54">
        <v>46134</v>
      </c>
      <c r="B1647" s="55" t="s">
        <v>63</v>
      </c>
      <c r="C1647" s="55" t="s">
        <v>58</v>
      </c>
      <c r="D1647" s="57">
        <v>6373</v>
      </c>
      <c r="E1647" s="55">
        <v>1327</v>
      </c>
      <c r="F1647" s="55">
        <v>73</v>
      </c>
      <c r="G1647" s="55">
        <v>0</v>
      </c>
      <c r="H1647" s="55">
        <v>2</v>
      </c>
      <c r="I1647" s="55">
        <v>0</v>
      </c>
      <c r="J1647" s="55">
        <v>0</v>
      </c>
    </row>
    <row r="1648" spans="1:10" ht="15" x14ac:dyDescent="0.4">
      <c r="A1648" s="54">
        <v>46134</v>
      </c>
      <c r="B1648" s="55" t="s">
        <v>57</v>
      </c>
      <c r="C1648" s="55" t="s">
        <v>58</v>
      </c>
      <c r="D1648" s="57">
        <v>19736</v>
      </c>
      <c r="E1648" s="55">
        <v>4111</v>
      </c>
      <c r="F1648" s="55">
        <v>196</v>
      </c>
      <c r="G1648" s="55">
        <v>4</v>
      </c>
      <c r="H1648" s="55">
        <v>1</v>
      </c>
      <c r="I1648" s="55">
        <v>0</v>
      </c>
      <c r="J1648" s="55">
        <v>0</v>
      </c>
    </row>
    <row r="1649" spans="1:10" ht="15" x14ac:dyDescent="0.4">
      <c r="A1649" s="54">
        <v>46134</v>
      </c>
      <c r="B1649" s="55" t="s">
        <v>59</v>
      </c>
      <c r="C1649" s="55" t="s">
        <v>60</v>
      </c>
      <c r="D1649" s="57">
        <v>27425</v>
      </c>
      <c r="E1649" s="55">
        <v>5274</v>
      </c>
      <c r="F1649" s="55">
        <v>31</v>
      </c>
      <c r="G1649" s="55">
        <v>6</v>
      </c>
      <c r="H1649" s="55">
        <v>1</v>
      </c>
      <c r="I1649" s="55">
        <v>1</v>
      </c>
      <c r="J1649" s="55">
        <v>0</v>
      </c>
    </row>
    <row r="1650" spans="1:10" ht="15" x14ac:dyDescent="0.4">
      <c r="A1650" s="54">
        <v>46134</v>
      </c>
      <c r="B1650" s="55" t="s">
        <v>55</v>
      </c>
      <c r="C1650" s="55" t="s">
        <v>56</v>
      </c>
      <c r="D1650" s="57">
        <v>37546</v>
      </c>
      <c r="E1650" s="55">
        <v>26818</v>
      </c>
      <c r="F1650" s="55">
        <v>270</v>
      </c>
      <c r="G1650" s="55">
        <v>15</v>
      </c>
      <c r="H1650" s="55">
        <v>2</v>
      </c>
      <c r="I1650" s="55">
        <v>2</v>
      </c>
      <c r="J1650" s="55">
        <v>0</v>
      </c>
    </row>
    <row r="1651" spans="1:10" ht="15" x14ac:dyDescent="0.4">
      <c r="A1651" s="54">
        <v>46134</v>
      </c>
      <c r="B1651" s="55" t="s">
        <v>62</v>
      </c>
      <c r="C1651" s="55" t="s">
        <v>56</v>
      </c>
      <c r="D1651" s="57">
        <v>8646</v>
      </c>
      <c r="E1651" s="55">
        <v>6175</v>
      </c>
      <c r="F1651" s="55">
        <v>75</v>
      </c>
      <c r="G1651" s="55">
        <v>4</v>
      </c>
      <c r="H1651" s="55">
        <v>0</v>
      </c>
      <c r="I1651" s="55">
        <v>0</v>
      </c>
      <c r="J1651" s="55">
        <v>0</v>
      </c>
    </row>
    <row r="1652" spans="1:10" ht="15" x14ac:dyDescent="0.4">
      <c r="A1652" s="54">
        <v>46135</v>
      </c>
      <c r="B1652" s="55" t="s">
        <v>63</v>
      </c>
      <c r="C1652" s="55" t="s">
        <v>58</v>
      </c>
      <c r="D1652" s="57">
        <v>6794</v>
      </c>
      <c r="E1652" s="55">
        <v>1415</v>
      </c>
      <c r="F1652" s="55">
        <v>79</v>
      </c>
      <c r="G1652" s="55">
        <v>3</v>
      </c>
      <c r="H1652" s="55">
        <v>1</v>
      </c>
      <c r="I1652" s="55">
        <v>2</v>
      </c>
      <c r="J1652" s="55">
        <v>0</v>
      </c>
    </row>
    <row r="1653" spans="1:10" ht="15" x14ac:dyDescent="0.4">
      <c r="A1653" s="54">
        <v>46135</v>
      </c>
      <c r="B1653" s="55" t="s">
        <v>57</v>
      </c>
      <c r="C1653" s="55" t="s">
        <v>58</v>
      </c>
      <c r="D1653" s="57">
        <v>17978</v>
      </c>
      <c r="E1653" s="55">
        <v>3745</v>
      </c>
      <c r="F1653" s="55">
        <v>209</v>
      </c>
      <c r="G1653" s="55">
        <v>4</v>
      </c>
      <c r="H1653" s="55">
        <v>1</v>
      </c>
      <c r="I1653" s="55">
        <v>1</v>
      </c>
      <c r="J1653" s="55">
        <v>0</v>
      </c>
    </row>
    <row r="1654" spans="1:10" ht="15" x14ac:dyDescent="0.4">
      <c r="A1654" s="54">
        <v>46135</v>
      </c>
      <c r="B1654" s="55" t="s">
        <v>59</v>
      </c>
      <c r="C1654" s="55" t="s">
        <v>60</v>
      </c>
      <c r="D1654" s="57">
        <v>25124</v>
      </c>
      <c r="E1654" s="55">
        <v>4831</v>
      </c>
      <c r="F1654" s="55">
        <v>35</v>
      </c>
      <c r="G1654" s="55">
        <v>0</v>
      </c>
      <c r="H1654" s="55">
        <v>4</v>
      </c>
      <c r="I1654" s="55">
        <v>1</v>
      </c>
      <c r="J1654" s="55">
        <v>1</v>
      </c>
    </row>
    <row r="1655" spans="1:10" ht="15" x14ac:dyDescent="0.4">
      <c r="A1655" s="54">
        <v>46135</v>
      </c>
      <c r="B1655" s="55" t="s">
        <v>55</v>
      </c>
      <c r="C1655" s="55" t="s">
        <v>56</v>
      </c>
      <c r="D1655" s="57">
        <v>41246</v>
      </c>
      <c r="E1655" s="55">
        <v>29461</v>
      </c>
      <c r="F1655" s="55">
        <v>350</v>
      </c>
      <c r="G1655" s="55">
        <v>12</v>
      </c>
      <c r="H1655" s="55">
        <v>2</v>
      </c>
      <c r="I1655" s="55">
        <v>2</v>
      </c>
      <c r="J1655" s="55">
        <v>0</v>
      </c>
    </row>
    <row r="1656" spans="1:10" ht="15" x14ac:dyDescent="0.4">
      <c r="A1656" s="54">
        <v>46135</v>
      </c>
      <c r="B1656" s="55" t="s">
        <v>62</v>
      </c>
      <c r="C1656" s="55" t="s">
        <v>56</v>
      </c>
      <c r="D1656" s="57">
        <v>8506</v>
      </c>
      <c r="E1656" s="55">
        <v>6075</v>
      </c>
      <c r="F1656" s="55">
        <v>63</v>
      </c>
      <c r="G1656" s="55">
        <v>2</v>
      </c>
      <c r="H1656" s="55">
        <v>0</v>
      </c>
      <c r="I1656" s="55">
        <v>1</v>
      </c>
      <c r="J1656" s="55">
        <v>0</v>
      </c>
    </row>
    <row r="1657" spans="1:10" ht="15" x14ac:dyDescent="0.4">
      <c r="A1657" s="54">
        <v>46136</v>
      </c>
      <c r="B1657" s="55" t="s">
        <v>63</v>
      </c>
      <c r="C1657" s="55" t="s">
        <v>58</v>
      </c>
      <c r="D1657" s="57">
        <v>6547</v>
      </c>
      <c r="E1657" s="55">
        <v>1363</v>
      </c>
      <c r="F1657" s="55">
        <v>70</v>
      </c>
      <c r="G1657" s="55">
        <v>1</v>
      </c>
      <c r="H1657" s="55">
        <v>1</v>
      </c>
      <c r="I1657" s="55">
        <v>1</v>
      </c>
      <c r="J1657" s="55">
        <v>0</v>
      </c>
    </row>
    <row r="1658" spans="1:10" ht="15" x14ac:dyDescent="0.4">
      <c r="A1658" s="54">
        <v>46136</v>
      </c>
      <c r="B1658" s="55" t="s">
        <v>57</v>
      </c>
      <c r="C1658" s="55" t="s">
        <v>58</v>
      </c>
      <c r="D1658" s="57">
        <v>19005</v>
      </c>
      <c r="E1658" s="55">
        <v>3959</v>
      </c>
      <c r="F1658" s="55">
        <v>196</v>
      </c>
      <c r="G1658" s="55">
        <v>3</v>
      </c>
      <c r="H1658" s="55">
        <v>1</v>
      </c>
      <c r="I1658" s="55">
        <v>0</v>
      </c>
      <c r="J1658" s="55">
        <v>0</v>
      </c>
    </row>
    <row r="1659" spans="1:10" ht="15" x14ac:dyDescent="0.4">
      <c r="A1659" s="54">
        <v>46136</v>
      </c>
      <c r="B1659" s="55" t="s">
        <v>59</v>
      </c>
      <c r="C1659" s="55" t="s">
        <v>60</v>
      </c>
      <c r="D1659" s="57">
        <v>23367</v>
      </c>
      <c r="E1659" s="55">
        <v>4493</v>
      </c>
      <c r="F1659" s="55">
        <v>32</v>
      </c>
      <c r="G1659" s="55">
        <v>1</v>
      </c>
      <c r="H1659" s="55">
        <v>0</v>
      </c>
      <c r="I1659" s="55">
        <v>1</v>
      </c>
      <c r="J1659" s="55">
        <v>0</v>
      </c>
    </row>
    <row r="1660" spans="1:10" ht="15" x14ac:dyDescent="0.4">
      <c r="A1660" s="54">
        <v>46136</v>
      </c>
      <c r="B1660" s="55" t="s">
        <v>55</v>
      </c>
      <c r="C1660" s="55" t="s">
        <v>56</v>
      </c>
      <c r="D1660" s="57">
        <v>38305</v>
      </c>
      <c r="E1660" s="55">
        <v>27360</v>
      </c>
      <c r="F1660" s="55">
        <v>317</v>
      </c>
      <c r="G1660" s="55">
        <v>7</v>
      </c>
      <c r="H1660" s="55">
        <v>4</v>
      </c>
      <c r="I1660" s="55">
        <v>1</v>
      </c>
      <c r="J1660" s="55">
        <v>0</v>
      </c>
    </row>
    <row r="1661" spans="1:10" ht="15" x14ac:dyDescent="0.4">
      <c r="A1661" s="54">
        <v>46136</v>
      </c>
      <c r="B1661" s="55" t="s">
        <v>62</v>
      </c>
      <c r="C1661" s="55" t="s">
        <v>56</v>
      </c>
      <c r="D1661" s="57">
        <v>9340</v>
      </c>
      <c r="E1661" s="55">
        <v>6671</v>
      </c>
      <c r="F1661" s="55">
        <v>73</v>
      </c>
      <c r="G1661" s="55">
        <v>3</v>
      </c>
      <c r="H1661" s="55">
        <v>2</v>
      </c>
      <c r="I1661" s="55">
        <v>0</v>
      </c>
      <c r="J1661" s="55">
        <v>0</v>
      </c>
    </row>
    <row r="1662" spans="1:10" ht="15" x14ac:dyDescent="0.4">
      <c r="A1662" s="54">
        <v>46137</v>
      </c>
      <c r="B1662" s="55" t="s">
        <v>63</v>
      </c>
      <c r="C1662" s="55" t="s">
        <v>58</v>
      </c>
      <c r="D1662" s="57">
        <v>6420</v>
      </c>
      <c r="E1662" s="55">
        <v>1337</v>
      </c>
      <c r="F1662" s="55">
        <v>75</v>
      </c>
      <c r="G1662" s="55">
        <v>1</v>
      </c>
      <c r="H1662" s="55">
        <v>2</v>
      </c>
      <c r="I1662" s="55">
        <v>2</v>
      </c>
      <c r="J1662" s="55">
        <v>0</v>
      </c>
    </row>
    <row r="1663" spans="1:10" ht="15" x14ac:dyDescent="0.4">
      <c r="A1663" s="54">
        <v>46137</v>
      </c>
      <c r="B1663" s="55" t="s">
        <v>57</v>
      </c>
      <c r="C1663" s="55" t="s">
        <v>58</v>
      </c>
      <c r="D1663" s="57">
        <v>19483</v>
      </c>
      <c r="E1663" s="55">
        <v>4058</v>
      </c>
      <c r="F1663" s="55">
        <v>216</v>
      </c>
      <c r="G1663" s="55">
        <v>3</v>
      </c>
      <c r="H1663" s="55">
        <v>1</v>
      </c>
      <c r="I1663" s="55">
        <v>0</v>
      </c>
      <c r="J1663" s="55">
        <v>0</v>
      </c>
    </row>
    <row r="1664" spans="1:10" ht="15" x14ac:dyDescent="0.4">
      <c r="A1664" s="54">
        <v>46137</v>
      </c>
      <c r="B1664" s="55" t="s">
        <v>59</v>
      </c>
      <c r="C1664" s="55" t="s">
        <v>60</v>
      </c>
      <c r="D1664" s="57">
        <v>25869</v>
      </c>
      <c r="E1664" s="55">
        <v>4974</v>
      </c>
      <c r="F1664" s="55">
        <v>36</v>
      </c>
      <c r="G1664" s="55">
        <v>0</v>
      </c>
      <c r="H1664" s="55">
        <v>1</v>
      </c>
      <c r="I1664" s="55">
        <v>1</v>
      </c>
      <c r="J1664" s="55">
        <v>1</v>
      </c>
    </row>
    <row r="1665" spans="1:10" ht="15" x14ac:dyDescent="0.4">
      <c r="A1665" s="54">
        <v>46137</v>
      </c>
      <c r="B1665" s="55" t="s">
        <v>55</v>
      </c>
      <c r="C1665" s="55" t="s">
        <v>56</v>
      </c>
      <c r="D1665" s="57">
        <v>40739</v>
      </c>
      <c r="E1665" s="55">
        <v>29099</v>
      </c>
      <c r="F1665" s="55">
        <v>337</v>
      </c>
      <c r="G1665" s="55">
        <v>10</v>
      </c>
      <c r="H1665" s="55">
        <v>2</v>
      </c>
      <c r="I1665" s="55">
        <v>1</v>
      </c>
      <c r="J1665" s="55">
        <v>0</v>
      </c>
    </row>
    <row r="1666" spans="1:10" ht="15" x14ac:dyDescent="0.4">
      <c r="A1666" s="54">
        <v>46137</v>
      </c>
      <c r="B1666" s="55" t="s">
        <v>62</v>
      </c>
      <c r="C1666" s="55" t="s">
        <v>56</v>
      </c>
      <c r="D1666" s="57">
        <v>9996</v>
      </c>
      <c r="E1666" s="55">
        <v>7140</v>
      </c>
      <c r="F1666" s="55">
        <v>85</v>
      </c>
      <c r="G1666" s="55">
        <v>1</v>
      </c>
      <c r="H1666" s="55">
        <v>1</v>
      </c>
      <c r="I1666" s="55">
        <v>0</v>
      </c>
      <c r="J1666" s="55">
        <v>0</v>
      </c>
    </row>
    <row r="1667" spans="1:10" ht="15" x14ac:dyDescent="0.4">
      <c r="A1667" s="54">
        <v>46138</v>
      </c>
      <c r="B1667" s="55" t="s">
        <v>63</v>
      </c>
      <c r="C1667" s="55" t="s">
        <v>58</v>
      </c>
      <c r="D1667" s="57">
        <v>7081</v>
      </c>
      <c r="E1667" s="55">
        <v>1475</v>
      </c>
      <c r="F1667" s="55">
        <v>81</v>
      </c>
      <c r="G1667" s="55">
        <v>5</v>
      </c>
      <c r="H1667" s="55">
        <v>2</v>
      </c>
      <c r="I1667" s="55">
        <v>0</v>
      </c>
      <c r="J1667" s="55">
        <v>0</v>
      </c>
    </row>
    <row r="1668" spans="1:10" ht="15" x14ac:dyDescent="0.4">
      <c r="A1668" s="54">
        <v>46138</v>
      </c>
      <c r="B1668" s="55" t="s">
        <v>57</v>
      </c>
      <c r="C1668" s="55" t="s">
        <v>58</v>
      </c>
      <c r="D1668" s="57">
        <v>19624</v>
      </c>
      <c r="E1668" s="55">
        <v>4088</v>
      </c>
      <c r="F1668" s="55">
        <v>189</v>
      </c>
      <c r="G1668" s="55">
        <v>2</v>
      </c>
      <c r="H1668" s="55">
        <v>0</v>
      </c>
      <c r="I1668" s="55">
        <v>0</v>
      </c>
      <c r="J1668" s="55">
        <v>0</v>
      </c>
    </row>
    <row r="1669" spans="1:10" ht="15" x14ac:dyDescent="0.4">
      <c r="A1669" s="54">
        <v>46138</v>
      </c>
      <c r="B1669" s="55" t="s">
        <v>59</v>
      </c>
      <c r="C1669" s="55" t="s">
        <v>60</v>
      </c>
      <c r="D1669" s="57">
        <v>26065</v>
      </c>
      <c r="E1669" s="55">
        <v>5012</v>
      </c>
      <c r="F1669" s="55">
        <v>34</v>
      </c>
      <c r="G1669" s="55">
        <v>0</v>
      </c>
      <c r="H1669" s="55">
        <v>0</v>
      </c>
      <c r="I1669" s="55">
        <v>0</v>
      </c>
      <c r="J1669" s="55">
        <v>0</v>
      </c>
    </row>
    <row r="1670" spans="1:10" ht="15" x14ac:dyDescent="0.4">
      <c r="A1670" s="54">
        <v>46138</v>
      </c>
      <c r="B1670" s="55" t="s">
        <v>55</v>
      </c>
      <c r="C1670" s="55" t="s">
        <v>56</v>
      </c>
      <c r="D1670" s="57">
        <v>39930</v>
      </c>
      <c r="E1670" s="55">
        <v>28521</v>
      </c>
      <c r="F1670" s="55">
        <v>312</v>
      </c>
      <c r="G1670" s="55">
        <v>12</v>
      </c>
      <c r="H1670" s="55">
        <v>1</v>
      </c>
      <c r="I1670" s="55">
        <v>2</v>
      </c>
      <c r="J1670" s="55">
        <v>0</v>
      </c>
    </row>
    <row r="1671" spans="1:10" ht="15" x14ac:dyDescent="0.4">
      <c r="A1671" s="54">
        <v>46138</v>
      </c>
      <c r="B1671" s="55" t="s">
        <v>62</v>
      </c>
      <c r="C1671" s="55" t="s">
        <v>56</v>
      </c>
      <c r="D1671" s="57">
        <v>8538</v>
      </c>
      <c r="E1671" s="55">
        <v>6098</v>
      </c>
      <c r="F1671" s="55">
        <v>67</v>
      </c>
      <c r="G1671" s="55">
        <v>1</v>
      </c>
      <c r="H1671" s="55">
        <v>1</v>
      </c>
      <c r="I1671" s="55">
        <v>0</v>
      </c>
      <c r="J1671" s="55">
        <v>0</v>
      </c>
    </row>
    <row r="1672" spans="1:10" ht="15" x14ac:dyDescent="0.4">
      <c r="A1672" s="54">
        <v>46139</v>
      </c>
      <c r="B1672" s="55" t="s">
        <v>63</v>
      </c>
      <c r="C1672" s="55" t="s">
        <v>58</v>
      </c>
      <c r="D1672" s="57">
        <v>7047</v>
      </c>
      <c r="E1672" s="55">
        <v>1468</v>
      </c>
      <c r="F1672" s="55">
        <v>71</v>
      </c>
      <c r="G1672" s="55">
        <v>1</v>
      </c>
      <c r="H1672" s="55">
        <v>1</v>
      </c>
      <c r="I1672" s="55">
        <v>0</v>
      </c>
      <c r="J1672" s="55">
        <v>1</v>
      </c>
    </row>
    <row r="1673" spans="1:10" ht="15" x14ac:dyDescent="0.4">
      <c r="A1673" s="54">
        <v>46139</v>
      </c>
      <c r="B1673" s="55" t="s">
        <v>57</v>
      </c>
      <c r="C1673" s="55" t="s">
        <v>58</v>
      </c>
      <c r="D1673" s="57">
        <v>18542</v>
      </c>
      <c r="E1673" s="55">
        <v>3862</v>
      </c>
      <c r="F1673" s="55">
        <v>210</v>
      </c>
      <c r="G1673" s="55">
        <v>6</v>
      </c>
      <c r="H1673" s="55">
        <v>1</v>
      </c>
      <c r="I1673" s="55">
        <v>0</v>
      </c>
      <c r="J1673" s="55">
        <v>0</v>
      </c>
    </row>
    <row r="1674" spans="1:10" ht="15" x14ac:dyDescent="0.4">
      <c r="A1674" s="54">
        <v>46139</v>
      </c>
      <c r="B1674" s="55" t="s">
        <v>59</v>
      </c>
      <c r="C1674" s="55" t="s">
        <v>60</v>
      </c>
      <c r="D1674" s="57">
        <v>24900</v>
      </c>
      <c r="E1674" s="55">
        <v>4788</v>
      </c>
      <c r="F1674" s="55">
        <v>28</v>
      </c>
      <c r="G1674" s="55">
        <v>3</v>
      </c>
      <c r="H1674" s="55">
        <v>0</v>
      </c>
      <c r="I1674" s="55">
        <v>2</v>
      </c>
      <c r="J1674" s="55">
        <v>0</v>
      </c>
    </row>
    <row r="1675" spans="1:10" ht="15" x14ac:dyDescent="0.4">
      <c r="A1675" s="54">
        <v>46139</v>
      </c>
      <c r="B1675" s="55" t="s">
        <v>55</v>
      </c>
      <c r="C1675" s="55" t="s">
        <v>56</v>
      </c>
      <c r="D1675" s="57">
        <v>42665</v>
      </c>
      <c r="E1675" s="55">
        <v>30474</v>
      </c>
      <c r="F1675" s="55">
        <v>325</v>
      </c>
      <c r="G1675" s="55">
        <v>10</v>
      </c>
      <c r="H1675" s="55">
        <v>4</v>
      </c>
      <c r="I1675" s="55">
        <v>1</v>
      </c>
      <c r="J1675" s="55">
        <v>0</v>
      </c>
    </row>
    <row r="1676" spans="1:10" ht="15" x14ac:dyDescent="0.4">
      <c r="A1676" s="54">
        <v>46139</v>
      </c>
      <c r="B1676" s="55" t="s">
        <v>62</v>
      </c>
      <c r="C1676" s="55" t="s">
        <v>56</v>
      </c>
      <c r="D1676" s="57">
        <v>9473</v>
      </c>
      <c r="E1676" s="55">
        <v>6766</v>
      </c>
      <c r="F1676" s="55">
        <v>65</v>
      </c>
      <c r="G1676" s="55">
        <v>4</v>
      </c>
      <c r="H1676" s="55">
        <v>1</v>
      </c>
      <c r="I1676" s="55">
        <v>0</v>
      </c>
      <c r="J1676" s="55">
        <v>0</v>
      </c>
    </row>
    <row r="1677" spans="1:10" ht="15" x14ac:dyDescent="0.4">
      <c r="A1677" s="54">
        <v>46140</v>
      </c>
      <c r="B1677" s="55" t="s">
        <v>63</v>
      </c>
      <c r="C1677" s="55" t="s">
        <v>58</v>
      </c>
      <c r="D1677" s="57">
        <v>6188</v>
      </c>
      <c r="E1677" s="55">
        <v>1289</v>
      </c>
      <c r="F1677" s="55">
        <v>58</v>
      </c>
      <c r="G1677" s="55">
        <v>2</v>
      </c>
      <c r="H1677" s="55">
        <v>2</v>
      </c>
      <c r="I1677" s="55">
        <v>1</v>
      </c>
      <c r="J1677" s="55">
        <v>0</v>
      </c>
    </row>
    <row r="1678" spans="1:10" ht="15" x14ac:dyDescent="0.4">
      <c r="A1678" s="54">
        <v>46140</v>
      </c>
      <c r="B1678" s="55" t="s">
        <v>57</v>
      </c>
      <c r="C1678" s="55" t="s">
        <v>58</v>
      </c>
      <c r="D1678" s="57">
        <v>18381</v>
      </c>
      <c r="E1678" s="55">
        <v>3829</v>
      </c>
      <c r="F1678" s="55">
        <v>177</v>
      </c>
      <c r="G1678" s="55">
        <v>2</v>
      </c>
      <c r="H1678" s="55">
        <v>0</v>
      </c>
      <c r="I1678" s="55">
        <v>1</v>
      </c>
      <c r="J1678" s="55">
        <v>0</v>
      </c>
    </row>
    <row r="1679" spans="1:10" ht="15" x14ac:dyDescent="0.4">
      <c r="A1679" s="54">
        <v>46140</v>
      </c>
      <c r="B1679" s="55" t="s">
        <v>59</v>
      </c>
      <c r="C1679" s="55" t="s">
        <v>60</v>
      </c>
      <c r="D1679" s="57">
        <v>24018</v>
      </c>
      <c r="E1679" s="55">
        <v>4618</v>
      </c>
      <c r="F1679" s="55">
        <v>26</v>
      </c>
      <c r="G1679" s="55">
        <v>2</v>
      </c>
      <c r="H1679" s="55">
        <v>0</v>
      </c>
      <c r="I1679" s="55">
        <v>0</v>
      </c>
      <c r="J1679" s="55">
        <v>0</v>
      </c>
    </row>
    <row r="1680" spans="1:10" ht="15" x14ac:dyDescent="0.4">
      <c r="A1680" s="54">
        <v>46140</v>
      </c>
      <c r="B1680" s="55" t="s">
        <v>55</v>
      </c>
      <c r="C1680" s="55" t="s">
        <v>56</v>
      </c>
      <c r="D1680" s="57">
        <v>41068</v>
      </c>
      <c r="E1680" s="55">
        <v>29334</v>
      </c>
      <c r="F1680" s="55">
        <v>305</v>
      </c>
      <c r="G1680" s="55">
        <v>18</v>
      </c>
      <c r="H1680" s="55">
        <v>1</v>
      </c>
      <c r="I1680" s="55">
        <v>1</v>
      </c>
      <c r="J1680" s="55">
        <v>1</v>
      </c>
    </row>
    <row r="1681" spans="1:10" ht="15" x14ac:dyDescent="0.4">
      <c r="A1681" s="54">
        <v>46140</v>
      </c>
      <c r="B1681" s="55" t="s">
        <v>62</v>
      </c>
      <c r="C1681" s="55" t="s">
        <v>56</v>
      </c>
      <c r="D1681" s="57">
        <v>8537</v>
      </c>
      <c r="E1681" s="55">
        <v>6097</v>
      </c>
      <c r="F1681" s="55">
        <v>66</v>
      </c>
      <c r="G1681" s="55">
        <v>1</v>
      </c>
      <c r="H1681" s="55">
        <v>0</v>
      </c>
      <c r="I1681" s="55">
        <v>1</v>
      </c>
      <c r="J1681" s="55">
        <v>0</v>
      </c>
    </row>
    <row r="1682" spans="1:10" ht="15" x14ac:dyDescent="0.4">
      <c r="A1682" s="54">
        <v>46141</v>
      </c>
      <c r="B1682" s="55" t="s">
        <v>63</v>
      </c>
      <c r="C1682" s="55" t="s">
        <v>58</v>
      </c>
      <c r="D1682" s="57">
        <v>7065</v>
      </c>
      <c r="E1682" s="55">
        <v>1471</v>
      </c>
      <c r="F1682" s="55">
        <v>80</v>
      </c>
      <c r="G1682" s="55">
        <v>4</v>
      </c>
      <c r="H1682" s="55">
        <v>1</v>
      </c>
      <c r="I1682" s="55">
        <v>1</v>
      </c>
      <c r="J1682" s="55">
        <v>0</v>
      </c>
    </row>
    <row r="1683" spans="1:10" ht="15" x14ac:dyDescent="0.4">
      <c r="A1683" s="54">
        <v>46141</v>
      </c>
      <c r="B1683" s="55" t="s">
        <v>57</v>
      </c>
      <c r="C1683" s="55" t="s">
        <v>58</v>
      </c>
      <c r="D1683" s="57">
        <v>20188</v>
      </c>
      <c r="E1683" s="55">
        <v>4205</v>
      </c>
      <c r="F1683" s="55">
        <v>218</v>
      </c>
      <c r="G1683" s="55">
        <v>3</v>
      </c>
      <c r="H1683" s="55">
        <v>3</v>
      </c>
      <c r="I1683" s="55">
        <v>0</v>
      </c>
      <c r="J1683" s="55">
        <v>0</v>
      </c>
    </row>
    <row r="1684" spans="1:10" ht="15" x14ac:dyDescent="0.4">
      <c r="A1684" s="54">
        <v>46141</v>
      </c>
      <c r="B1684" s="55" t="s">
        <v>59</v>
      </c>
      <c r="C1684" s="55" t="s">
        <v>60</v>
      </c>
      <c r="D1684" s="57">
        <v>25894</v>
      </c>
      <c r="E1684" s="55">
        <v>4979</v>
      </c>
      <c r="F1684" s="55">
        <v>34</v>
      </c>
      <c r="G1684" s="55">
        <v>0</v>
      </c>
      <c r="H1684" s="55">
        <v>2</v>
      </c>
      <c r="I1684" s="55">
        <v>0</v>
      </c>
      <c r="J1684" s="55">
        <v>0</v>
      </c>
    </row>
    <row r="1685" spans="1:10" ht="15" x14ac:dyDescent="0.4">
      <c r="A1685" s="54">
        <v>46141</v>
      </c>
      <c r="B1685" s="55" t="s">
        <v>55</v>
      </c>
      <c r="C1685" s="55" t="s">
        <v>56</v>
      </c>
      <c r="D1685" s="57">
        <v>36303</v>
      </c>
      <c r="E1685" s="55">
        <v>25930</v>
      </c>
      <c r="F1685" s="55">
        <v>301</v>
      </c>
      <c r="G1685" s="55">
        <v>11</v>
      </c>
      <c r="H1685" s="55">
        <v>2</v>
      </c>
      <c r="I1685" s="55">
        <v>0</v>
      </c>
      <c r="J1685" s="55">
        <v>0</v>
      </c>
    </row>
    <row r="1686" spans="1:10" ht="15" x14ac:dyDescent="0.4">
      <c r="A1686" s="54">
        <v>46141</v>
      </c>
      <c r="B1686" s="55" t="s">
        <v>62</v>
      </c>
      <c r="C1686" s="55" t="s">
        <v>56</v>
      </c>
      <c r="D1686" s="57">
        <v>8723</v>
      </c>
      <c r="E1686" s="55">
        <v>6230</v>
      </c>
      <c r="F1686" s="55">
        <v>64</v>
      </c>
      <c r="G1686" s="55">
        <v>2</v>
      </c>
      <c r="H1686" s="55">
        <v>1</v>
      </c>
      <c r="I1686" s="55">
        <v>0</v>
      </c>
      <c r="J1686" s="55">
        <v>0</v>
      </c>
    </row>
    <row r="1687" spans="1:10" ht="15" x14ac:dyDescent="0.4">
      <c r="A1687" s="54">
        <v>46142</v>
      </c>
      <c r="B1687" s="55" t="s">
        <v>63</v>
      </c>
      <c r="C1687" s="55" t="s">
        <v>58</v>
      </c>
      <c r="D1687" s="57">
        <v>6686</v>
      </c>
      <c r="E1687" s="55">
        <v>1392</v>
      </c>
      <c r="F1687" s="55">
        <v>69</v>
      </c>
      <c r="G1687" s="55">
        <v>1</v>
      </c>
      <c r="H1687" s="55">
        <v>1</v>
      </c>
      <c r="I1687" s="55">
        <v>0</v>
      </c>
      <c r="J1687" s="55">
        <v>0</v>
      </c>
    </row>
    <row r="1688" spans="1:10" ht="15" x14ac:dyDescent="0.4">
      <c r="A1688" s="54">
        <v>46142</v>
      </c>
      <c r="B1688" s="55" t="s">
        <v>57</v>
      </c>
      <c r="C1688" s="55" t="s">
        <v>58</v>
      </c>
      <c r="D1688" s="57">
        <v>17505</v>
      </c>
      <c r="E1688" s="55">
        <v>3646</v>
      </c>
      <c r="F1688" s="55">
        <v>166</v>
      </c>
      <c r="G1688" s="55">
        <v>2</v>
      </c>
      <c r="H1688" s="55">
        <v>1</v>
      </c>
      <c r="I1688" s="55">
        <v>1</v>
      </c>
      <c r="J1688" s="55">
        <v>0</v>
      </c>
    </row>
    <row r="1689" spans="1:10" ht="15" x14ac:dyDescent="0.4">
      <c r="A1689" s="54">
        <v>46142</v>
      </c>
      <c r="B1689" s="55" t="s">
        <v>59</v>
      </c>
      <c r="C1689" s="55" t="s">
        <v>60</v>
      </c>
      <c r="D1689" s="57">
        <v>27745</v>
      </c>
      <c r="E1689" s="55">
        <v>5335</v>
      </c>
      <c r="F1689" s="55">
        <v>38</v>
      </c>
      <c r="G1689" s="55">
        <v>1</v>
      </c>
      <c r="H1689" s="55">
        <v>0</v>
      </c>
      <c r="I1689" s="55">
        <v>0</v>
      </c>
      <c r="J1689" s="55">
        <v>0</v>
      </c>
    </row>
    <row r="1690" spans="1:10" ht="15" x14ac:dyDescent="0.4">
      <c r="A1690" s="54">
        <v>46142</v>
      </c>
      <c r="B1690" s="55" t="s">
        <v>55</v>
      </c>
      <c r="C1690" s="55" t="s">
        <v>56</v>
      </c>
      <c r="D1690" s="57">
        <v>39696</v>
      </c>
      <c r="E1690" s="55">
        <v>28354</v>
      </c>
      <c r="F1690" s="55">
        <v>287</v>
      </c>
      <c r="G1690" s="55">
        <v>8</v>
      </c>
      <c r="H1690" s="55">
        <v>3</v>
      </c>
      <c r="I1690" s="55">
        <v>0</v>
      </c>
      <c r="J1690" s="55">
        <v>0</v>
      </c>
    </row>
    <row r="1691" spans="1:10" ht="15" x14ac:dyDescent="0.4">
      <c r="A1691" s="54">
        <v>46142</v>
      </c>
      <c r="B1691" s="55" t="s">
        <v>62</v>
      </c>
      <c r="C1691" s="55" t="s">
        <v>56</v>
      </c>
      <c r="D1691" s="57">
        <v>9233</v>
      </c>
      <c r="E1691" s="55">
        <v>6595</v>
      </c>
      <c r="F1691" s="55">
        <v>68</v>
      </c>
      <c r="G1691" s="55">
        <v>1</v>
      </c>
      <c r="H1691" s="55">
        <v>1</v>
      </c>
      <c r="I1691" s="55">
        <v>0</v>
      </c>
      <c r="J1691" s="55">
        <v>0</v>
      </c>
    </row>
    <row r="1692" spans="1:10" ht="15" x14ac:dyDescent="0.4">
      <c r="A1692" s="54">
        <v>46143</v>
      </c>
      <c r="B1692" s="55" t="s">
        <v>63</v>
      </c>
      <c r="C1692" s="55" t="s">
        <v>58</v>
      </c>
      <c r="D1692" s="57">
        <v>6415</v>
      </c>
      <c r="E1692" s="55">
        <v>1336</v>
      </c>
      <c r="F1692" s="55">
        <v>65</v>
      </c>
      <c r="G1692" s="55">
        <v>2</v>
      </c>
      <c r="H1692" s="55">
        <v>2</v>
      </c>
      <c r="I1692" s="55">
        <v>0</v>
      </c>
      <c r="J1692" s="55">
        <v>1</v>
      </c>
    </row>
    <row r="1693" spans="1:10" ht="15" x14ac:dyDescent="0.4">
      <c r="A1693" s="54">
        <v>46143</v>
      </c>
      <c r="B1693" s="55" t="s">
        <v>57</v>
      </c>
      <c r="C1693" s="55" t="s">
        <v>58</v>
      </c>
      <c r="D1693" s="57">
        <v>17252</v>
      </c>
      <c r="E1693" s="55">
        <v>3594</v>
      </c>
      <c r="F1693" s="55">
        <v>172</v>
      </c>
      <c r="G1693" s="55">
        <v>3</v>
      </c>
      <c r="H1693" s="55">
        <v>1</v>
      </c>
      <c r="I1693" s="55">
        <v>0</v>
      </c>
      <c r="J1693" s="55">
        <v>0</v>
      </c>
    </row>
    <row r="1694" spans="1:10" ht="15" x14ac:dyDescent="0.4">
      <c r="A1694" s="54">
        <v>46143</v>
      </c>
      <c r="B1694" s="55" t="s">
        <v>59</v>
      </c>
      <c r="C1694" s="55" t="s">
        <v>60</v>
      </c>
      <c r="D1694" s="57">
        <v>23366</v>
      </c>
      <c r="E1694" s="55">
        <v>4493</v>
      </c>
      <c r="F1694" s="55">
        <v>28</v>
      </c>
      <c r="G1694" s="55">
        <v>1</v>
      </c>
      <c r="H1694" s="55">
        <v>0</v>
      </c>
      <c r="I1694" s="55">
        <v>0</v>
      </c>
      <c r="J1694" s="55">
        <v>0</v>
      </c>
    </row>
    <row r="1695" spans="1:10" ht="15" x14ac:dyDescent="0.4">
      <c r="A1695" s="54">
        <v>46143</v>
      </c>
      <c r="B1695" s="55" t="s">
        <v>55</v>
      </c>
      <c r="C1695" s="55" t="s">
        <v>56</v>
      </c>
      <c r="D1695" s="57">
        <v>35219</v>
      </c>
      <c r="E1695" s="55">
        <v>25156</v>
      </c>
      <c r="F1695" s="55">
        <v>280</v>
      </c>
      <c r="G1695" s="55">
        <v>4</v>
      </c>
      <c r="H1695" s="55">
        <v>2</v>
      </c>
      <c r="I1695" s="55">
        <v>1</v>
      </c>
      <c r="J1695" s="55">
        <v>0</v>
      </c>
    </row>
    <row r="1696" spans="1:10" ht="15" x14ac:dyDescent="0.4">
      <c r="A1696" s="54">
        <v>46143</v>
      </c>
      <c r="B1696" s="55" t="s">
        <v>62</v>
      </c>
      <c r="C1696" s="55" t="s">
        <v>56</v>
      </c>
      <c r="D1696" s="57">
        <v>8675</v>
      </c>
      <c r="E1696" s="55">
        <v>6196</v>
      </c>
      <c r="F1696" s="55">
        <v>59</v>
      </c>
      <c r="G1696" s="55">
        <v>3</v>
      </c>
      <c r="H1696" s="55">
        <v>0</v>
      </c>
      <c r="I1696" s="55">
        <v>0</v>
      </c>
      <c r="J1696" s="55">
        <v>0</v>
      </c>
    </row>
    <row r="1697" spans="1:10" ht="15" x14ac:dyDescent="0.4">
      <c r="A1697" s="54">
        <v>46144</v>
      </c>
      <c r="B1697" s="55" t="s">
        <v>63</v>
      </c>
      <c r="C1697" s="55" t="s">
        <v>58</v>
      </c>
      <c r="D1697" s="57">
        <v>6542</v>
      </c>
      <c r="E1697" s="55">
        <v>1362</v>
      </c>
      <c r="F1697" s="55">
        <v>71</v>
      </c>
      <c r="G1697" s="55">
        <v>1</v>
      </c>
      <c r="H1697" s="55">
        <v>2</v>
      </c>
      <c r="I1697" s="55">
        <v>0</v>
      </c>
      <c r="J1697" s="55">
        <v>0</v>
      </c>
    </row>
    <row r="1698" spans="1:10" ht="15" x14ac:dyDescent="0.4">
      <c r="A1698" s="54">
        <v>46144</v>
      </c>
      <c r="B1698" s="55" t="s">
        <v>57</v>
      </c>
      <c r="C1698" s="55" t="s">
        <v>58</v>
      </c>
      <c r="D1698" s="57">
        <v>17413</v>
      </c>
      <c r="E1698" s="55">
        <v>3627</v>
      </c>
      <c r="F1698" s="55">
        <v>188</v>
      </c>
      <c r="G1698" s="55">
        <v>2</v>
      </c>
      <c r="H1698" s="55">
        <v>0</v>
      </c>
      <c r="I1698" s="55">
        <v>1</v>
      </c>
      <c r="J1698" s="55">
        <v>0</v>
      </c>
    </row>
    <row r="1699" spans="1:10" ht="15" x14ac:dyDescent="0.4">
      <c r="A1699" s="54">
        <v>46144</v>
      </c>
      <c r="B1699" s="55" t="s">
        <v>59</v>
      </c>
      <c r="C1699" s="55" t="s">
        <v>60</v>
      </c>
      <c r="D1699" s="57">
        <v>23201</v>
      </c>
      <c r="E1699" s="55">
        <v>4461</v>
      </c>
      <c r="F1699" s="55">
        <v>28</v>
      </c>
      <c r="G1699" s="55">
        <v>1</v>
      </c>
      <c r="H1699" s="55">
        <v>0</v>
      </c>
      <c r="I1699" s="55">
        <v>0</v>
      </c>
      <c r="J1699" s="55">
        <v>2</v>
      </c>
    </row>
    <row r="1700" spans="1:10" ht="15" x14ac:dyDescent="0.4">
      <c r="A1700" s="54">
        <v>46144</v>
      </c>
      <c r="B1700" s="55" t="s">
        <v>55</v>
      </c>
      <c r="C1700" s="55" t="s">
        <v>56</v>
      </c>
      <c r="D1700" s="57">
        <v>41641</v>
      </c>
      <c r="E1700" s="55">
        <v>29743</v>
      </c>
      <c r="F1700" s="55">
        <v>299</v>
      </c>
      <c r="G1700" s="55">
        <v>5</v>
      </c>
      <c r="H1700" s="55">
        <v>2</v>
      </c>
      <c r="I1700" s="55">
        <v>0</v>
      </c>
      <c r="J1700" s="55">
        <v>0</v>
      </c>
    </row>
    <row r="1701" spans="1:10" ht="15" x14ac:dyDescent="0.4">
      <c r="A1701" s="54">
        <v>46144</v>
      </c>
      <c r="B1701" s="55" t="s">
        <v>62</v>
      </c>
      <c r="C1701" s="55" t="s">
        <v>56</v>
      </c>
      <c r="D1701" s="57">
        <v>9547</v>
      </c>
      <c r="E1701" s="55">
        <v>6819</v>
      </c>
      <c r="F1701" s="55">
        <v>69</v>
      </c>
      <c r="G1701" s="55">
        <v>3</v>
      </c>
      <c r="H1701" s="55">
        <v>1</v>
      </c>
      <c r="I1701" s="55">
        <v>0</v>
      </c>
      <c r="J1701" s="55">
        <v>0</v>
      </c>
    </row>
    <row r="1702" spans="1:10" ht="15" x14ac:dyDescent="0.4">
      <c r="A1702" s="54">
        <v>46145</v>
      </c>
      <c r="B1702" s="55" t="s">
        <v>63</v>
      </c>
      <c r="C1702" s="55" t="s">
        <v>58</v>
      </c>
      <c r="D1702" s="57">
        <v>6398</v>
      </c>
      <c r="E1702" s="55">
        <v>1332</v>
      </c>
      <c r="F1702" s="55">
        <v>64</v>
      </c>
      <c r="G1702" s="55">
        <v>1</v>
      </c>
      <c r="H1702" s="55">
        <v>1</v>
      </c>
      <c r="I1702" s="55">
        <v>0</v>
      </c>
      <c r="J1702" s="55">
        <v>0</v>
      </c>
    </row>
    <row r="1703" spans="1:10" ht="15" x14ac:dyDescent="0.4">
      <c r="A1703" s="54">
        <v>46145</v>
      </c>
      <c r="B1703" s="55" t="s">
        <v>57</v>
      </c>
      <c r="C1703" s="55" t="s">
        <v>58</v>
      </c>
      <c r="D1703" s="57">
        <v>20647</v>
      </c>
      <c r="E1703" s="55">
        <v>4301</v>
      </c>
      <c r="F1703" s="55">
        <v>228</v>
      </c>
      <c r="G1703" s="55">
        <v>3</v>
      </c>
      <c r="H1703" s="55">
        <v>1</v>
      </c>
      <c r="I1703" s="55">
        <v>0</v>
      </c>
      <c r="J1703" s="55">
        <v>0</v>
      </c>
    </row>
    <row r="1704" spans="1:10" ht="15" x14ac:dyDescent="0.4">
      <c r="A1704" s="54">
        <v>46145</v>
      </c>
      <c r="B1704" s="55" t="s">
        <v>59</v>
      </c>
      <c r="C1704" s="55" t="s">
        <v>60</v>
      </c>
      <c r="D1704" s="57">
        <v>24972</v>
      </c>
      <c r="E1704" s="55">
        <v>4802</v>
      </c>
      <c r="F1704" s="55">
        <v>29</v>
      </c>
      <c r="G1704" s="55">
        <v>0</v>
      </c>
      <c r="H1704" s="55">
        <v>1</v>
      </c>
      <c r="I1704" s="55">
        <v>0</v>
      </c>
      <c r="J1704" s="55">
        <v>1</v>
      </c>
    </row>
    <row r="1705" spans="1:10" ht="15" x14ac:dyDescent="0.4">
      <c r="A1705" s="54">
        <v>46145</v>
      </c>
      <c r="B1705" s="55" t="s">
        <v>55</v>
      </c>
      <c r="C1705" s="55" t="s">
        <v>56</v>
      </c>
      <c r="D1705" s="57">
        <v>37936</v>
      </c>
      <c r="E1705" s="55">
        <v>27097</v>
      </c>
      <c r="F1705" s="55">
        <v>270</v>
      </c>
      <c r="G1705" s="55">
        <v>8</v>
      </c>
      <c r="H1705" s="55">
        <v>2</v>
      </c>
      <c r="I1705" s="55">
        <v>2</v>
      </c>
      <c r="J1705" s="55">
        <v>0</v>
      </c>
    </row>
    <row r="1706" spans="1:10" ht="15" x14ac:dyDescent="0.4">
      <c r="A1706" s="54">
        <v>46145</v>
      </c>
      <c r="B1706" s="55" t="s">
        <v>62</v>
      </c>
      <c r="C1706" s="55" t="s">
        <v>56</v>
      </c>
      <c r="D1706" s="57">
        <v>9633</v>
      </c>
      <c r="E1706" s="55">
        <v>6880</v>
      </c>
      <c r="F1706" s="55">
        <v>67</v>
      </c>
      <c r="G1706" s="55">
        <v>4</v>
      </c>
      <c r="H1706" s="55">
        <v>0</v>
      </c>
      <c r="I1706" s="55">
        <v>1</v>
      </c>
      <c r="J1706" s="55">
        <v>0</v>
      </c>
    </row>
    <row r="1707" spans="1:10" ht="15" x14ac:dyDescent="0.4">
      <c r="A1707" s="54">
        <v>46146</v>
      </c>
      <c r="B1707" s="55" t="s">
        <v>63</v>
      </c>
      <c r="C1707" s="55" t="s">
        <v>58</v>
      </c>
      <c r="D1707" s="57">
        <v>6467</v>
      </c>
      <c r="E1707" s="55">
        <v>1347</v>
      </c>
      <c r="F1707" s="55">
        <v>61</v>
      </c>
      <c r="G1707" s="55">
        <v>3</v>
      </c>
      <c r="H1707" s="55">
        <v>2</v>
      </c>
      <c r="I1707" s="55">
        <v>1</v>
      </c>
      <c r="J1707" s="55">
        <v>0</v>
      </c>
    </row>
    <row r="1708" spans="1:10" ht="15" x14ac:dyDescent="0.4">
      <c r="A1708" s="54">
        <v>46146</v>
      </c>
      <c r="B1708" s="55" t="s">
        <v>57</v>
      </c>
      <c r="C1708" s="55" t="s">
        <v>58</v>
      </c>
      <c r="D1708" s="57">
        <v>19066</v>
      </c>
      <c r="E1708" s="55">
        <v>3972</v>
      </c>
      <c r="F1708" s="55">
        <v>211</v>
      </c>
      <c r="G1708" s="55">
        <v>6</v>
      </c>
      <c r="H1708" s="55">
        <v>2</v>
      </c>
      <c r="I1708" s="55">
        <v>0</v>
      </c>
      <c r="J1708" s="55">
        <v>0</v>
      </c>
    </row>
    <row r="1709" spans="1:10" ht="15" x14ac:dyDescent="0.4">
      <c r="A1709" s="54">
        <v>46146</v>
      </c>
      <c r="B1709" s="55" t="s">
        <v>59</v>
      </c>
      <c r="C1709" s="55" t="s">
        <v>60</v>
      </c>
      <c r="D1709" s="57">
        <v>25224</v>
      </c>
      <c r="E1709" s="55">
        <v>4850</v>
      </c>
      <c r="F1709" s="55">
        <v>28</v>
      </c>
      <c r="G1709" s="55">
        <v>0</v>
      </c>
      <c r="H1709" s="55">
        <v>0</v>
      </c>
      <c r="I1709" s="55">
        <v>1</v>
      </c>
      <c r="J1709" s="55">
        <v>0</v>
      </c>
    </row>
    <row r="1710" spans="1:10" ht="15" x14ac:dyDescent="0.4">
      <c r="A1710" s="54">
        <v>46146</v>
      </c>
      <c r="B1710" s="55" t="s">
        <v>55</v>
      </c>
      <c r="C1710" s="55" t="s">
        <v>56</v>
      </c>
      <c r="D1710" s="57">
        <v>37138</v>
      </c>
      <c r="E1710" s="55">
        <v>26527</v>
      </c>
      <c r="F1710" s="55">
        <v>285</v>
      </c>
      <c r="G1710" s="55">
        <v>11</v>
      </c>
      <c r="H1710" s="55">
        <v>1</v>
      </c>
      <c r="I1710" s="55">
        <v>3</v>
      </c>
      <c r="J1710" s="55">
        <v>1</v>
      </c>
    </row>
    <row r="1711" spans="1:10" ht="15" x14ac:dyDescent="0.4">
      <c r="A1711" s="54">
        <v>46146</v>
      </c>
      <c r="B1711" s="55" t="s">
        <v>62</v>
      </c>
      <c r="C1711" s="55" t="s">
        <v>56</v>
      </c>
      <c r="D1711" s="57">
        <v>10146</v>
      </c>
      <c r="E1711" s="55">
        <v>7247</v>
      </c>
      <c r="F1711" s="55">
        <v>82</v>
      </c>
      <c r="G1711" s="55">
        <v>3</v>
      </c>
      <c r="H1711" s="55">
        <v>3</v>
      </c>
      <c r="I1711" s="55">
        <v>0</v>
      </c>
      <c r="J1711" s="55">
        <v>0</v>
      </c>
    </row>
    <row r="1712" spans="1:10" ht="15" x14ac:dyDescent="0.4">
      <c r="A1712" s="54">
        <v>46147</v>
      </c>
      <c r="B1712" s="55" t="s">
        <v>63</v>
      </c>
      <c r="C1712" s="55" t="s">
        <v>58</v>
      </c>
      <c r="D1712" s="57">
        <v>7500</v>
      </c>
      <c r="E1712" s="55">
        <v>1562</v>
      </c>
      <c r="F1712" s="55">
        <v>74</v>
      </c>
      <c r="G1712" s="55">
        <v>5</v>
      </c>
      <c r="H1712" s="55">
        <v>2</v>
      </c>
      <c r="I1712" s="55">
        <v>2</v>
      </c>
      <c r="J1712" s="55">
        <v>0</v>
      </c>
    </row>
    <row r="1713" spans="1:10" ht="15" x14ac:dyDescent="0.4">
      <c r="A1713" s="54">
        <v>46147</v>
      </c>
      <c r="B1713" s="55" t="s">
        <v>57</v>
      </c>
      <c r="C1713" s="55" t="s">
        <v>58</v>
      </c>
      <c r="D1713" s="57">
        <v>20455</v>
      </c>
      <c r="E1713" s="55">
        <v>4261</v>
      </c>
      <c r="F1713" s="55">
        <v>238</v>
      </c>
      <c r="G1713" s="55">
        <v>4</v>
      </c>
      <c r="H1713" s="55">
        <v>1</v>
      </c>
      <c r="I1713" s="55">
        <v>1</v>
      </c>
      <c r="J1713" s="55">
        <v>0</v>
      </c>
    </row>
    <row r="1714" spans="1:10" ht="15" x14ac:dyDescent="0.4">
      <c r="A1714" s="54">
        <v>46147</v>
      </c>
      <c r="B1714" s="55" t="s">
        <v>59</v>
      </c>
      <c r="C1714" s="55" t="s">
        <v>60</v>
      </c>
      <c r="D1714" s="57">
        <v>24213</v>
      </c>
      <c r="E1714" s="55">
        <v>4656</v>
      </c>
      <c r="F1714" s="55">
        <v>26</v>
      </c>
      <c r="G1714" s="55">
        <v>2</v>
      </c>
      <c r="H1714" s="55">
        <v>0</v>
      </c>
      <c r="I1714" s="55">
        <v>1</v>
      </c>
      <c r="J1714" s="55">
        <v>0</v>
      </c>
    </row>
    <row r="1715" spans="1:10" ht="15" x14ac:dyDescent="0.4">
      <c r="A1715" s="54">
        <v>46147</v>
      </c>
      <c r="B1715" s="55" t="s">
        <v>55</v>
      </c>
      <c r="C1715" s="55" t="s">
        <v>56</v>
      </c>
      <c r="D1715" s="57">
        <v>42642</v>
      </c>
      <c r="E1715" s="55">
        <v>30458</v>
      </c>
      <c r="F1715" s="55">
        <v>308</v>
      </c>
      <c r="G1715" s="55">
        <v>8</v>
      </c>
      <c r="H1715" s="55">
        <v>5</v>
      </c>
      <c r="I1715" s="55">
        <v>1</v>
      </c>
      <c r="J1715" s="55">
        <v>0</v>
      </c>
    </row>
    <row r="1716" spans="1:10" ht="15" x14ac:dyDescent="0.4">
      <c r="A1716" s="54">
        <v>46147</v>
      </c>
      <c r="B1716" s="55" t="s">
        <v>62</v>
      </c>
      <c r="C1716" s="55" t="s">
        <v>56</v>
      </c>
      <c r="D1716" s="57">
        <v>9976</v>
      </c>
      <c r="E1716" s="55">
        <v>7125</v>
      </c>
      <c r="F1716" s="55">
        <v>71</v>
      </c>
      <c r="G1716" s="55">
        <v>5</v>
      </c>
      <c r="H1716" s="55">
        <v>2</v>
      </c>
      <c r="I1716" s="55">
        <v>1</v>
      </c>
      <c r="J1716" s="55">
        <v>0</v>
      </c>
    </row>
    <row r="1717" spans="1:10" ht="15" x14ac:dyDescent="0.4">
      <c r="A1717" s="54">
        <v>46148</v>
      </c>
      <c r="B1717" s="55" t="s">
        <v>63</v>
      </c>
      <c r="C1717" s="55" t="s">
        <v>58</v>
      </c>
      <c r="D1717" s="57">
        <v>7398</v>
      </c>
      <c r="E1717" s="55">
        <v>1541</v>
      </c>
      <c r="F1717" s="55">
        <v>79</v>
      </c>
      <c r="G1717" s="55">
        <v>3</v>
      </c>
      <c r="H1717" s="55">
        <v>1</v>
      </c>
      <c r="I1717" s="55">
        <v>2</v>
      </c>
      <c r="J1717" s="55">
        <v>1</v>
      </c>
    </row>
    <row r="1718" spans="1:10" ht="15" x14ac:dyDescent="0.4">
      <c r="A1718" s="54">
        <v>46148</v>
      </c>
      <c r="B1718" s="55" t="s">
        <v>57</v>
      </c>
      <c r="C1718" s="55" t="s">
        <v>58</v>
      </c>
      <c r="D1718" s="57">
        <v>18843</v>
      </c>
      <c r="E1718" s="55">
        <v>3925</v>
      </c>
      <c r="F1718" s="55">
        <v>198</v>
      </c>
      <c r="G1718" s="55">
        <v>2</v>
      </c>
      <c r="H1718" s="55">
        <v>1</v>
      </c>
      <c r="I1718" s="55">
        <v>1</v>
      </c>
      <c r="J1718" s="55">
        <v>0</v>
      </c>
    </row>
    <row r="1719" spans="1:10" ht="15" x14ac:dyDescent="0.4">
      <c r="A1719" s="54">
        <v>46148</v>
      </c>
      <c r="B1719" s="55" t="s">
        <v>59</v>
      </c>
      <c r="C1719" s="55" t="s">
        <v>60</v>
      </c>
      <c r="D1719" s="57">
        <v>24045</v>
      </c>
      <c r="E1719" s="55">
        <v>4624</v>
      </c>
      <c r="F1719" s="55">
        <v>27</v>
      </c>
      <c r="G1719" s="55">
        <v>4</v>
      </c>
      <c r="H1719" s="55">
        <v>0</v>
      </c>
      <c r="I1719" s="55">
        <v>0</v>
      </c>
      <c r="J1719" s="55">
        <v>0</v>
      </c>
    </row>
    <row r="1720" spans="1:10" ht="15" x14ac:dyDescent="0.4">
      <c r="A1720" s="54">
        <v>46148</v>
      </c>
      <c r="B1720" s="55" t="s">
        <v>55</v>
      </c>
      <c r="C1720" s="55" t="s">
        <v>56</v>
      </c>
      <c r="D1720" s="57">
        <v>36347</v>
      </c>
      <c r="E1720" s="55">
        <v>25962</v>
      </c>
      <c r="F1720" s="55">
        <v>292</v>
      </c>
      <c r="G1720" s="55">
        <v>15</v>
      </c>
      <c r="H1720" s="55">
        <v>1</v>
      </c>
      <c r="I1720" s="55">
        <v>1</v>
      </c>
      <c r="J1720" s="55">
        <v>0</v>
      </c>
    </row>
    <row r="1721" spans="1:10" ht="15" x14ac:dyDescent="0.4">
      <c r="A1721" s="54">
        <v>46148</v>
      </c>
      <c r="B1721" s="55" t="s">
        <v>62</v>
      </c>
      <c r="C1721" s="55" t="s">
        <v>56</v>
      </c>
      <c r="D1721" s="57">
        <v>8442</v>
      </c>
      <c r="E1721" s="55">
        <v>6030</v>
      </c>
      <c r="F1721" s="55">
        <v>58</v>
      </c>
      <c r="G1721" s="55">
        <v>1</v>
      </c>
      <c r="H1721" s="55">
        <v>0</v>
      </c>
      <c r="I1721" s="55">
        <v>0</v>
      </c>
      <c r="J1721" s="55">
        <v>0</v>
      </c>
    </row>
    <row r="1722" spans="1:10" ht="15" x14ac:dyDescent="0.4">
      <c r="A1722" s="54">
        <v>46149</v>
      </c>
      <c r="B1722" s="55" t="s">
        <v>63</v>
      </c>
      <c r="C1722" s="55" t="s">
        <v>58</v>
      </c>
      <c r="D1722" s="57">
        <v>6169</v>
      </c>
      <c r="E1722" s="55">
        <v>1285</v>
      </c>
      <c r="F1722" s="55">
        <v>69</v>
      </c>
      <c r="G1722" s="55">
        <v>2</v>
      </c>
      <c r="H1722" s="55">
        <v>3</v>
      </c>
      <c r="I1722" s="55">
        <v>0</v>
      </c>
      <c r="J1722" s="55">
        <v>0</v>
      </c>
    </row>
    <row r="1723" spans="1:10" ht="15" x14ac:dyDescent="0.4">
      <c r="A1723" s="54">
        <v>46149</v>
      </c>
      <c r="B1723" s="55" t="s">
        <v>57</v>
      </c>
      <c r="C1723" s="55" t="s">
        <v>58</v>
      </c>
      <c r="D1723" s="57">
        <v>20049</v>
      </c>
      <c r="E1723" s="55">
        <v>4176</v>
      </c>
      <c r="F1723" s="55">
        <v>240</v>
      </c>
      <c r="G1723" s="55">
        <v>4</v>
      </c>
      <c r="H1723" s="55">
        <v>2</v>
      </c>
      <c r="I1723" s="55">
        <v>2</v>
      </c>
      <c r="J1723" s="55">
        <v>0</v>
      </c>
    </row>
    <row r="1724" spans="1:10" ht="15" x14ac:dyDescent="0.4">
      <c r="A1724" s="54">
        <v>46149</v>
      </c>
      <c r="B1724" s="55" t="s">
        <v>59</v>
      </c>
      <c r="C1724" s="55" t="s">
        <v>60</v>
      </c>
      <c r="D1724" s="57">
        <v>23011</v>
      </c>
      <c r="E1724" s="55">
        <v>4425</v>
      </c>
      <c r="F1724" s="55">
        <v>24</v>
      </c>
      <c r="G1724" s="55">
        <v>1</v>
      </c>
      <c r="H1724" s="55">
        <v>1</v>
      </c>
      <c r="I1724" s="55">
        <v>0</v>
      </c>
      <c r="J1724" s="55">
        <v>0</v>
      </c>
    </row>
    <row r="1725" spans="1:10" ht="15" x14ac:dyDescent="0.4">
      <c r="A1725" s="54">
        <v>46149</v>
      </c>
      <c r="B1725" s="55" t="s">
        <v>55</v>
      </c>
      <c r="C1725" s="55" t="s">
        <v>56</v>
      </c>
      <c r="D1725" s="57">
        <v>37474</v>
      </c>
      <c r="E1725" s="55">
        <v>26767</v>
      </c>
      <c r="F1725" s="55">
        <v>277</v>
      </c>
      <c r="G1725" s="55">
        <v>14</v>
      </c>
      <c r="H1725" s="55">
        <v>3</v>
      </c>
      <c r="I1725" s="55">
        <v>0</v>
      </c>
      <c r="J1725" s="55">
        <v>0</v>
      </c>
    </row>
    <row r="1726" spans="1:10" ht="15" x14ac:dyDescent="0.4">
      <c r="A1726" s="54">
        <v>46149</v>
      </c>
      <c r="B1726" s="55" t="s">
        <v>62</v>
      </c>
      <c r="C1726" s="55" t="s">
        <v>56</v>
      </c>
      <c r="D1726" s="57">
        <v>10105</v>
      </c>
      <c r="E1726" s="55">
        <v>7217</v>
      </c>
      <c r="F1726" s="55">
        <v>80</v>
      </c>
      <c r="G1726" s="55">
        <v>5</v>
      </c>
      <c r="H1726" s="55">
        <v>0</v>
      </c>
      <c r="I1726" s="55">
        <v>1</v>
      </c>
      <c r="J1726" s="55">
        <v>0</v>
      </c>
    </row>
    <row r="1727" spans="1:10" ht="15" x14ac:dyDescent="0.4">
      <c r="A1727" s="54">
        <v>46150</v>
      </c>
      <c r="B1727" s="55" t="s">
        <v>63</v>
      </c>
      <c r="C1727" s="55" t="s">
        <v>58</v>
      </c>
      <c r="D1727" s="57">
        <v>6726</v>
      </c>
      <c r="E1727" s="55">
        <v>1401</v>
      </c>
      <c r="F1727" s="55">
        <v>78</v>
      </c>
      <c r="G1727" s="55">
        <v>3</v>
      </c>
      <c r="H1727" s="55">
        <v>2</v>
      </c>
      <c r="I1727" s="55">
        <v>0</v>
      </c>
      <c r="J1727" s="55">
        <v>0</v>
      </c>
    </row>
    <row r="1728" spans="1:10" ht="15" x14ac:dyDescent="0.4">
      <c r="A1728" s="54">
        <v>46150</v>
      </c>
      <c r="B1728" s="55" t="s">
        <v>57</v>
      </c>
      <c r="C1728" s="55" t="s">
        <v>58</v>
      </c>
      <c r="D1728" s="57">
        <v>19413</v>
      </c>
      <c r="E1728" s="55">
        <v>4044</v>
      </c>
      <c r="F1728" s="55">
        <v>192</v>
      </c>
      <c r="G1728" s="55">
        <v>2</v>
      </c>
      <c r="H1728" s="55">
        <v>1</v>
      </c>
      <c r="I1728" s="55">
        <v>0</v>
      </c>
      <c r="J1728" s="55">
        <v>0</v>
      </c>
    </row>
    <row r="1729" spans="1:10" ht="15" x14ac:dyDescent="0.4">
      <c r="A1729" s="54">
        <v>46150</v>
      </c>
      <c r="B1729" s="55" t="s">
        <v>59</v>
      </c>
      <c r="C1729" s="55" t="s">
        <v>60</v>
      </c>
      <c r="D1729" s="57">
        <v>27466</v>
      </c>
      <c r="E1729" s="55">
        <v>5281</v>
      </c>
      <c r="F1729" s="55">
        <v>38</v>
      </c>
      <c r="G1729" s="55">
        <v>3</v>
      </c>
      <c r="H1729" s="55">
        <v>0</v>
      </c>
      <c r="I1729" s="55">
        <v>0</v>
      </c>
      <c r="J1729" s="55">
        <v>0</v>
      </c>
    </row>
    <row r="1730" spans="1:10" ht="15" x14ac:dyDescent="0.4">
      <c r="A1730" s="54">
        <v>46150</v>
      </c>
      <c r="B1730" s="55" t="s">
        <v>55</v>
      </c>
      <c r="C1730" s="55" t="s">
        <v>56</v>
      </c>
      <c r="D1730" s="57">
        <v>41533</v>
      </c>
      <c r="E1730" s="55">
        <v>29666</v>
      </c>
      <c r="F1730" s="55">
        <v>296</v>
      </c>
      <c r="G1730" s="55">
        <v>12</v>
      </c>
      <c r="H1730" s="55">
        <v>2</v>
      </c>
      <c r="I1730" s="55">
        <v>1</v>
      </c>
      <c r="J1730" s="55">
        <v>1</v>
      </c>
    </row>
    <row r="1731" spans="1:10" ht="15" x14ac:dyDescent="0.4">
      <c r="A1731" s="54">
        <v>46150</v>
      </c>
      <c r="B1731" s="55" t="s">
        <v>62</v>
      </c>
      <c r="C1731" s="55" t="s">
        <v>56</v>
      </c>
      <c r="D1731" s="57">
        <v>9082</v>
      </c>
      <c r="E1731" s="55">
        <v>6487</v>
      </c>
      <c r="F1731" s="55">
        <v>75</v>
      </c>
      <c r="G1731" s="55">
        <v>3</v>
      </c>
      <c r="H1731" s="55">
        <v>1</v>
      </c>
      <c r="I1731" s="55">
        <v>0</v>
      </c>
      <c r="J1731" s="55">
        <v>0</v>
      </c>
    </row>
    <row r="1732" spans="1:10" ht="15" x14ac:dyDescent="0.4">
      <c r="A1732" s="54">
        <v>46151</v>
      </c>
      <c r="B1732" s="55" t="s">
        <v>63</v>
      </c>
      <c r="C1732" s="55" t="s">
        <v>58</v>
      </c>
      <c r="D1732" s="57">
        <v>6758</v>
      </c>
      <c r="E1732" s="55">
        <v>1407</v>
      </c>
      <c r="F1732" s="55">
        <v>79</v>
      </c>
      <c r="G1732" s="55">
        <v>1</v>
      </c>
      <c r="H1732" s="55">
        <v>2</v>
      </c>
      <c r="I1732" s="55">
        <v>2</v>
      </c>
      <c r="J1732" s="55">
        <v>0</v>
      </c>
    </row>
    <row r="1733" spans="1:10" ht="15" x14ac:dyDescent="0.4">
      <c r="A1733" s="54">
        <v>46151</v>
      </c>
      <c r="B1733" s="55" t="s">
        <v>57</v>
      </c>
      <c r="C1733" s="55" t="s">
        <v>58</v>
      </c>
      <c r="D1733" s="57">
        <v>18156</v>
      </c>
      <c r="E1733" s="55">
        <v>3782</v>
      </c>
      <c r="F1733" s="55">
        <v>192</v>
      </c>
      <c r="G1733" s="55">
        <v>3</v>
      </c>
      <c r="H1733" s="55">
        <v>0</v>
      </c>
      <c r="I1733" s="55">
        <v>0</v>
      </c>
      <c r="J1733" s="55">
        <v>0</v>
      </c>
    </row>
    <row r="1734" spans="1:10" ht="15" x14ac:dyDescent="0.4">
      <c r="A1734" s="54">
        <v>46151</v>
      </c>
      <c r="B1734" s="55" t="s">
        <v>59</v>
      </c>
      <c r="C1734" s="55" t="s">
        <v>60</v>
      </c>
      <c r="D1734" s="57">
        <v>27197</v>
      </c>
      <c r="E1734" s="55">
        <v>5230</v>
      </c>
      <c r="F1734" s="55">
        <v>34</v>
      </c>
      <c r="G1734" s="55">
        <v>2</v>
      </c>
      <c r="H1734" s="55">
        <v>0</v>
      </c>
      <c r="I1734" s="55">
        <v>0</v>
      </c>
      <c r="J1734" s="55">
        <v>0</v>
      </c>
    </row>
    <row r="1735" spans="1:10" ht="15" x14ac:dyDescent="0.4">
      <c r="A1735" s="54">
        <v>46151</v>
      </c>
      <c r="B1735" s="55" t="s">
        <v>55</v>
      </c>
      <c r="C1735" s="55" t="s">
        <v>56</v>
      </c>
      <c r="D1735" s="57">
        <v>37577</v>
      </c>
      <c r="E1735" s="55">
        <v>26840</v>
      </c>
      <c r="F1735" s="55">
        <v>330</v>
      </c>
      <c r="G1735" s="55">
        <v>9</v>
      </c>
      <c r="H1735" s="55">
        <v>3</v>
      </c>
      <c r="I1735" s="55">
        <v>1</v>
      </c>
      <c r="J1735" s="55">
        <v>0</v>
      </c>
    </row>
    <row r="1736" spans="1:10" ht="15" x14ac:dyDescent="0.4">
      <c r="A1736" s="54">
        <v>46151</v>
      </c>
      <c r="B1736" s="55" t="s">
        <v>62</v>
      </c>
      <c r="C1736" s="55" t="s">
        <v>56</v>
      </c>
      <c r="D1736" s="57">
        <v>9769</v>
      </c>
      <c r="E1736" s="55">
        <v>6977</v>
      </c>
      <c r="F1736" s="55">
        <v>82</v>
      </c>
      <c r="G1736" s="55">
        <v>5</v>
      </c>
      <c r="H1736" s="55">
        <v>0</v>
      </c>
      <c r="I1736" s="55">
        <v>0</v>
      </c>
      <c r="J1736" s="55">
        <v>0</v>
      </c>
    </row>
    <row r="1737" spans="1:10" ht="15" x14ac:dyDescent="0.4">
      <c r="A1737" s="54">
        <v>46152</v>
      </c>
      <c r="B1737" s="55" t="s">
        <v>63</v>
      </c>
      <c r="C1737" s="55" t="s">
        <v>58</v>
      </c>
      <c r="D1737" s="57">
        <v>6384</v>
      </c>
      <c r="E1737" s="55">
        <v>1330</v>
      </c>
      <c r="F1737" s="55">
        <v>77</v>
      </c>
      <c r="G1737" s="55">
        <v>3</v>
      </c>
      <c r="H1737" s="55">
        <v>2</v>
      </c>
      <c r="I1737" s="55">
        <v>1</v>
      </c>
      <c r="J1737" s="55">
        <v>0</v>
      </c>
    </row>
    <row r="1738" spans="1:10" ht="15" x14ac:dyDescent="0.4">
      <c r="A1738" s="54">
        <v>46152</v>
      </c>
      <c r="B1738" s="55" t="s">
        <v>57</v>
      </c>
      <c r="C1738" s="55" t="s">
        <v>58</v>
      </c>
      <c r="D1738" s="57">
        <v>20735</v>
      </c>
      <c r="E1738" s="55">
        <v>4319</v>
      </c>
      <c r="F1738" s="55">
        <v>233</v>
      </c>
      <c r="G1738" s="55">
        <v>3</v>
      </c>
      <c r="H1738" s="55">
        <v>1</v>
      </c>
      <c r="I1738" s="55">
        <v>0</v>
      </c>
      <c r="J1738" s="55">
        <v>0</v>
      </c>
    </row>
    <row r="1739" spans="1:10" ht="15" x14ac:dyDescent="0.4">
      <c r="A1739" s="54">
        <v>46152</v>
      </c>
      <c r="B1739" s="55" t="s">
        <v>59</v>
      </c>
      <c r="C1739" s="55" t="s">
        <v>60</v>
      </c>
      <c r="D1739" s="57">
        <v>27019</v>
      </c>
      <c r="E1739" s="55">
        <v>5195</v>
      </c>
      <c r="F1739" s="55">
        <v>35</v>
      </c>
      <c r="G1739" s="55">
        <v>3</v>
      </c>
      <c r="H1739" s="55">
        <v>1</v>
      </c>
      <c r="I1739" s="55">
        <v>0</v>
      </c>
      <c r="J1739" s="55">
        <v>1</v>
      </c>
    </row>
    <row r="1740" spans="1:10" ht="15" x14ac:dyDescent="0.4">
      <c r="A1740" s="54">
        <v>46152</v>
      </c>
      <c r="B1740" s="55" t="s">
        <v>55</v>
      </c>
      <c r="C1740" s="55" t="s">
        <v>56</v>
      </c>
      <c r="D1740" s="57">
        <v>36474</v>
      </c>
      <c r="E1740" s="55">
        <v>26052</v>
      </c>
      <c r="F1740" s="55">
        <v>303</v>
      </c>
      <c r="G1740" s="55">
        <v>12</v>
      </c>
      <c r="H1740" s="55">
        <v>3</v>
      </c>
      <c r="I1740" s="55">
        <v>3</v>
      </c>
      <c r="J1740" s="55">
        <v>0</v>
      </c>
    </row>
    <row r="1741" spans="1:10" ht="15" x14ac:dyDescent="0.4">
      <c r="A1741" s="54">
        <v>46152</v>
      </c>
      <c r="B1741" s="55" t="s">
        <v>62</v>
      </c>
      <c r="C1741" s="55" t="s">
        <v>56</v>
      </c>
      <c r="D1741" s="57">
        <v>8942</v>
      </c>
      <c r="E1741" s="55">
        <v>6387</v>
      </c>
      <c r="F1741" s="55">
        <v>70</v>
      </c>
      <c r="G1741" s="55">
        <v>2</v>
      </c>
      <c r="H1741" s="55">
        <v>2</v>
      </c>
      <c r="I1741" s="55">
        <v>0</v>
      </c>
      <c r="J1741" s="55">
        <v>0</v>
      </c>
    </row>
    <row r="1742" spans="1:10" ht="15" x14ac:dyDescent="0.4">
      <c r="A1742" s="54">
        <v>46153</v>
      </c>
      <c r="B1742" s="55" t="s">
        <v>63</v>
      </c>
      <c r="C1742" s="55" t="s">
        <v>58</v>
      </c>
      <c r="D1742" s="57">
        <v>7124</v>
      </c>
      <c r="E1742" s="55">
        <v>1484</v>
      </c>
      <c r="F1742" s="55">
        <v>81</v>
      </c>
      <c r="G1742" s="55">
        <v>4</v>
      </c>
      <c r="H1742" s="55">
        <v>1</v>
      </c>
      <c r="I1742" s="55">
        <v>1</v>
      </c>
      <c r="J1742" s="55">
        <v>0</v>
      </c>
    </row>
    <row r="1743" spans="1:10" ht="15" x14ac:dyDescent="0.4">
      <c r="A1743" s="54">
        <v>46153</v>
      </c>
      <c r="B1743" s="55" t="s">
        <v>57</v>
      </c>
      <c r="C1743" s="55" t="s">
        <v>58</v>
      </c>
      <c r="D1743" s="57">
        <v>19696</v>
      </c>
      <c r="E1743" s="55">
        <v>4103</v>
      </c>
      <c r="F1743" s="55">
        <v>229</v>
      </c>
      <c r="G1743" s="55">
        <v>2</v>
      </c>
      <c r="H1743" s="55">
        <v>1</v>
      </c>
      <c r="I1743" s="55">
        <v>1</v>
      </c>
      <c r="J1743" s="55">
        <v>0</v>
      </c>
    </row>
    <row r="1744" spans="1:10" ht="15" x14ac:dyDescent="0.4">
      <c r="A1744" s="54">
        <v>46153</v>
      </c>
      <c r="B1744" s="55" t="s">
        <v>59</v>
      </c>
      <c r="C1744" s="55" t="s">
        <v>60</v>
      </c>
      <c r="D1744" s="57">
        <v>25859</v>
      </c>
      <c r="E1744" s="55">
        <v>4972</v>
      </c>
      <c r="F1744" s="55">
        <v>30</v>
      </c>
      <c r="G1744" s="55">
        <v>2</v>
      </c>
      <c r="H1744" s="55">
        <v>0</v>
      </c>
      <c r="I1744" s="55">
        <v>0</v>
      </c>
      <c r="J1744" s="55">
        <v>0</v>
      </c>
    </row>
    <row r="1745" spans="1:10" ht="15" x14ac:dyDescent="0.4">
      <c r="A1745" s="54">
        <v>46153</v>
      </c>
      <c r="B1745" s="55" t="s">
        <v>55</v>
      </c>
      <c r="C1745" s="55" t="s">
        <v>56</v>
      </c>
      <c r="D1745" s="57">
        <v>36658</v>
      </c>
      <c r="E1745" s="55">
        <v>26184</v>
      </c>
      <c r="F1745" s="55">
        <v>301</v>
      </c>
      <c r="G1745" s="55">
        <v>7</v>
      </c>
      <c r="H1745" s="55">
        <v>0</v>
      </c>
      <c r="I1745" s="55">
        <v>1</v>
      </c>
      <c r="J1745" s="55">
        <v>0</v>
      </c>
    </row>
    <row r="1746" spans="1:10" ht="15" x14ac:dyDescent="0.4">
      <c r="A1746" s="54">
        <v>46153</v>
      </c>
      <c r="B1746" s="55" t="s">
        <v>62</v>
      </c>
      <c r="C1746" s="55" t="s">
        <v>56</v>
      </c>
      <c r="D1746" s="57">
        <v>10011</v>
      </c>
      <c r="E1746" s="55">
        <v>7150</v>
      </c>
      <c r="F1746" s="55">
        <v>74</v>
      </c>
      <c r="G1746" s="55">
        <v>5</v>
      </c>
      <c r="H1746" s="55">
        <v>1</v>
      </c>
      <c r="I1746" s="55">
        <v>2</v>
      </c>
      <c r="J1746" s="55">
        <v>0</v>
      </c>
    </row>
    <row r="1747" spans="1:10" ht="15" x14ac:dyDescent="0.4">
      <c r="A1747" s="54">
        <v>46154</v>
      </c>
      <c r="B1747" s="55" t="s">
        <v>63</v>
      </c>
      <c r="C1747" s="55" t="s">
        <v>58</v>
      </c>
      <c r="D1747" s="57">
        <v>7167</v>
      </c>
      <c r="E1747" s="55">
        <v>1493</v>
      </c>
      <c r="F1747" s="55">
        <v>77</v>
      </c>
      <c r="G1747" s="55">
        <v>6</v>
      </c>
      <c r="H1747" s="55">
        <v>2</v>
      </c>
      <c r="I1747" s="55">
        <v>1</v>
      </c>
      <c r="J1747" s="55">
        <v>0</v>
      </c>
    </row>
    <row r="1748" spans="1:10" ht="15" x14ac:dyDescent="0.4">
      <c r="A1748" s="54">
        <v>46154</v>
      </c>
      <c r="B1748" s="55" t="s">
        <v>57</v>
      </c>
      <c r="C1748" s="55" t="s">
        <v>58</v>
      </c>
      <c r="D1748" s="57">
        <v>21101</v>
      </c>
      <c r="E1748" s="55">
        <v>4396</v>
      </c>
      <c r="F1748" s="55">
        <v>212</v>
      </c>
      <c r="G1748" s="55">
        <v>2</v>
      </c>
      <c r="H1748" s="55">
        <v>1</v>
      </c>
      <c r="I1748" s="55">
        <v>0</v>
      </c>
      <c r="J1748" s="55">
        <v>0</v>
      </c>
    </row>
    <row r="1749" spans="1:10" ht="15" x14ac:dyDescent="0.4">
      <c r="A1749" s="54">
        <v>46154</v>
      </c>
      <c r="B1749" s="55" t="s">
        <v>59</v>
      </c>
      <c r="C1749" s="55" t="s">
        <v>60</v>
      </c>
      <c r="D1749" s="57">
        <v>27568</v>
      </c>
      <c r="E1749" s="55">
        <v>5301</v>
      </c>
      <c r="F1749" s="55">
        <v>31</v>
      </c>
      <c r="G1749" s="55">
        <v>1</v>
      </c>
      <c r="H1749" s="55">
        <v>2</v>
      </c>
      <c r="I1749" s="55">
        <v>0</v>
      </c>
      <c r="J1749" s="55">
        <v>0</v>
      </c>
    </row>
    <row r="1750" spans="1:10" ht="15" x14ac:dyDescent="0.4">
      <c r="A1750" s="54">
        <v>46154</v>
      </c>
      <c r="B1750" s="55" t="s">
        <v>55</v>
      </c>
      <c r="C1750" s="55" t="s">
        <v>56</v>
      </c>
      <c r="D1750" s="57">
        <v>37062</v>
      </c>
      <c r="E1750" s="55">
        <v>26472</v>
      </c>
      <c r="F1750" s="55">
        <v>262</v>
      </c>
      <c r="G1750" s="55">
        <v>11</v>
      </c>
      <c r="H1750" s="55">
        <v>1</v>
      </c>
      <c r="I1750" s="55">
        <v>2</v>
      </c>
      <c r="J1750" s="55">
        <v>1</v>
      </c>
    </row>
    <row r="1751" spans="1:10" ht="15" x14ac:dyDescent="0.4">
      <c r="A1751" s="54">
        <v>46154</v>
      </c>
      <c r="B1751" s="55" t="s">
        <v>62</v>
      </c>
      <c r="C1751" s="55" t="s">
        <v>56</v>
      </c>
      <c r="D1751" s="57">
        <v>8967</v>
      </c>
      <c r="E1751" s="55">
        <v>6405</v>
      </c>
      <c r="F1751" s="55">
        <v>60</v>
      </c>
      <c r="G1751" s="55">
        <v>1</v>
      </c>
      <c r="H1751" s="55">
        <v>0</v>
      </c>
      <c r="I1751" s="55">
        <v>0</v>
      </c>
      <c r="J1751" s="55">
        <v>0</v>
      </c>
    </row>
    <row r="1752" spans="1:10" ht="15" x14ac:dyDescent="0.4">
      <c r="A1752" s="54">
        <v>46155</v>
      </c>
      <c r="B1752" s="55" t="s">
        <v>63</v>
      </c>
      <c r="C1752" s="55" t="s">
        <v>58</v>
      </c>
      <c r="D1752" s="57">
        <v>7213</v>
      </c>
      <c r="E1752" s="55">
        <v>1502</v>
      </c>
      <c r="F1752" s="55">
        <v>75</v>
      </c>
      <c r="G1752" s="55">
        <v>2</v>
      </c>
      <c r="H1752" s="55">
        <v>3</v>
      </c>
      <c r="I1752" s="55">
        <v>0</v>
      </c>
      <c r="J1752" s="55">
        <v>0</v>
      </c>
    </row>
    <row r="1753" spans="1:10" ht="15" x14ac:dyDescent="0.4">
      <c r="A1753" s="54">
        <v>46155</v>
      </c>
      <c r="B1753" s="55" t="s">
        <v>57</v>
      </c>
      <c r="C1753" s="55" t="s">
        <v>58</v>
      </c>
      <c r="D1753" s="57">
        <v>20736</v>
      </c>
      <c r="E1753" s="55">
        <v>4320</v>
      </c>
      <c r="F1753" s="55">
        <v>253</v>
      </c>
      <c r="G1753" s="55">
        <v>3</v>
      </c>
      <c r="H1753" s="55">
        <v>0</v>
      </c>
      <c r="I1753" s="55">
        <v>0</v>
      </c>
      <c r="J1753" s="55">
        <v>0</v>
      </c>
    </row>
    <row r="1754" spans="1:10" ht="15" x14ac:dyDescent="0.4">
      <c r="A1754" s="54">
        <v>46155</v>
      </c>
      <c r="B1754" s="55" t="s">
        <v>59</v>
      </c>
      <c r="C1754" s="55" t="s">
        <v>60</v>
      </c>
      <c r="D1754" s="57">
        <v>27028</v>
      </c>
      <c r="E1754" s="55">
        <v>5197</v>
      </c>
      <c r="F1754" s="55">
        <v>37</v>
      </c>
      <c r="G1754" s="55">
        <v>2</v>
      </c>
      <c r="H1754" s="55">
        <v>1</v>
      </c>
      <c r="I1754" s="55">
        <v>0</v>
      </c>
      <c r="J1754" s="55">
        <v>0</v>
      </c>
    </row>
    <row r="1755" spans="1:10" ht="15" x14ac:dyDescent="0.4">
      <c r="A1755" s="54">
        <v>46155</v>
      </c>
      <c r="B1755" s="55" t="s">
        <v>55</v>
      </c>
      <c r="C1755" s="55" t="s">
        <v>56</v>
      </c>
      <c r="D1755" s="57">
        <v>41376</v>
      </c>
      <c r="E1755" s="55">
        <v>29554</v>
      </c>
      <c r="F1755" s="55">
        <v>326</v>
      </c>
      <c r="G1755" s="55">
        <v>19</v>
      </c>
      <c r="H1755" s="55">
        <v>2</v>
      </c>
      <c r="I1755" s="55">
        <v>1</v>
      </c>
      <c r="J1755" s="55">
        <v>2</v>
      </c>
    </row>
    <row r="1756" spans="1:10" ht="15" x14ac:dyDescent="0.4">
      <c r="A1756" s="54">
        <v>46155</v>
      </c>
      <c r="B1756" s="55" t="s">
        <v>62</v>
      </c>
      <c r="C1756" s="55" t="s">
        <v>56</v>
      </c>
      <c r="D1756" s="57">
        <v>9513</v>
      </c>
      <c r="E1756" s="55">
        <v>6795</v>
      </c>
      <c r="F1756" s="55">
        <v>76</v>
      </c>
      <c r="G1756" s="55">
        <v>5</v>
      </c>
      <c r="H1756" s="55">
        <v>3</v>
      </c>
      <c r="I1756" s="55">
        <v>0</v>
      </c>
      <c r="J1756" s="55">
        <v>0</v>
      </c>
    </row>
    <row r="1757" spans="1:10" ht="15" x14ac:dyDescent="0.4">
      <c r="A1757" s="54">
        <v>46156</v>
      </c>
      <c r="B1757" s="55" t="s">
        <v>63</v>
      </c>
      <c r="C1757" s="55" t="s">
        <v>58</v>
      </c>
      <c r="D1757" s="57">
        <v>6263</v>
      </c>
      <c r="E1757" s="55">
        <v>1304</v>
      </c>
      <c r="F1757" s="55">
        <v>72</v>
      </c>
      <c r="G1757" s="55">
        <v>0</v>
      </c>
      <c r="H1757" s="55">
        <v>2</v>
      </c>
      <c r="I1757" s="55">
        <v>0</v>
      </c>
      <c r="J1757" s="55">
        <v>0</v>
      </c>
    </row>
    <row r="1758" spans="1:10" ht="15" x14ac:dyDescent="0.4">
      <c r="A1758" s="54">
        <v>46156</v>
      </c>
      <c r="B1758" s="55" t="s">
        <v>57</v>
      </c>
      <c r="C1758" s="55" t="s">
        <v>58</v>
      </c>
      <c r="D1758" s="57">
        <v>17477</v>
      </c>
      <c r="E1758" s="55">
        <v>3641</v>
      </c>
      <c r="F1758" s="55">
        <v>171</v>
      </c>
      <c r="G1758" s="55">
        <v>5</v>
      </c>
      <c r="H1758" s="55">
        <v>0</v>
      </c>
      <c r="I1758" s="55">
        <v>0</v>
      </c>
      <c r="J1758" s="55">
        <v>0</v>
      </c>
    </row>
    <row r="1759" spans="1:10" ht="15" x14ac:dyDescent="0.4">
      <c r="A1759" s="54">
        <v>46156</v>
      </c>
      <c r="B1759" s="55" t="s">
        <v>59</v>
      </c>
      <c r="C1759" s="55" t="s">
        <v>60</v>
      </c>
      <c r="D1759" s="57">
        <v>27783</v>
      </c>
      <c r="E1759" s="55">
        <v>5342</v>
      </c>
      <c r="F1759" s="55">
        <v>32</v>
      </c>
      <c r="G1759" s="55">
        <v>0</v>
      </c>
      <c r="H1759" s="55">
        <v>0</v>
      </c>
      <c r="I1759" s="55">
        <v>1</v>
      </c>
      <c r="J1759" s="55">
        <v>0</v>
      </c>
    </row>
    <row r="1760" spans="1:10" ht="15" x14ac:dyDescent="0.4">
      <c r="A1760" s="54">
        <v>46156</v>
      </c>
      <c r="B1760" s="55" t="s">
        <v>55</v>
      </c>
      <c r="C1760" s="55" t="s">
        <v>56</v>
      </c>
      <c r="D1760" s="57">
        <v>38626</v>
      </c>
      <c r="E1760" s="55">
        <v>27590</v>
      </c>
      <c r="F1760" s="55">
        <v>325</v>
      </c>
      <c r="G1760" s="55">
        <v>12</v>
      </c>
      <c r="H1760" s="55">
        <v>3</v>
      </c>
      <c r="I1760" s="55">
        <v>1</v>
      </c>
      <c r="J1760" s="55">
        <v>0</v>
      </c>
    </row>
    <row r="1761" spans="1:10" ht="15" x14ac:dyDescent="0.4">
      <c r="A1761" s="54">
        <v>46156</v>
      </c>
      <c r="B1761" s="55" t="s">
        <v>62</v>
      </c>
      <c r="C1761" s="55" t="s">
        <v>56</v>
      </c>
      <c r="D1761" s="57">
        <v>8711</v>
      </c>
      <c r="E1761" s="55">
        <v>6222</v>
      </c>
      <c r="F1761" s="55">
        <v>78</v>
      </c>
      <c r="G1761" s="55">
        <v>2</v>
      </c>
      <c r="H1761" s="55">
        <v>2</v>
      </c>
      <c r="I1761" s="55">
        <v>0</v>
      </c>
      <c r="J1761" s="55">
        <v>1</v>
      </c>
    </row>
    <row r="1762" spans="1:10" ht="15" x14ac:dyDescent="0.4">
      <c r="A1762" s="54">
        <v>46157</v>
      </c>
      <c r="B1762" s="55" t="s">
        <v>63</v>
      </c>
      <c r="C1762" s="55" t="s">
        <v>58</v>
      </c>
      <c r="D1762" s="57">
        <v>6756</v>
      </c>
      <c r="E1762" s="55">
        <v>1407</v>
      </c>
      <c r="F1762" s="55">
        <v>83</v>
      </c>
      <c r="G1762" s="55">
        <v>1</v>
      </c>
      <c r="H1762" s="55">
        <v>0</v>
      </c>
      <c r="I1762" s="55">
        <v>2</v>
      </c>
      <c r="J1762" s="55">
        <v>0</v>
      </c>
    </row>
    <row r="1763" spans="1:10" ht="15" x14ac:dyDescent="0.4">
      <c r="A1763" s="54">
        <v>46157</v>
      </c>
      <c r="B1763" s="55" t="s">
        <v>57</v>
      </c>
      <c r="C1763" s="55" t="s">
        <v>58</v>
      </c>
      <c r="D1763" s="57">
        <v>18878</v>
      </c>
      <c r="E1763" s="55">
        <v>3932</v>
      </c>
      <c r="F1763" s="55">
        <v>227</v>
      </c>
      <c r="G1763" s="55">
        <v>2</v>
      </c>
      <c r="H1763" s="55">
        <v>1</v>
      </c>
      <c r="I1763" s="55">
        <v>0</v>
      </c>
      <c r="J1763" s="55">
        <v>1</v>
      </c>
    </row>
    <row r="1764" spans="1:10" ht="15" x14ac:dyDescent="0.4">
      <c r="A1764" s="54">
        <v>46157</v>
      </c>
      <c r="B1764" s="55" t="s">
        <v>59</v>
      </c>
      <c r="C1764" s="55" t="s">
        <v>60</v>
      </c>
      <c r="D1764" s="57">
        <v>24569</v>
      </c>
      <c r="E1764" s="55">
        <v>4724</v>
      </c>
      <c r="F1764" s="55">
        <v>31</v>
      </c>
      <c r="G1764" s="55">
        <v>3</v>
      </c>
      <c r="H1764" s="55">
        <v>0</v>
      </c>
      <c r="I1764" s="55">
        <v>3</v>
      </c>
      <c r="J1764" s="55">
        <v>0</v>
      </c>
    </row>
    <row r="1765" spans="1:10" ht="15" x14ac:dyDescent="0.4">
      <c r="A1765" s="54">
        <v>46157</v>
      </c>
      <c r="B1765" s="55" t="s">
        <v>55</v>
      </c>
      <c r="C1765" s="55" t="s">
        <v>56</v>
      </c>
      <c r="D1765" s="57">
        <v>40405</v>
      </c>
      <c r="E1765" s="55">
        <v>28860</v>
      </c>
      <c r="F1765" s="55">
        <v>310</v>
      </c>
      <c r="G1765" s="55">
        <v>13</v>
      </c>
      <c r="H1765" s="55">
        <v>2</v>
      </c>
      <c r="I1765" s="55">
        <v>0</v>
      </c>
      <c r="J1765" s="55">
        <v>0</v>
      </c>
    </row>
    <row r="1766" spans="1:10" ht="15" x14ac:dyDescent="0.4">
      <c r="A1766" s="54">
        <v>46157</v>
      </c>
      <c r="B1766" s="55" t="s">
        <v>62</v>
      </c>
      <c r="C1766" s="55" t="s">
        <v>56</v>
      </c>
      <c r="D1766" s="57">
        <v>8731</v>
      </c>
      <c r="E1766" s="55">
        <v>6236</v>
      </c>
      <c r="F1766" s="55">
        <v>59</v>
      </c>
      <c r="G1766" s="55">
        <v>4</v>
      </c>
      <c r="H1766" s="55">
        <v>0</v>
      </c>
      <c r="I1766" s="55">
        <v>0</v>
      </c>
      <c r="J1766" s="55">
        <v>1</v>
      </c>
    </row>
    <row r="1767" spans="1:10" ht="15" x14ac:dyDescent="0.4">
      <c r="A1767" s="54">
        <v>46158</v>
      </c>
      <c r="B1767" s="55" t="s">
        <v>63</v>
      </c>
      <c r="C1767" s="55" t="s">
        <v>58</v>
      </c>
      <c r="D1767" s="57">
        <v>6802</v>
      </c>
      <c r="E1767" s="55">
        <v>1417</v>
      </c>
      <c r="F1767" s="55">
        <v>71</v>
      </c>
      <c r="G1767" s="55">
        <v>4</v>
      </c>
      <c r="H1767" s="55">
        <v>0</v>
      </c>
      <c r="I1767" s="55">
        <v>1</v>
      </c>
      <c r="J1767" s="55">
        <v>0</v>
      </c>
    </row>
    <row r="1768" spans="1:10" ht="15" x14ac:dyDescent="0.4">
      <c r="A1768" s="54">
        <v>46158</v>
      </c>
      <c r="B1768" s="55" t="s">
        <v>57</v>
      </c>
      <c r="C1768" s="55" t="s">
        <v>58</v>
      </c>
      <c r="D1768" s="57">
        <v>20115</v>
      </c>
      <c r="E1768" s="55">
        <v>4190</v>
      </c>
      <c r="F1768" s="55">
        <v>197</v>
      </c>
      <c r="G1768" s="55">
        <v>2</v>
      </c>
      <c r="H1768" s="55">
        <v>1</v>
      </c>
      <c r="I1768" s="55">
        <v>1</v>
      </c>
      <c r="J1768" s="55">
        <v>0</v>
      </c>
    </row>
    <row r="1769" spans="1:10" ht="15" x14ac:dyDescent="0.4">
      <c r="A1769" s="54">
        <v>46158</v>
      </c>
      <c r="B1769" s="55" t="s">
        <v>59</v>
      </c>
      <c r="C1769" s="55" t="s">
        <v>60</v>
      </c>
      <c r="D1769" s="57">
        <v>24080</v>
      </c>
      <c r="E1769" s="55">
        <v>4630</v>
      </c>
      <c r="F1769" s="55">
        <v>31</v>
      </c>
      <c r="G1769" s="55">
        <v>2</v>
      </c>
      <c r="H1769" s="55">
        <v>1</v>
      </c>
      <c r="I1769" s="55">
        <v>0</v>
      </c>
      <c r="J1769" s="55">
        <v>0</v>
      </c>
    </row>
    <row r="1770" spans="1:10" ht="15" x14ac:dyDescent="0.4">
      <c r="A1770" s="54">
        <v>46158</v>
      </c>
      <c r="B1770" s="55" t="s">
        <v>55</v>
      </c>
      <c r="C1770" s="55" t="s">
        <v>56</v>
      </c>
      <c r="D1770" s="57">
        <v>39642</v>
      </c>
      <c r="E1770" s="55">
        <v>28315</v>
      </c>
      <c r="F1770" s="55">
        <v>288</v>
      </c>
      <c r="G1770" s="55">
        <v>7</v>
      </c>
      <c r="H1770" s="55">
        <v>0</v>
      </c>
      <c r="I1770" s="55">
        <v>0</v>
      </c>
      <c r="J1770" s="55">
        <v>0</v>
      </c>
    </row>
    <row r="1771" spans="1:10" ht="15" x14ac:dyDescent="0.4">
      <c r="A1771" s="54">
        <v>46158</v>
      </c>
      <c r="B1771" s="55" t="s">
        <v>62</v>
      </c>
      <c r="C1771" s="55" t="s">
        <v>56</v>
      </c>
      <c r="D1771" s="57">
        <v>10186</v>
      </c>
      <c r="E1771" s="55">
        <v>7275</v>
      </c>
      <c r="F1771" s="55">
        <v>68</v>
      </c>
      <c r="G1771" s="55">
        <v>2</v>
      </c>
      <c r="H1771" s="55">
        <v>0</v>
      </c>
      <c r="I1771" s="55">
        <v>2</v>
      </c>
      <c r="J1771" s="55">
        <v>0</v>
      </c>
    </row>
    <row r="1772" spans="1:10" ht="15" x14ac:dyDescent="0.4">
      <c r="A1772" s="54">
        <v>46159</v>
      </c>
      <c r="B1772" s="55" t="s">
        <v>63</v>
      </c>
      <c r="C1772" s="55" t="s">
        <v>58</v>
      </c>
      <c r="D1772" s="57">
        <v>6797</v>
      </c>
      <c r="E1772" s="55">
        <v>1416</v>
      </c>
      <c r="F1772" s="55">
        <v>81</v>
      </c>
      <c r="G1772" s="55">
        <v>5</v>
      </c>
      <c r="H1772" s="55">
        <v>1</v>
      </c>
      <c r="I1772" s="55">
        <v>0</v>
      </c>
      <c r="J1772" s="55">
        <v>0</v>
      </c>
    </row>
    <row r="1773" spans="1:10" ht="15" x14ac:dyDescent="0.4">
      <c r="A1773" s="54">
        <v>46159</v>
      </c>
      <c r="B1773" s="55" t="s">
        <v>57</v>
      </c>
      <c r="C1773" s="55" t="s">
        <v>58</v>
      </c>
      <c r="D1773" s="57">
        <v>20166</v>
      </c>
      <c r="E1773" s="55">
        <v>4201</v>
      </c>
      <c r="F1773" s="55">
        <v>251</v>
      </c>
      <c r="G1773" s="55">
        <v>1</v>
      </c>
      <c r="H1773" s="55">
        <v>0</v>
      </c>
      <c r="I1773" s="55">
        <v>1</v>
      </c>
      <c r="J1773" s="55">
        <v>0</v>
      </c>
    </row>
    <row r="1774" spans="1:10" ht="15" x14ac:dyDescent="0.4">
      <c r="A1774" s="54">
        <v>46159</v>
      </c>
      <c r="B1774" s="55" t="s">
        <v>59</v>
      </c>
      <c r="C1774" s="55" t="s">
        <v>60</v>
      </c>
      <c r="D1774" s="57">
        <v>24497</v>
      </c>
      <c r="E1774" s="55">
        <v>4710</v>
      </c>
      <c r="F1774" s="55">
        <v>34</v>
      </c>
      <c r="G1774" s="55">
        <v>1</v>
      </c>
      <c r="H1774" s="55">
        <v>2</v>
      </c>
      <c r="I1774" s="55">
        <v>1</v>
      </c>
      <c r="J1774" s="55">
        <v>0</v>
      </c>
    </row>
    <row r="1775" spans="1:10" ht="15" x14ac:dyDescent="0.4">
      <c r="A1775" s="54">
        <v>46159</v>
      </c>
      <c r="B1775" s="55" t="s">
        <v>55</v>
      </c>
      <c r="C1775" s="55" t="s">
        <v>56</v>
      </c>
      <c r="D1775" s="57">
        <v>41689</v>
      </c>
      <c r="E1775" s="55">
        <v>29777</v>
      </c>
      <c r="F1775" s="55">
        <v>359</v>
      </c>
      <c r="G1775" s="55">
        <v>5</v>
      </c>
      <c r="H1775" s="55">
        <v>6</v>
      </c>
      <c r="I1775" s="55">
        <v>2</v>
      </c>
      <c r="J1775" s="55">
        <v>1</v>
      </c>
    </row>
    <row r="1776" spans="1:10" ht="15" x14ac:dyDescent="0.4">
      <c r="A1776" s="54">
        <v>46159</v>
      </c>
      <c r="B1776" s="55" t="s">
        <v>62</v>
      </c>
      <c r="C1776" s="55" t="s">
        <v>56</v>
      </c>
      <c r="D1776" s="57">
        <v>9687</v>
      </c>
      <c r="E1776" s="55">
        <v>6919</v>
      </c>
      <c r="F1776" s="55">
        <v>80</v>
      </c>
      <c r="G1776" s="55">
        <v>7</v>
      </c>
      <c r="H1776" s="55">
        <v>1</v>
      </c>
      <c r="I1776" s="55">
        <v>0</v>
      </c>
      <c r="J1776" s="55">
        <v>0</v>
      </c>
    </row>
    <row r="1777" spans="1:10" ht="15" x14ac:dyDescent="0.4">
      <c r="A1777" s="54">
        <v>46160</v>
      </c>
      <c r="B1777" s="55" t="s">
        <v>63</v>
      </c>
      <c r="C1777" s="55" t="s">
        <v>58</v>
      </c>
      <c r="D1777" s="57">
        <v>6525</v>
      </c>
      <c r="E1777" s="55">
        <v>1359</v>
      </c>
      <c r="F1777" s="55">
        <v>62</v>
      </c>
      <c r="G1777" s="55">
        <v>1</v>
      </c>
      <c r="H1777" s="55">
        <v>3</v>
      </c>
      <c r="I1777" s="55">
        <v>2</v>
      </c>
      <c r="J1777" s="55">
        <v>0</v>
      </c>
    </row>
    <row r="1778" spans="1:10" ht="15" x14ac:dyDescent="0.4">
      <c r="A1778" s="54">
        <v>46160</v>
      </c>
      <c r="B1778" s="55" t="s">
        <v>57</v>
      </c>
      <c r="C1778" s="55" t="s">
        <v>58</v>
      </c>
      <c r="D1778" s="57">
        <v>17824</v>
      </c>
      <c r="E1778" s="55">
        <v>3713</v>
      </c>
      <c r="F1778" s="55">
        <v>193</v>
      </c>
      <c r="G1778" s="55">
        <v>2</v>
      </c>
      <c r="H1778" s="55">
        <v>0</v>
      </c>
      <c r="I1778" s="55">
        <v>1</v>
      </c>
      <c r="J1778" s="55">
        <v>0</v>
      </c>
    </row>
    <row r="1779" spans="1:10" ht="15" x14ac:dyDescent="0.4">
      <c r="A1779" s="54">
        <v>46160</v>
      </c>
      <c r="B1779" s="55" t="s">
        <v>59</v>
      </c>
      <c r="C1779" s="55" t="s">
        <v>60</v>
      </c>
      <c r="D1779" s="57">
        <v>27338</v>
      </c>
      <c r="E1779" s="55">
        <v>5257</v>
      </c>
      <c r="F1779" s="55">
        <v>35</v>
      </c>
      <c r="G1779" s="55">
        <v>2</v>
      </c>
      <c r="H1779" s="55">
        <v>2</v>
      </c>
      <c r="I1779" s="55">
        <v>0</v>
      </c>
      <c r="J1779" s="55">
        <v>0</v>
      </c>
    </row>
    <row r="1780" spans="1:10" ht="15" x14ac:dyDescent="0.4">
      <c r="A1780" s="54">
        <v>46160</v>
      </c>
      <c r="B1780" s="55" t="s">
        <v>55</v>
      </c>
      <c r="C1780" s="55" t="s">
        <v>56</v>
      </c>
      <c r="D1780" s="57">
        <v>35464</v>
      </c>
      <c r="E1780" s="55">
        <v>25331</v>
      </c>
      <c r="F1780" s="55">
        <v>245</v>
      </c>
      <c r="G1780" s="55">
        <v>7</v>
      </c>
      <c r="H1780" s="55">
        <v>0</v>
      </c>
      <c r="I1780" s="55">
        <v>0</v>
      </c>
      <c r="J1780" s="55">
        <v>0</v>
      </c>
    </row>
    <row r="1781" spans="1:10" ht="15" x14ac:dyDescent="0.4">
      <c r="A1781" s="54">
        <v>46160</v>
      </c>
      <c r="B1781" s="55" t="s">
        <v>62</v>
      </c>
      <c r="C1781" s="55" t="s">
        <v>56</v>
      </c>
      <c r="D1781" s="57">
        <v>9679</v>
      </c>
      <c r="E1781" s="55">
        <v>6913</v>
      </c>
      <c r="F1781" s="55">
        <v>84</v>
      </c>
      <c r="G1781" s="55">
        <v>5</v>
      </c>
      <c r="H1781" s="55">
        <v>2</v>
      </c>
      <c r="I1781" s="55">
        <v>0</v>
      </c>
      <c r="J1781" s="55">
        <v>0</v>
      </c>
    </row>
    <row r="1782" spans="1:10" ht="15" x14ac:dyDescent="0.4">
      <c r="A1782" s="54">
        <v>46161</v>
      </c>
      <c r="B1782" s="55" t="s">
        <v>63</v>
      </c>
      <c r="C1782" s="55" t="s">
        <v>58</v>
      </c>
      <c r="D1782" s="57">
        <v>6247</v>
      </c>
      <c r="E1782" s="55">
        <v>1301</v>
      </c>
      <c r="F1782" s="55">
        <v>61</v>
      </c>
      <c r="G1782" s="55">
        <v>4</v>
      </c>
      <c r="H1782" s="55">
        <v>1</v>
      </c>
      <c r="I1782" s="55">
        <v>1</v>
      </c>
      <c r="J1782" s="55">
        <v>0</v>
      </c>
    </row>
    <row r="1783" spans="1:10" ht="15" x14ac:dyDescent="0.4">
      <c r="A1783" s="54">
        <v>46161</v>
      </c>
      <c r="B1783" s="55" t="s">
        <v>57</v>
      </c>
      <c r="C1783" s="55" t="s">
        <v>58</v>
      </c>
      <c r="D1783" s="57">
        <v>19490</v>
      </c>
      <c r="E1783" s="55">
        <v>4060</v>
      </c>
      <c r="F1783" s="55">
        <v>179</v>
      </c>
      <c r="G1783" s="55">
        <v>3</v>
      </c>
      <c r="H1783" s="55">
        <v>0</v>
      </c>
      <c r="I1783" s="55">
        <v>0</v>
      </c>
      <c r="J1783" s="55">
        <v>0</v>
      </c>
    </row>
    <row r="1784" spans="1:10" ht="15" x14ac:dyDescent="0.4">
      <c r="A1784" s="54">
        <v>46161</v>
      </c>
      <c r="B1784" s="55" t="s">
        <v>59</v>
      </c>
      <c r="C1784" s="55" t="s">
        <v>60</v>
      </c>
      <c r="D1784" s="57">
        <v>23454</v>
      </c>
      <c r="E1784" s="55">
        <v>4510</v>
      </c>
      <c r="F1784" s="55">
        <v>32</v>
      </c>
      <c r="G1784" s="55">
        <v>1</v>
      </c>
      <c r="H1784" s="55">
        <v>0</v>
      </c>
      <c r="I1784" s="55">
        <v>0</v>
      </c>
      <c r="J1784" s="55">
        <v>0</v>
      </c>
    </row>
    <row r="1785" spans="1:10" ht="15" x14ac:dyDescent="0.4">
      <c r="A1785" s="54">
        <v>46161</v>
      </c>
      <c r="B1785" s="55" t="s">
        <v>55</v>
      </c>
      <c r="C1785" s="55" t="s">
        <v>56</v>
      </c>
      <c r="D1785" s="57">
        <v>35114</v>
      </c>
      <c r="E1785" s="55">
        <v>25081</v>
      </c>
      <c r="F1785" s="55">
        <v>237</v>
      </c>
      <c r="G1785" s="55">
        <v>12</v>
      </c>
      <c r="H1785" s="55">
        <v>0</v>
      </c>
      <c r="I1785" s="55">
        <v>1</v>
      </c>
      <c r="J1785" s="55">
        <v>0</v>
      </c>
    </row>
    <row r="1786" spans="1:10" ht="15" x14ac:dyDescent="0.4">
      <c r="A1786" s="54">
        <v>46161</v>
      </c>
      <c r="B1786" s="55" t="s">
        <v>62</v>
      </c>
      <c r="C1786" s="55" t="s">
        <v>56</v>
      </c>
      <c r="D1786" s="57">
        <v>8467</v>
      </c>
      <c r="E1786" s="55">
        <v>6047</v>
      </c>
      <c r="F1786" s="55">
        <v>67</v>
      </c>
      <c r="G1786" s="55">
        <v>4</v>
      </c>
      <c r="H1786" s="55">
        <v>3</v>
      </c>
      <c r="I1786" s="55">
        <v>0</v>
      </c>
      <c r="J1786" s="55">
        <v>0</v>
      </c>
    </row>
    <row r="1787" spans="1:10" ht="15" x14ac:dyDescent="0.4">
      <c r="A1787" s="54">
        <v>46162</v>
      </c>
      <c r="B1787" s="55" t="s">
        <v>63</v>
      </c>
      <c r="C1787" s="55" t="s">
        <v>58</v>
      </c>
      <c r="D1787" s="57">
        <v>6723</v>
      </c>
      <c r="E1787" s="55">
        <v>1400</v>
      </c>
      <c r="F1787" s="55">
        <v>66</v>
      </c>
      <c r="G1787" s="55">
        <v>2</v>
      </c>
      <c r="H1787" s="55">
        <v>2</v>
      </c>
      <c r="I1787" s="55">
        <v>0</v>
      </c>
      <c r="J1787" s="55">
        <v>1</v>
      </c>
    </row>
    <row r="1788" spans="1:10" ht="15" x14ac:dyDescent="0.4">
      <c r="A1788" s="54">
        <v>46162</v>
      </c>
      <c r="B1788" s="55" t="s">
        <v>57</v>
      </c>
      <c r="C1788" s="55" t="s">
        <v>58</v>
      </c>
      <c r="D1788" s="57">
        <v>20044</v>
      </c>
      <c r="E1788" s="55">
        <v>4175</v>
      </c>
      <c r="F1788" s="55">
        <v>235</v>
      </c>
      <c r="G1788" s="55">
        <v>4</v>
      </c>
      <c r="H1788" s="55">
        <v>0</v>
      </c>
      <c r="I1788" s="55">
        <v>0</v>
      </c>
      <c r="J1788" s="55">
        <v>1</v>
      </c>
    </row>
    <row r="1789" spans="1:10" ht="15" x14ac:dyDescent="0.4">
      <c r="A1789" s="54">
        <v>46162</v>
      </c>
      <c r="B1789" s="55" t="s">
        <v>59</v>
      </c>
      <c r="C1789" s="55" t="s">
        <v>60</v>
      </c>
      <c r="D1789" s="57">
        <v>27106</v>
      </c>
      <c r="E1789" s="55">
        <v>5212</v>
      </c>
      <c r="F1789" s="55">
        <v>29</v>
      </c>
      <c r="G1789" s="55">
        <v>1</v>
      </c>
      <c r="H1789" s="55">
        <v>1</v>
      </c>
      <c r="I1789" s="55">
        <v>1</v>
      </c>
      <c r="J1789" s="55">
        <v>0</v>
      </c>
    </row>
    <row r="1790" spans="1:10" ht="15" x14ac:dyDescent="0.4">
      <c r="A1790" s="54">
        <v>46162</v>
      </c>
      <c r="B1790" s="55" t="s">
        <v>55</v>
      </c>
      <c r="C1790" s="55" t="s">
        <v>56</v>
      </c>
      <c r="D1790" s="57">
        <v>40362</v>
      </c>
      <c r="E1790" s="55">
        <v>28830</v>
      </c>
      <c r="F1790" s="55">
        <v>328</v>
      </c>
      <c r="G1790" s="55">
        <v>14</v>
      </c>
      <c r="H1790" s="55">
        <v>4</v>
      </c>
      <c r="I1790" s="55">
        <v>2</v>
      </c>
      <c r="J1790" s="55">
        <v>0</v>
      </c>
    </row>
    <row r="1791" spans="1:10" ht="15" x14ac:dyDescent="0.4">
      <c r="A1791" s="54">
        <v>46162</v>
      </c>
      <c r="B1791" s="55" t="s">
        <v>62</v>
      </c>
      <c r="C1791" s="55" t="s">
        <v>56</v>
      </c>
      <c r="D1791" s="57">
        <v>8679</v>
      </c>
      <c r="E1791" s="55">
        <v>6199</v>
      </c>
      <c r="F1791" s="55">
        <v>72</v>
      </c>
      <c r="G1791" s="55">
        <v>3</v>
      </c>
      <c r="H1791" s="55">
        <v>1</v>
      </c>
      <c r="I1791" s="55">
        <v>0</v>
      </c>
      <c r="J1791" s="55">
        <v>0</v>
      </c>
    </row>
    <row r="1792" spans="1:10" ht="15" x14ac:dyDescent="0.4">
      <c r="A1792" s="54">
        <v>46163</v>
      </c>
      <c r="B1792" s="55" t="s">
        <v>63</v>
      </c>
      <c r="C1792" s="55" t="s">
        <v>58</v>
      </c>
      <c r="D1792" s="57">
        <v>7450</v>
      </c>
      <c r="E1792" s="55">
        <v>1552</v>
      </c>
      <c r="F1792" s="55">
        <v>71</v>
      </c>
      <c r="G1792" s="55">
        <v>4</v>
      </c>
      <c r="H1792" s="55">
        <v>2</v>
      </c>
      <c r="I1792" s="55">
        <v>0</v>
      </c>
      <c r="J1792" s="55">
        <v>0</v>
      </c>
    </row>
    <row r="1793" spans="1:10" ht="15" x14ac:dyDescent="0.4">
      <c r="A1793" s="54">
        <v>46163</v>
      </c>
      <c r="B1793" s="55" t="s">
        <v>57</v>
      </c>
      <c r="C1793" s="55" t="s">
        <v>58</v>
      </c>
      <c r="D1793" s="57">
        <v>20853</v>
      </c>
      <c r="E1793" s="55">
        <v>4344</v>
      </c>
      <c r="F1793" s="55">
        <v>197</v>
      </c>
      <c r="G1793" s="55">
        <v>2</v>
      </c>
      <c r="H1793" s="55">
        <v>0</v>
      </c>
      <c r="I1793" s="55">
        <v>0</v>
      </c>
      <c r="J1793" s="55">
        <v>0</v>
      </c>
    </row>
    <row r="1794" spans="1:10" ht="15" x14ac:dyDescent="0.4">
      <c r="A1794" s="54">
        <v>46163</v>
      </c>
      <c r="B1794" s="55" t="s">
        <v>59</v>
      </c>
      <c r="C1794" s="55" t="s">
        <v>60</v>
      </c>
      <c r="D1794" s="57">
        <v>25513</v>
      </c>
      <c r="E1794" s="55">
        <v>4906</v>
      </c>
      <c r="F1794" s="55">
        <v>31</v>
      </c>
      <c r="G1794" s="55">
        <v>1</v>
      </c>
      <c r="H1794" s="55">
        <v>2</v>
      </c>
      <c r="I1794" s="55">
        <v>0</v>
      </c>
      <c r="J1794" s="55">
        <v>0</v>
      </c>
    </row>
    <row r="1795" spans="1:10" ht="15" x14ac:dyDescent="0.4">
      <c r="A1795" s="54">
        <v>46163</v>
      </c>
      <c r="B1795" s="55" t="s">
        <v>55</v>
      </c>
      <c r="C1795" s="55" t="s">
        <v>56</v>
      </c>
      <c r="D1795" s="57">
        <v>38611</v>
      </c>
      <c r="E1795" s="55">
        <v>27579</v>
      </c>
      <c r="F1795" s="55">
        <v>286</v>
      </c>
      <c r="G1795" s="55">
        <v>4</v>
      </c>
      <c r="H1795" s="55">
        <v>2</v>
      </c>
      <c r="I1795" s="55">
        <v>0</v>
      </c>
      <c r="J1795" s="55">
        <v>1</v>
      </c>
    </row>
    <row r="1796" spans="1:10" ht="15" x14ac:dyDescent="0.4">
      <c r="A1796" s="54">
        <v>46163</v>
      </c>
      <c r="B1796" s="55" t="s">
        <v>62</v>
      </c>
      <c r="C1796" s="55" t="s">
        <v>56</v>
      </c>
      <c r="D1796" s="57">
        <v>9088</v>
      </c>
      <c r="E1796" s="55">
        <v>6491</v>
      </c>
      <c r="F1796" s="55">
        <v>77</v>
      </c>
      <c r="G1796" s="55">
        <v>8</v>
      </c>
      <c r="H1796" s="55">
        <v>0</v>
      </c>
      <c r="I1796" s="55">
        <v>1</v>
      </c>
      <c r="J1796" s="55">
        <v>0</v>
      </c>
    </row>
    <row r="1797" spans="1:10" ht="15" x14ac:dyDescent="0.4">
      <c r="A1797" s="54">
        <v>46164</v>
      </c>
      <c r="B1797" s="55" t="s">
        <v>63</v>
      </c>
      <c r="C1797" s="55" t="s">
        <v>58</v>
      </c>
      <c r="D1797" s="57">
        <v>6342</v>
      </c>
      <c r="E1797" s="55">
        <v>1321</v>
      </c>
      <c r="F1797" s="55">
        <v>63</v>
      </c>
      <c r="G1797" s="55">
        <v>1</v>
      </c>
      <c r="H1797" s="55">
        <v>3</v>
      </c>
      <c r="I1797" s="55">
        <v>0</v>
      </c>
      <c r="J1797" s="55">
        <v>2</v>
      </c>
    </row>
    <row r="1798" spans="1:10" ht="15" x14ac:dyDescent="0.4">
      <c r="A1798" s="54">
        <v>46164</v>
      </c>
      <c r="B1798" s="55" t="s">
        <v>57</v>
      </c>
      <c r="C1798" s="55" t="s">
        <v>58</v>
      </c>
      <c r="D1798" s="57">
        <v>20621</v>
      </c>
      <c r="E1798" s="55">
        <v>4296</v>
      </c>
      <c r="F1798" s="55">
        <v>196</v>
      </c>
      <c r="G1798" s="55">
        <v>3</v>
      </c>
      <c r="H1798" s="55">
        <v>2</v>
      </c>
      <c r="I1798" s="55">
        <v>0</v>
      </c>
      <c r="J1798" s="55">
        <v>0</v>
      </c>
    </row>
    <row r="1799" spans="1:10" ht="15" x14ac:dyDescent="0.4">
      <c r="A1799" s="54">
        <v>46164</v>
      </c>
      <c r="B1799" s="55" t="s">
        <v>59</v>
      </c>
      <c r="C1799" s="55" t="s">
        <v>60</v>
      </c>
      <c r="D1799" s="57">
        <v>24657</v>
      </c>
      <c r="E1799" s="55">
        <v>4741</v>
      </c>
      <c r="F1799" s="55">
        <v>26</v>
      </c>
      <c r="G1799" s="55">
        <v>1</v>
      </c>
      <c r="H1799" s="55">
        <v>2</v>
      </c>
      <c r="I1799" s="55">
        <v>0</v>
      </c>
      <c r="J1799" s="55">
        <v>0</v>
      </c>
    </row>
    <row r="1800" spans="1:10" ht="15" x14ac:dyDescent="0.4">
      <c r="A1800" s="54">
        <v>46164</v>
      </c>
      <c r="B1800" s="55" t="s">
        <v>55</v>
      </c>
      <c r="C1800" s="55" t="s">
        <v>56</v>
      </c>
      <c r="D1800" s="57">
        <v>42701</v>
      </c>
      <c r="E1800" s="55">
        <v>30500</v>
      </c>
      <c r="F1800" s="55">
        <v>348</v>
      </c>
      <c r="G1800" s="55">
        <v>12</v>
      </c>
      <c r="H1800" s="55">
        <v>1</v>
      </c>
      <c r="I1800" s="55">
        <v>2</v>
      </c>
      <c r="J1800" s="55">
        <v>0</v>
      </c>
    </row>
    <row r="1801" spans="1:10" ht="15" x14ac:dyDescent="0.4">
      <c r="A1801" s="54">
        <v>46164</v>
      </c>
      <c r="B1801" s="55" t="s">
        <v>62</v>
      </c>
      <c r="C1801" s="55" t="s">
        <v>56</v>
      </c>
      <c r="D1801" s="57">
        <v>8458</v>
      </c>
      <c r="E1801" s="55">
        <v>6041</v>
      </c>
      <c r="F1801" s="55">
        <v>59</v>
      </c>
      <c r="G1801" s="55">
        <v>6</v>
      </c>
      <c r="H1801" s="55">
        <v>1</v>
      </c>
      <c r="I1801" s="55">
        <v>0</v>
      </c>
      <c r="J1801" s="55">
        <v>0</v>
      </c>
    </row>
    <row r="1802" spans="1:10" ht="15" x14ac:dyDescent="0.4">
      <c r="A1802" s="54">
        <v>46165</v>
      </c>
      <c r="B1802" s="55" t="s">
        <v>63</v>
      </c>
      <c r="C1802" s="55" t="s">
        <v>58</v>
      </c>
      <c r="D1802" s="57">
        <v>7010</v>
      </c>
      <c r="E1802" s="55">
        <v>1460</v>
      </c>
      <c r="F1802" s="55">
        <v>73</v>
      </c>
      <c r="G1802" s="55">
        <v>5</v>
      </c>
      <c r="H1802" s="55">
        <v>0</v>
      </c>
      <c r="I1802" s="55">
        <v>0</v>
      </c>
      <c r="J1802" s="55">
        <v>0</v>
      </c>
    </row>
    <row r="1803" spans="1:10" ht="15" x14ac:dyDescent="0.4">
      <c r="A1803" s="54">
        <v>46165</v>
      </c>
      <c r="B1803" s="55" t="s">
        <v>57</v>
      </c>
      <c r="C1803" s="55" t="s">
        <v>58</v>
      </c>
      <c r="D1803" s="57">
        <v>18393</v>
      </c>
      <c r="E1803" s="55">
        <v>3831</v>
      </c>
      <c r="F1803" s="55">
        <v>211</v>
      </c>
      <c r="G1803" s="55">
        <v>5</v>
      </c>
      <c r="H1803" s="55">
        <v>0</v>
      </c>
      <c r="I1803" s="55">
        <v>0</v>
      </c>
      <c r="J1803" s="55">
        <v>0</v>
      </c>
    </row>
    <row r="1804" spans="1:10" ht="15" x14ac:dyDescent="0.4">
      <c r="A1804" s="54">
        <v>46165</v>
      </c>
      <c r="B1804" s="55" t="s">
        <v>59</v>
      </c>
      <c r="C1804" s="55" t="s">
        <v>60</v>
      </c>
      <c r="D1804" s="57">
        <v>25284</v>
      </c>
      <c r="E1804" s="55">
        <v>4862</v>
      </c>
      <c r="F1804" s="55">
        <v>31</v>
      </c>
      <c r="G1804" s="55">
        <v>1</v>
      </c>
      <c r="H1804" s="55">
        <v>0</v>
      </c>
      <c r="I1804" s="55">
        <v>1</v>
      </c>
      <c r="J1804" s="55">
        <v>0</v>
      </c>
    </row>
    <row r="1805" spans="1:10" ht="15" x14ac:dyDescent="0.4">
      <c r="A1805" s="54">
        <v>46165</v>
      </c>
      <c r="B1805" s="55" t="s">
        <v>55</v>
      </c>
      <c r="C1805" s="55" t="s">
        <v>56</v>
      </c>
      <c r="D1805" s="57">
        <v>41860</v>
      </c>
      <c r="E1805" s="55">
        <v>29900</v>
      </c>
      <c r="F1805" s="55">
        <v>358</v>
      </c>
      <c r="G1805" s="55">
        <v>15</v>
      </c>
      <c r="H1805" s="55">
        <v>3</v>
      </c>
      <c r="I1805" s="55">
        <v>2</v>
      </c>
      <c r="J1805" s="55">
        <v>0</v>
      </c>
    </row>
    <row r="1806" spans="1:10" ht="15" x14ac:dyDescent="0.4">
      <c r="A1806" s="54">
        <v>46165</v>
      </c>
      <c r="B1806" s="55" t="s">
        <v>62</v>
      </c>
      <c r="C1806" s="55" t="s">
        <v>56</v>
      </c>
      <c r="D1806" s="57">
        <v>9287</v>
      </c>
      <c r="E1806" s="55">
        <v>6633</v>
      </c>
      <c r="F1806" s="55">
        <v>77</v>
      </c>
      <c r="G1806" s="55">
        <v>0</v>
      </c>
      <c r="H1806" s="55">
        <v>5</v>
      </c>
      <c r="I1806" s="55">
        <v>1</v>
      </c>
      <c r="J1806" s="55">
        <v>0</v>
      </c>
    </row>
    <row r="1807" spans="1:10" ht="15" x14ac:dyDescent="0.4">
      <c r="A1807" s="54">
        <v>46166</v>
      </c>
      <c r="B1807" s="55" t="s">
        <v>63</v>
      </c>
      <c r="C1807" s="55" t="s">
        <v>58</v>
      </c>
      <c r="D1807" s="57">
        <v>6783</v>
      </c>
      <c r="E1807" s="55">
        <v>1413</v>
      </c>
      <c r="F1807" s="55">
        <v>79</v>
      </c>
      <c r="G1807" s="55">
        <v>2</v>
      </c>
      <c r="H1807" s="55">
        <v>2</v>
      </c>
      <c r="I1807" s="55">
        <v>2</v>
      </c>
      <c r="J1807" s="55">
        <v>0</v>
      </c>
    </row>
    <row r="1808" spans="1:10" ht="15" x14ac:dyDescent="0.4">
      <c r="A1808" s="54">
        <v>46166</v>
      </c>
      <c r="B1808" s="55" t="s">
        <v>57</v>
      </c>
      <c r="C1808" s="55" t="s">
        <v>58</v>
      </c>
      <c r="D1808" s="57">
        <v>20391</v>
      </c>
      <c r="E1808" s="55">
        <v>4248</v>
      </c>
      <c r="F1808" s="55">
        <v>253</v>
      </c>
      <c r="G1808" s="55">
        <v>1</v>
      </c>
      <c r="H1808" s="55">
        <v>3</v>
      </c>
      <c r="I1808" s="55">
        <v>0</v>
      </c>
      <c r="J1808" s="55">
        <v>0</v>
      </c>
    </row>
    <row r="1809" spans="1:10" ht="15" x14ac:dyDescent="0.4">
      <c r="A1809" s="54">
        <v>46166</v>
      </c>
      <c r="B1809" s="55" t="s">
        <v>59</v>
      </c>
      <c r="C1809" s="55" t="s">
        <v>60</v>
      </c>
      <c r="D1809" s="57">
        <v>24655</v>
      </c>
      <c r="E1809" s="55">
        <v>4741</v>
      </c>
      <c r="F1809" s="55">
        <v>33</v>
      </c>
      <c r="G1809" s="55">
        <v>0</v>
      </c>
      <c r="H1809" s="55">
        <v>0</v>
      </c>
      <c r="I1809" s="55">
        <v>1</v>
      </c>
      <c r="J1809" s="55">
        <v>0</v>
      </c>
    </row>
    <row r="1810" spans="1:10" ht="15" x14ac:dyDescent="0.4">
      <c r="A1810" s="54">
        <v>46166</v>
      </c>
      <c r="B1810" s="55" t="s">
        <v>55</v>
      </c>
      <c r="C1810" s="55" t="s">
        <v>56</v>
      </c>
      <c r="D1810" s="57">
        <v>35975</v>
      </c>
      <c r="E1810" s="55">
        <v>25696</v>
      </c>
      <c r="F1810" s="55">
        <v>264</v>
      </c>
      <c r="G1810" s="55">
        <v>10</v>
      </c>
      <c r="H1810" s="55">
        <v>4</v>
      </c>
      <c r="I1810" s="55">
        <v>1</v>
      </c>
      <c r="J1810" s="55">
        <v>0</v>
      </c>
    </row>
    <row r="1811" spans="1:10" ht="15" x14ac:dyDescent="0.4">
      <c r="A1811" s="54">
        <v>46166</v>
      </c>
      <c r="B1811" s="55" t="s">
        <v>62</v>
      </c>
      <c r="C1811" s="55" t="s">
        <v>56</v>
      </c>
      <c r="D1811" s="57">
        <v>9425</v>
      </c>
      <c r="E1811" s="55">
        <v>6732</v>
      </c>
      <c r="F1811" s="55">
        <v>65</v>
      </c>
      <c r="G1811" s="55">
        <v>5</v>
      </c>
      <c r="H1811" s="55">
        <v>0</v>
      </c>
      <c r="I1811" s="55">
        <v>0</v>
      </c>
      <c r="J1811" s="55">
        <v>0</v>
      </c>
    </row>
    <row r="1812" spans="1:10" ht="15" x14ac:dyDescent="0.4">
      <c r="A1812" s="54">
        <v>46167</v>
      </c>
      <c r="B1812" s="55" t="s">
        <v>63</v>
      </c>
      <c r="C1812" s="55" t="s">
        <v>58</v>
      </c>
      <c r="D1812" s="57">
        <v>6278</v>
      </c>
      <c r="E1812" s="55">
        <v>1307</v>
      </c>
      <c r="F1812" s="55">
        <v>65</v>
      </c>
      <c r="G1812" s="55">
        <v>5</v>
      </c>
      <c r="H1812" s="55">
        <v>2</v>
      </c>
      <c r="I1812" s="55">
        <v>1</v>
      </c>
      <c r="J1812" s="55">
        <v>1</v>
      </c>
    </row>
    <row r="1813" spans="1:10" ht="15" x14ac:dyDescent="0.4">
      <c r="A1813" s="54">
        <v>46167</v>
      </c>
      <c r="B1813" s="55" t="s">
        <v>57</v>
      </c>
      <c r="C1813" s="55" t="s">
        <v>58</v>
      </c>
      <c r="D1813" s="57">
        <v>19933</v>
      </c>
      <c r="E1813" s="55">
        <v>4152</v>
      </c>
      <c r="F1813" s="55">
        <v>238</v>
      </c>
      <c r="G1813" s="55">
        <v>2</v>
      </c>
      <c r="H1813" s="55">
        <v>0</v>
      </c>
      <c r="I1813" s="55">
        <v>0</v>
      </c>
      <c r="J1813" s="55">
        <v>1</v>
      </c>
    </row>
    <row r="1814" spans="1:10" ht="15" x14ac:dyDescent="0.4">
      <c r="A1814" s="54">
        <v>46167</v>
      </c>
      <c r="B1814" s="55" t="s">
        <v>59</v>
      </c>
      <c r="C1814" s="55" t="s">
        <v>60</v>
      </c>
      <c r="D1814" s="57">
        <v>24787</v>
      </c>
      <c r="E1814" s="55">
        <v>4766</v>
      </c>
      <c r="F1814" s="55">
        <v>35</v>
      </c>
      <c r="G1814" s="55">
        <v>0</v>
      </c>
      <c r="H1814" s="55">
        <v>0</v>
      </c>
      <c r="I1814" s="55">
        <v>1</v>
      </c>
      <c r="J1814" s="55">
        <v>0</v>
      </c>
    </row>
    <row r="1815" spans="1:10" ht="15" x14ac:dyDescent="0.4">
      <c r="A1815" s="54">
        <v>46167</v>
      </c>
      <c r="B1815" s="55" t="s">
        <v>55</v>
      </c>
      <c r="C1815" s="55" t="s">
        <v>56</v>
      </c>
      <c r="D1815" s="57">
        <v>39804</v>
      </c>
      <c r="E1815" s="55">
        <v>28431</v>
      </c>
      <c r="F1815" s="55">
        <v>273</v>
      </c>
      <c r="G1815" s="55">
        <v>11</v>
      </c>
      <c r="H1815" s="55">
        <v>4</v>
      </c>
      <c r="I1815" s="55">
        <v>0</v>
      </c>
      <c r="J1815" s="55">
        <v>0</v>
      </c>
    </row>
    <row r="1816" spans="1:10" ht="15" x14ac:dyDescent="0.4">
      <c r="A1816" s="54">
        <v>46167</v>
      </c>
      <c r="B1816" s="55" t="s">
        <v>62</v>
      </c>
      <c r="C1816" s="55" t="s">
        <v>56</v>
      </c>
      <c r="D1816" s="57">
        <v>10065</v>
      </c>
      <c r="E1816" s="55">
        <v>7189</v>
      </c>
      <c r="F1816" s="55">
        <v>67</v>
      </c>
      <c r="G1816" s="55">
        <v>5</v>
      </c>
      <c r="H1816" s="55">
        <v>0</v>
      </c>
      <c r="I1816" s="55">
        <v>1</v>
      </c>
      <c r="J1816" s="55">
        <v>0</v>
      </c>
    </row>
    <row r="1817" spans="1:10" ht="15" x14ac:dyDescent="0.4">
      <c r="A1817" s="54">
        <v>46168</v>
      </c>
      <c r="B1817" s="55" t="s">
        <v>63</v>
      </c>
      <c r="C1817" s="55" t="s">
        <v>58</v>
      </c>
      <c r="D1817" s="57">
        <v>6908</v>
      </c>
      <c r="E1817" s="55">
        <v>1439</v>
      </c>
      <c r="F1817" s="55">
        <v>79</v>
      </c>
      <c r="G1817" s="55">
        <v>1</v>
      </c>
      <c r="H1817" s="55">
        <v>1</v>
      </c>
      <c r="I1817" s="55">
        <v>0</v>
      </c>
      <c r="J1817" s="55">
        <v>0</v>
      </c>
    </row>
    <row r="1818" spans="1:10" ht="15" x14ac:dyDescent="0.4">
      <c r="A1818" s="54">
        <v>46168</v>
      </c>
      <c r="B1818" s="55" t="s">
        <v>57</v>
      </c>
      <c r="C1818" s="55" t="s">
        <v>58</v>
      </c>
      <c r="D1818" s="57">
        <v>17916</v>
      </c>
      <c r="E1818" s="55">
        <v>3732</v>
      </c>
      <c r="F1818" s="55">
        <v>184</v>
      </c>
      <c r="G1818" s="55">
        <v>5</v>
      </c>
      <c r="H1818" s="55">
        <v>0</v>
      </c>
      <c r="I1818" s="55">
        <v>1</v>
      </c>
      <c r="J1818" s="55">
        <v>0</v>
      </c>
    </row>
    <row r="1819" spans="1:10" ht="15" x14ac:dyDescent="0.4">
      <c r="A1819" s="54">
        <v>46168</v>
      </c>
      <c r="B1819" s="55" t="s">
        <v>59</v>
      </c>
      <c r="C1819" s="55" t="s">
        <v>60</v>
      </c>
      <c r="D1819" s="57">
        <v>25514</v>
      </c>
      <c r="E1819" s="55">
        <v>4906</v>
      </c>
      <c r="F1819" s="55">
        <v>31</v>
      </c>
      <c r="G1819" s="55">
        <v>4</v>
      </c>
      <c r="H1819" s="55">
        <v>0</v>
      </c>
      <c r="I1819" s="55">
        <v>0</v>
      </c>
      <c r="J1819" s="55">
        <v>0</v>
      </c>
    </row>
    <row r="1820" spans="1:10" ht="15" x14ac:dyDescent="0.4">
      <c r="A1820" s="54">
        <v>46168</v>
      </c>
      <c r="B1820" s="55" t="s">
        <v>55</v>
      </c>
      <c r="C1820" s="55" t="s">
        <v>56</v>
      </c>
      <c r="D1820" s="57">
        <v>38275</v>
      </c>
      <c r="E1820" s="55">
        <v>27339</v>
      </c>
      <c r="F1820" s="55">
        <v>268</v>
      </c>
      <c r="G1820" s="55">
        <v>15</v>
      </c>
      <c r="H1820" s="55">
        <v>1</v>
      </c>
      <c r="I1820" s="55">
        <v>2</v>
      </c>
      <c r="J1820" s="55">
        <v>0</v>
      </c>
    </row>
    <row r="1821" spans="1:10" ht="15" x14ac:dyDescent="0.4">
      <c r="A1821" s="54">
        <v>46168</v>
      </c>
      <c r="B1821" s="55" t="s">
        <v>62</v>
      </c>
      <c r="C1821" s="55" t="s">
        <v>56</v>
      </c>
      <c r="D1821" s="57">
        <v>8987</v>
      </c>
      <c r="E1821" s="55">
        <v>6419</v>
      </c>
      <c r="F1821" s="55">
        <v>76</v>
      </c>
      <c r="G1821" s="55">
        <v>6</v>
      </c>
      <c r="H1821" s="55">
        <v>4</v>
      </c>
      <c r="I1821" s="55">
        <v>2</v>
      </c>
      <c r="J1821" s="55">
        <v>0</v>
      </c>
    </row>
    <row r="1822" spans="1:10" ht="15" x14ac:dyDescent="0.4">
      <c r="A1822" s="54">
        <v>46169</v>
      </c>
      <c r="B1822" s="55" t="s">
        <v>63</v>
      </c>
      <c r="C1822" s="55" t="s">
        <v>58</v>
      </c>
      <c r="D1822" s="57">
        <v>7139</v>
      </c>
      <c r="E1822" s="55">
        <v>1487</v>
      </c>
      <c r="F1822" s="55">
        <v>84</v>
      </c>
      <c r="G1822" s="55">
        <v>4</v>
      </c>
      <c r="H1822" s="55">
        <v>1</v>
      </c>
      <c r="I1822" s="55">
        <v>0</v>
      </c>
      <c r="J1822" s="55">
        <v>0</v>
      </c>
    </row>
    <row r="1823" spans="1:10" ht="15" x14ac:dyDescent="0.4">
      <c r="A1823" s="54">
        <v>46169</v>
      </c>
      <c r="B1823" s="55" t="s">
        <v>57</v>
      </c>
      <c r="C1823" s="55" t="s">
        <v>58</v>
      </c>
      <c r="D1823" s="57">
        <v>19606</v>
      </c>
      <c r="E1823" s="55">
        <v>4084</v>
      </c>
      <c r="F1823" s="55">
        <v>228</v>
      </c>
      <c r="G1823" s="55">
        <v>3</v>
      </c>
      <c r="H1823" s="55">
        <v>0</v>
      </c>
      <c r="I1823" s="55">
        <v>1</v>
      </c>
      <c r="J1823" s="55">
        <v>0</v>
      </c>
    </row>
    <row r="1824" spans="1:10" ht="15" x14ac:dyDescent="0.4">
      <c r="A1824" s="54">
        <v>46169</v>
      </c>
      <c r="B1824" s="55" t="s">
        <v>59</v>
      </c>
      <c r="C1824" s="55" t="s">
        <v>60</v>
      </c>
      <c r="D1824" s="57">
        <v>23987</v>
      </c>
      <c r="E1824" s="55">
        <v>4612</v>
      </c>
      <c r="F1824" s="55">
        <v>34</v>
      </c>
      <c r="G1824" s="55">
        <v>1</v>
      </c>
      <c r="H1824" s="55">
        <v>2</v>
      </c>
      <c r="I1824" s="55">
        <v>0</v>
      </c>
      <c r="J1824" s="55">
        <v>1</v>
      </c>
    </row>
    <row r="1825" spans="1:10" ht="15" x14ac:dyDescent="0.4">
      <c r="A1825" s="54">
        <v>46169</v>
      </c>
      <c r="B1825" s="55" t="s">
        <v>55</v>
      </c>
      <c r="C1825" s="55" t="s">
        <v>56</v>
      </c>
      <c r="D1825" s="57">
        <v>39500</v>
      </c>
      <c r="E1825" s="55">
        <v>28214</v>
      </c>
      <c r="F1825" s="55">
        <v>299</v>
      </c>
      <c r="G1825" s="55">
        <v>11</v>
      </c>
      <c r="H1825" s="55">
        <v>1</v>
      </c>
      <c r="I1825" s="55">
        <v>2</v>
      </c>
      <c r="J1825" s="55">
        <v>0</v>
      </c>
    </row>
    <row r="1826" spans="1:10" ht="15" x14ac:dyDescent="0.4">
      <c r="A1826" s="54">
        <v>46169</v>
      </c>
      <c r="B1826" s="55" t="s">
        <v>62</v>
      </c>
      <c r="C1826" s="55" t="s">
        <v>56</v>
      </c>
      <c r="D1826" s="57">
        <v>9061</v>
      </c>
      <c r="E1826" s="55">
        <v>6472</v>
      </c>
      <c r="F1826" s="55">
        <v>79</v>
      </c>
      <c r="G1826" s="55">
        <v>1</v>
      </c>
      <c r="H1826" s="55">
        <v>2</v>
      </c>
      <c r="I1826" s="55">
        <v>1</v>
      </c>
      <c r="J1826" s="55">
        <v>0</v>
      </c>
    </row>
    <row r="1827" spans="1:10" ht="15" x14ac:dyDescent="0.4">
      <c r="A1827" s="54">
        <v>46170</v>
      </c>
      <c r="B1827" s="55" t="s">
        <v>63</v>
      </c>
      <c r="C1827" s="55" t="s">
        <v>58</v>
      </c>
      <c r="D1827" s="57">
        <v>7137</v>
      </c>
      <c r="E1827" s="55">
        <v>1486</v>
      </c>
      <c r="F1827" s="55">
        <v>83</v>
      </c>
      <c r="G1827" s="55">
        <v>6</v>
      </c>
      <c r="H1827" s="55">
        <v>2</v>
      </c>
      <c r="I1827" s="55">
        <v>0</v>
      </c>
      <c r="J1827" s="55">
        <v>1</v>
      </c>
    </row>
    <row r="1828" spans="1:10" ht="15" x14ac:dyDescent="0.4">
      <c r="A1828" s="54">
        <v>46170</v>
      </c>
      <c r="B1828" s="55" t="s">
        <v>57</v>
      </c>
      <c r="C1828" s="55" t="s">
        <v>58</v>
      </c>
      <c r="D1828" s="57">
        <v>18709</v>
      </c>
      <c r="E1828" s="55">
        <v>3897</v>
      </c>
      <c r="F1828" s="55">
        <v>198</v>
      </c>
      <c r="G1828" s="55">
        <v>1</v>
      </c>
      <c r="H1828" s="55">
        <v>0</v>
      </c>
      <c r="I1828" s="55">
        <v>0</v>
      </c>
      <c r="J1828" s="55">
        <v>0</v>
      </c>
    </row>
    <row r="1829" spans="1:10" ht="15" x14ac:dyDescent="0.4">
      <c r="A1829" s="54">
        <v>46170</v>
      </c>
      <c r="B1829" s="55" t="s">
        <v>59</v>
      </c>
      <c r="C1829" s="55" t="s">
        <v>60</v>
      </c>
      <c r="D1829" s="57">
        <v>24343</v>
      </c>
      <c r="E1829" s="55">
        <v>4681</v>
      </c>
      <c r="F1829" s="55">
        <v>26</v>
      </c>
      <c r="G1829" s="55">
        <v>3</v>
      </c>
      <c r="H1829" s="55">
        <v>1</v>
      </c>
      <c r="I1829" s="55">
        <v>0</v>
      </c>
      <c r="J1829" s="55">
        <v>0</v>
      </c>
    </row>
    <row r="1830" spans="1:10" ht="15" x14ac:dyDescent="0.4">
      <c r="A1830" s="54">
        <v>46170</v>
      </c>
      <c r="B1830" s="55" t="s">
        <v>55</v>
      </c>
      <c r="C1830" s="55" t="s">
        <v>56</v>
      </c>
      <c r="D1830" s="57">
        <v>34928</v>
      </c>
      <c r="E1830" s="55">
        <v>24948</v>
      </c>
      <c r="F1830" s="55">
        <v>246</v>
      </c>
      <c r="G1830" s="55">
        <v>11</v>
      </c>
      <c r="H1830" s="55">
        <v>0</v>
      </c>
      <c r="I1830" s="55">
        <v>1</v>
      </c>
      <c r="J1830" s="55">
        <v>0</v>
      </c>
    </row>
    <row r="1831" spans="1:10" ht="15" x14ac:dyDescent="0.4">
      <c r="A1831" s="54">
        <v>46170</v>
      </c>
      <c r="B1831" s="55" t="s">
        <v>62</v>
      </c>
      <c r="C1831" s="55" t="s">
        <v>56</v>
      </c>
      <c r="D1831" s="57">
        <v>8860</v>
      </c>
      <c r="E1831" s="55">
        <v>6328</v>
      </c>
      <c r="F1831" s="55">
        <v>76</v>
      </c>
      <c r="G1831" s="55">
        <v>3</v>
      </c>
      <c r="H1831" s="55">
        <v>1</v>
      </c>
      <c r="I1831" s="55">
        <v>0</v>
      </c>
      <c r="J1831" s="55">
        <v>0</v>
      </c>
    </row>
    <row r="1832" spans="1:10" ht="15" x14ac:dyDescent="0.4">
      <c r="A1832" s="54">
        <v>46171</v>
      </c>
      <c r="B1832" s="55" t="s">
        <v>63</v>
      </c>
      <c r="C1832" s="55" t="s">
        <v>58</v>
      </c>
      <c r="D1832" s="57">
        <v>7228</v>
      </c>
      <c r="E1832" s="55">
        <v>1505</v>
      </c>
      <c r="F1832" s="55">
        <v>74</v>
      </c>
      <c r="G1832" s="55">
        <v>5</v>
      </c>
      <c r="H1832" s="55">
        <v>5</v>
      </c>
      <c r="I1832" s="55">
        <v>0</v>
      </c>
      <c r="J1832" s="55">
        <v>1</v>
      </c>
    </row>
    <row r="1833" spans="1:10" ht="15" x14ac:dyDescent="0.4">
      <c r="A1833" s="54">
        <v>46171</v>
      </c>
      <c r="B1833" s="55" t="s">
        <v>57</v>
      </c>
      <c r="C1833" s="55" t="s">
        <v>58</v>
      </c>
      <c r="D1833" s="57">
        <v>20385</v>
      </c>
      <c r="E1833" s="55">
        <v>4246</v>
      </c>
      <c r="F1833" s="55">
        <v>202</v>
      </c>
      <c r="G1833" s="55">
        <v>2</v>
      </c>
      <c r="H1833" s="55">
        <v>2</v>
      </c>
      <c r="I1833" s="55">
        <v>0</v>
      </c>
      <c r="J1833" s="55">
        <v>0</v>
      </c>
    </row>
    <row r="1834" spans="1:10" ht="15" x14ac:dyDescent="0.4">
      <c r="A1834" s="54">
        <v>46171</v>
      </c>
      <c r="B1834" s="55" t="s">
        <v>59</v>
      </c>
      <c r="C1834" s="55" t="s">
        <v>60</v>
      </c>
      <c r="D1834" s="57">
        <v>26529</v>
      </c>
      <c r="E1834" s="55">
        <v>5101</v>
      </c>
      <c r="F1834" s="55">
        <v>35</v>
      </c>
      <c r="G1834" s="55">
        <v>1</v>
      </c>
      <c r="H1834" s="55">
        <v>1</v>
      </c>
      <c r="I1834" s="55">
        <v>0</v>
      </c>
      <c r="J1834" s="55">
        <v>0</v>
      </c>
    </row>
    <row r="1835" spans="1:10" ht="15" x14ac:dyDescent="0.4">
      <c r="A1835" s="54">
        <v>46171</v>
      </c>
      <c r="B1835" s="55" t="s">
        <v>55</v>
      </c>
      <c r="C1835" s="55" t="s">
        <v>56</v>
      </c>
      <c r="D1835" s="57">
        <v>36447</v>
      </c>
      <c r="E1835" s="55">
        <v>26033</v>
      </c>
      <c r="F1835" s="55">
        <v>266</v>
      </c>
      <c r="G1835" s="55">
        <v>17</v>
      </c>
      <c r="H1835" s="55">
        <v>2</v>
      </c>
      <c r="I1835" s="55">
        <v>0</v>
      </c>
      <c r="J1835" s="55">
        <v>0</v>
      </c>
    </row>
    <row r="1836" spans="1:10" ht="15" x14ac:dyDescent="0.4">
      <c r="A1836" s="54">
        <v>46171</v>
      </c>
      <c r="B1836" s="55" t="s">
        <v>62</v>
      </c>
      <c r="C1836" s="55" t="s">
        <v>56</v>
      </c>
      <c r="D1836" s="57">
        <v>9440</v>
      </c>
      <c r="E1836" s="55">
        <v>6742</v>
      </c>
      <c r="F1836" s="55">
        <v>63</v>
      </c>
      <c r="G1836" s="55">
        <v>2</v>
      </c>
      <c r="H1836" s="55">
        <v>2</v>
      </c>
      <c r="I1836" s="55">
        <v>0</v>
      </c>
      <c r="J1836" s="55">
        <v>0</v>
      </c>
    </row>
    <row r="1837" spans="1:10" ht="15" x14ac:dyDescent="0.4">
      <c r="A1837" s="54">
        <v>46172</v>
      </c>
      <c r="B1837" s="55" t="s">
        <v>63</v>
      </c>
      <c r="C1837" s="55" t="s">
        <v>58</v>
      </c>
      <c r="D1837" s="57">
        <v>6825</v>
      </c>
      <c r="E1837" s="55">
        <v>1421</v>
      </c>
      <c r="F1837" s="55">
        <v>63</v>
      </c>
      <c r="G1837" s="55">
        <v>1</v>
      </c>
      <c r="H1837" s="55">
        <v>0</v>
      </c>
      <c r="I1837" s="55">
        <v>1</v>
      </c>
      <c r="J1837" s="55">
        <v>0</v>
      </c>
    </row>
    <row r="1838" spans="1:10" ht="15" x14ac:dyDescent="0.4">
      <c r="A1838" s="54">
        <v>46172</v>
      </c>
      <c r="B1838" s="55" t="s">
        <v>57</v>
      </c>
      <c r="C1838" s="55" t="s">
        <v>58</v>
      </c>
      <c r="D1838" s="57">
        <v>17277</v>
      </c>
      <c r="E1838" s="55">
        <v>3599</v>
      </c>
      <c r="F1838" s="55">
        <v>211</v>
      </c>
      <c r="G1838" s="55">
        <v>1</v>
      </c>
      <c r="H1838" s="55">
        <v>0</v>
      </c>
      <c r="I1838" s="55">
        <v>0</v>
      </c>
      <c r="J1838" s="55">
        <v>0</v>
      </c>
    </row>
    <row r="1839" spans="1:10" ht="15" x14ac:dyDescent="0.4">
      <c r="A1839" s="54">
        <v>46172</v>
      </c>
      <c r="B1839" s="55" t="s">
        <v>59</v>
      </c>
      <c r="C1839" s="55" t="s">
        <v>60</v>
      </c>
      <c r="D1839" s="57">
        <v>25624</v>
      </c>
      <c r="E1839" s="55">
        <v>4927</v>
      </c>
      <c r="F1839" s="55">
        <v>29</v>
      </c>
      <c r="G1839" s="55">
        <v>2</v>
      </c>
      <c r="H1839" s="55">
        <v>0</v>
      </c>
      <c r="I1839" s="55">
        <v>2</v>
      </c>
      <c r="J1839" s="55">
        <v>0</v>
      </c>
    </row>
    <row r="1840" spans="1:10" ht="15" x14ac:dyDescent="0.4">
      <c r="A1840" s="54">
        <v>46172</v>
      </c>
      <c r="B1840" s="55" t="s">
        <v>55</v>
      </c>
      <c r="C1840" s="55" t="s">
        <v>56</v>
      </c>
      <c r="D1840" s="57">
        <v>39371</v>
      </c>
      <c r="E1840" s="55">
        <v>28122</v>
      </c>
      <c r="F1840" s="55">
        <v>309</v>
      </c>
      <c r="G1840" s="55">
        <v>5</v>
      </c>
      <c r="H1840" s="55">
        <v>1</v>
      </c>
      <c r="I1840" s="55">
        <v>1</v>
      </c>
      <c r="J1840" s="55">
        <v>0</v>
      </c>
    </row>
    <row r="1841" spans="1:10" ht="15" x14ac:dyDescent="0.4">
      <c r="A1841" s="54">
        <v>46172</v>
      </c>
      <c r="B1841" s="55" t="s">
        <v>62</v>
      </c>
      <c r="C1841" s="55" t="s">
        <v>56</v>
      </c>
      <c r="D1841" s="57">
        <v>8582</v>
      </c>
      <c r="E1841" s="55">
        <v>6130</v>
      </c>
      <c r="F1841" s="55">
        <v>57</v>
      </c>
      <c r="G1841" s="55">
        <v>0</v>
      </c>
      <c r="H1841" s="55">
        <v>1</v>
      </c>
      <c r="I1841" s="55">
        <v>1</v>
      </c>
      <c r="J1841" s="55">
        <v>0</v>
      </c>
    </row>
    <row r="1842" spans="1:10" ht="15" x14ac:dyDescent="0.4">
      <c r="A1842" s="54">
        <v>46173</v>
      </c>
      <c r="B1842" s="55" t="s">
        <v>63</v>
      </c>
      <c r="C1842" s="55" t="s">
        <v>58</v>
      </c>
      <c r="D1842" s="57">
        <v>6926</v>
      </c>
      <c r="E1842" s="55">
        <v>1442</v>
      </c>
      <c r="F1842" s="55">
        <v>71</v>
      </c>
      <c r="G1842" s="55">
        <v>0</v>
      </c>
      <c r="H1842" s="55">
        <v>0</v>
      </c>
      <c r="I1842" s="55">
        <v>2</v>
      </c>
      <c r="J1842" s="55">
        <v>0</v>
      </c>
    </row>
    <row r="1843" spans="1:10" ht="15" x14ac:dyDescent="0.4">
      <c r="A1843" s="54">
        <v>46173</v>
      </c>
      <c r="B1843" s="55" t="s">
        <v>57</v>
      </c>
      <c r="C1843" s="55" t="s">
        <v>58</v>
      </c>
      <c r="D1843" s="57">
        <v>19824</v>
      </c>
      <c r="E1843" s="55">
        <v>4130</v>
      </c>
      <c r="F1843" s="55">
        <v>219</v>
      </c>
      <c r="G1843" s="55">
        <v>2</v>
      </c>
      <c r="H1843" s="55">
        <v>0</v>
      </c>
      <c r="I1843" s="55">
        <v>1</v>
      </c>
      <c r="J1843" s="55">
        <v>0</v>
      </c>
    </row>
    <row r="1844" spans="1:10" ht="15" x14ac:dyDescent="0.4">
      <c r="A1844" s="54">
        <v>46173</v>
      </c>
      <c r="B1844" s="55" t="s">
        <v>59</v>
      </c>
      <c r="C1844" s="55" t="s">
        <v>60</v>
      </c>
      <c r="D1844" s="57">
        <v>26788</v>
      </c>
      <c r="E1844" s="55">
        <v>5151</v>
      </c>
      <c r="F1844" s="55">
        <v>31</v>
      </c>
      <c r="G1844" s="55">
        <v>1</v>
      </c>
      <c r="H1844" s="55">
        <v>2</v>
      </c>
      <c r="I1844" s="55">
        <v>0</v>
      </c>
      <c r="J1844" s="55">
        <v>0</v>
      </c>
    </row>
    <row r="1845" spans="1:10" ht="15" x14ac:dyDescent="0.4">
      <c r="A1845" s="54">
        <v>46173</v>
      </c>
      <c r="B1845" s="55" t="s">
        <v>55</v>
      </c>
      <c r="C1845" s="55" t="s">
        <v>56</v>
      </c>
      <c r="D1845" s="57">
        <v>39653</v>
      </c>
      <c r="E1845" s="55">
        <v>28323</v>
      </c>
      <c r="F1845" s="55">
        <v>274</v>
      </c>
      <c r="G1845" s="55">
        <v>7</v>
      </c>
      <c r="H1845" s="55">
        <v>3</v>
      </c>
      <c r="I1845" s="55">
        <v>0</v>
      </c>
      <c r="J1845" s="55">
        <v>0</v>
      </c>
    </row>
    <row r="1846" spans="1:10" ht="15" x14ac:dyDescent="0.4">
      <c r="A1846" s="54">
        <v>46173</v>
      </c>
      <c r="B1846" s="55" t="s">
        <v>62</v>
      </c>
      <c r="C1846" s="55" t="s">
        <v>56</v>
      </c>
      <c r="D1846" s="57">
        <v>9704</v>
      </c>
      <c r="E1846" s="55">
        <v>6931</v>
      </c>
      <c r="F1846" s="55">
        <v>77</v>
      </c>
      <c r="G1846" s="55">
        <v>2</v>
      </c>
      <c r="H1846" s="55">
        <v>1</v>
      </c>
      <c r="I1846" s="55">
        <v>1</v>
      </c>
      <c r="J1846" s="55">
        <v>0</v>
      </c>
    </row>
    <row r="1847" spans="1:10" ht="15" x14ac:dyDescent="0.4">
      <c r="A1847" s="54">
        <v>46174</v>
      </c>
      <c r="B1847" s="55" t="s">
        <v>63</v>
      </c>
      <c r="C1847" s="55" t="s">
        <v>58</v>
      </c>
      <c r="D1847" s="57">
        <v>6467</v>
      </c>
      <c r="E1847" s="55">
        <v>1347</v>
      </c>
      <c r="F1847" s="55">
        <v>70</v>
      </c>
      <c r="G1847" s="55">
        <v>1</v>
      </c>
      <c r="H1847" s="55">
        <v>1</v>
      </c>
      <c r="I1847" s="55">
        <v>1</v>
      </c>
      <c r="J1847" s="55">
        <v>1</v>
      </c>
    </row>
    <row r="1848" spans="1:10" ht="15" x14ac:dyDescent="0.4">
      <c r="A1848" s="54">
        <v>46174</v>
      </c>
      <c r="B1848" s="55" t="s">
        <v>57</v>
      </c>
      <c r="C1848" s="55" t="s">
        <v>58</v>
      </c>
      <c r="D1848" s="57">
        <v>17862</v>
      </c>
      <c r="E1848" s="55">
        <v>3721</v>
      </c>
      <c r="F1848" s="55">
        <v>181</v>
      </c>
      <c r="G1848" s="55">
        <v>7</v>
      </c>
      <c r="H1848" s="55">
        <v>1</v>
      </c>
      <c r="I1848" s="55">
        <v>2</v>
      </c>
      <c r="J1848" s="55">
        <v>0</v>
      </c>
    </row>
    <row r="1849" spans="1:10" ht="15" x14ac:dyDescent="0.4">
      <c r="A1849" s="54">
        <v>46174</v>
      </c>
      <c r="B1849" s="55" t="s">
        <v>59</v>
      </c>
      <c r="C1849" s="55" t="s">
        <v>60</v>
      </c>
      <c r="D1849" s="57">
        <v>24023</v>
      </c>
      <c r="E1849" s="55">
        <v>4619</v>
      </c>
      <c r="F1849" s="55">
        <v>34</v>
      </c>
      <c r="G1849" s="55">
        <v>0</v>
      </c>
      <c r="H1849" s="55">
        <v>0</v>
      </c>
      <c r="I1849" s="55">
        <v>0</v>
      </c>
      <c r="J1849" s="55">
        <v>0</v>
      </c>
    </row>
    <row r="1850" spans="1:10" ht="15" x14ac:dyDescent="0.4">
      <c r="A1850" s="54">
        <v>46174</v>
      </c>
      <c r="B1850" s="55" t="s">
        <v>55</v>
      </c>
      <c r="C1850" s="55" t="s">
        <v>56</v>
      </c>
      <c r="D1850" s="57">
        <v>41137</v>
      </c>
      <c r="E1850" s="55">
        <v>29383</v>
      </c>
      <c r="F1850" s="55">
        <v>312</v>
      </c>
      <c r="G1850" s="55">
        <v>8</v>
      </c>
      <c r="H1850" s="55">
        <v>1</v>
      </c>
      <c r="I1850" s="55">
        <v>0</v>
      </c>
      <c r="J1850" s="55">
        <v>1</v>
      </c>
    </row>
    <row r="1851" spans="1:10" ht="15" x14ac:dyDescent="0.4">
      <c r="A1851" s="54">
        <v>46174</v>
      </c>
      <c r="B1851" s="55" t="s">
        <v>62</v>
      </c>
      <c r="C1851" s="55" t="s">
        <v>56</v>
      </c>
      <c r="D1851" s="57">
        <v>10114</v>
      </c>
      <c r="E1851" s="55">
        <v>7224</v>
      </c>
      <c r="F1851" s="55">
        <v>75</v>
      </c>
      <c r="G1851" s="55">
        <v>6</v>
      </c>
      <c r="H1851" s="55">
        <v>0</v>
      </c>
      <c r="I1851" s="55">
        <v>1</v>
      </c>
      <c r="J1851" s="55">
        <v>0</v>
      </c>
    </row>
    <row r="1852" spans="1:10" ht="15" x14ac:dyDescent="0.4">
      <c r="A1852" s="54">
        <v>46175</v>
      </c>
      <c r="B1852" s="55" t="s">
        <v>63</v>
      </c>
      <c r="C1852" s="55" t="s">
        <v>58</v>
      </c>
      <c r="D1852" s="57">
        <v>7416</v>
      </c>
      <c r="E1852" s="55">
        <v>1545</v>
      </c>
      <c r="F1852" s="55">
        <v>80</v>
      </c>
      <c r="G1852" s="55">
        <v>4</v>
      </c>
      <c r="H1852" s="55">
        <v>0</v>
      </c>
      <c r="I1852" s="55">
        <v>0</v>
      </c>
      <c r="J1852" s="55">
        <v>0</v>
      </c>
    </row>
    <row r="1853" spans="1:10" ht="15" x14ac:dyDescent="0.4">
      <c r="A1853" s="54">
        <v>46175</v>
      </c>
      <c r="B1853" s="55" t="s">
        <v>57</v>
      </c>
      <c r="C1853" s="55" t="s">
        <v>58</v>
      </c>
      <c r="D1853" s="57">
        <v>17652</v>
      </c>
      <c r="E1853" s="55">
        <v>3677</v>
      </c>
      <c r="F1853" s="55">
        <v>196</v>
      </c>
      <c r="G1853" s="55">
        <v>4</v>
      </c>
      <c r="H1853" s="55">
        <v>1</v>
      </c>
      <c r="I1853" s="55">
        <v>0</v>
      </c>
      <c r="J1853" s="55">
        <v>0</v>
      </c>
    </row>
    <row r="1854" spans="1:10" ht="15" x14ac:dyDescent="0.4">
      <c r="A1854" s="54">
        <v>46175</v>
      </c>
      <c r="B1854" s="55" t="s">
        <v>59</v>
      </c>
      <c r="C1854" s="55" t="s">
        <v>60</v>
      </c>
      <c r="D1854" s="57">
        <v>25103</v>
      </c>
      <c r="E1854" s="55">
        <v>4827</v>
      </c>
      <c r="F1854" s="55">
        <v>33</v>
      </c>
      <c r="G1854" s="55">
        <v>3</v>
      </c>
      <c r="H1854" s="55">
        <v>0</v>
      </c>
      <c r="I1854" s="55">
        <v>0</v>
      </c>
      <c r="J1854" s="55">
        <v>0</v>
      </c>
    </row>
    <row r="1855" spans="1:10" ht="15" x14ac:dyDescent="0.4">
      <c r="A1855" s="54">
        <v>46175</v>
      </c>
      <c r="B1855" s="55" t="s">
        <v>55</v>
      </c>
      <c r="C1855" s="55" t="s">
        <v>56</v>
      </c>
      <c r="D1855" s="57">
        <v>40348</v>
      </c>
      <c r="E1855" s="55">
        <v>28820</v>
      </c>
      <c r="F1855" s="55">
        <v>331</v>
      </c>
      <c r="G1855" s="55">
        <v>11</v>
      </c>
      <c r="H1855" s="55">
        <v>0</v>
      </c>
      <c r="I1855" s="55">
        <v>2</v>
      </c>
      <c r="J1855" s="55">
        <v>0</v>
      </c>
    </row>
    <row r="1856" spans="1:10" ht="15" x14ac:dyDescent="0.4">
      <c r="A1856" s="54">
        <v>46175</v>
      </c>
      <c r="B1856" s="55" t="s">
        <v>62</v>
      </c>
      <c r="C1856" s="55" t="s">
        <v>56</v>
      </c>
      <c r="D1856" s="57">
        <v>10076</v>
      </c>
      <c r="E1856" s="55">
        <v>7197</v>
      </c>
      <c r="F1856" s="55">
        <v>72</v>
      </c>
      <c r="G1856" s="55">
        <v>5</v>
      </c>
      <c r="H1856" s="55">
        <v>1</v>
      </c>
      <c r="I1856" s="55">
        <v>0</v>
      </c>
      <c r="J1856" s="55">
        <v>1</v>
      </c>
    </row>
    <row r="1857" spans="1:10" ht="15" x14ac:dyDescent="0.4">
      <c r="A1857" s="54">
        <v>46176</v>
      </c>
      <c r="B1857" s="55" t="s">
        <v>63</v>
      </c>
      <c r="C1857" s="55" t="s">
        <v>58</v>
      </c>
      <c r="D1857" s="57">
        <v>6426</v>
      </c>
      <c r="E1857" s="55">
        <v>1338</v>
      </c>
      <c r="F1857" s="55">
        <v>75</v>
      </c>
      <c r="G1857" s="55">
        <v>3</v>
      </c>
      <c r="H1857" s="55">
        <v>3</v>
      </c>
      <c r="I1857" s="55">
        <v>0</v>
      </c>
      <c r="J1857" s="55">
        <v>0</v>
      </c>
    </row>
    <row r="1858" spans="1:10" ht="15" x14ac:dyDescent="0.4">
      <c r="A1858" s="54">
        <v>46176</v>
      </c>
      <c r="B1858" s="55" t="s">
        <v>57</v>
      </c>
      <c r="C1858" s="55" t="s">
        <v>58</v>
      </c>
      <c r="D1858" s="57">
        <v>17535</v>
      </c>
      <c r="E1858" s="55">
        <v>3653</v>
      </c>
      <c r="F1858" s="55">
        <v>209</v>
      </c>
      <c r="G1858" s="55">
        <v>6</v>
      </c>
      <c r="H1858" s="55">
        <v>0</v>
      </c>
      <c r="I1858" s="55">
        <v>0</v>
      </c>
      <c r="J1858" s="55">
        <v>0</v>
      </c>
    </row>
    <row r="1859" spans="1:10" ht="15" x14ac:dyDescent="0.4">
      <c r="A1859" s="54">
        <v>46176</v>
      </c>
      <c r="B1859" s="55" t="s">
        <v>59</v>
      </c>
      <c r="C1859" s="55" t="s">
        <v>60</v>
      </c>
      <c r="D1859" s="57">
        <v>26567</v>
      </c>
      <c r="E1859" s="55">
        <v>5109</v>
      </c>
      <c r="F1859" s="55">
        <v>35</v>
      </c>
      <c r="G1859" s="55">
        <v>1</v>
      </c>
      <c r="H1859" s="55">
        <v>1</v>
      </c>
      <c r="I1859" s="55">
        <v>0</v>
      </c>
      <c r="J1859" s="55">
        <v>1</v>
      </c>
    </row>
    <row r="1860" spans="1:10" ht="15" x14ac:dyDescent="0.4">
      <c r="A1860" s="54">
        <v>46176</v>
      </c>
      <c r="B1860" s="55" t="s">
        <v>55</v>
      </c>
      <c r="C1860" s="55" t="s">
        <v>56</v>
      </c>
      <c r="D1860" s="57">
        <v>38497</v>
      </c>
      <c r="E1860" s="55">
        <v>27497</v>
      </c>
      <c r="F1860" s="55">
        <v>327</v>
      </c>
      <c r="G1860" s="55">
        <v>9</v>
      </c>
      <c r="H1860" s="55">
        <v>1</v>
      </c>
      <c r="I1860" s="55">
        <v>1</v>
      </c>
      <c r="J1860" s="55">
        <v>0</v>
      </c>
    </row>
    <row r="1861" spans="1:10" ht="15" x14ac:dyDescent="0.4">
      <c r="A1861" s="54">
        <v>46176</v>
      </c>
      <c r="B1861" s="55" t="s">
        <v>62</v>
      </c>
      <c r="C1861" s="55" t="s">
        <v>56</v>
      </c>
      <c r="D1861" s="57">
        <v>9098</v>
      </c>
      <c r="E1861" s="55">
        <v>6498</v>
      </c>
      <c r="F1861" s="55">
        <v>71</v>
      </c>
      <c r="G1861" s="55">
        <v>4</v>
      </c>
      <c r="H1861" s="55">
        <v>3</v>
      </c>
      <c r="I1861" s="55">
        <v>0</v>
      </c>
      <c r="J1861" s="55">
        <v>0</v>
      </c>
    </row>
    <row r="1862" spans="1:10" ht="15" x14ac:dyDescent="0.4">
      <c r="A1862" s="54">
        <v>46177</v>
      </c>
      <c r="B1862" s="55" t="s">
        <v>63</v>
      </c>
      <c r="C1862" s="55" t="s">
        <v>58</v>
      </c>
      <c r="D1862" s="57">
        <v>7279</v>
      </c>
      <c r="E1862" s="55">
        <v>1516</v>
      </c>
      <c r="F1862" s="55">
        <v>76</v>
      </c>
      <c r="G1862" s="55">
        <v>1</v>
      </c>
      <c r="H1862" s="55">
        <v>2</v>
      </c>
      <c r="I1862" s="55">
        <v>0</v>
      </c>
      <c r="J1862" s="55">
        <v>1</v>
      </c>
    </row>
    <row r="1863" spans="1:10" ht="15" x14ac:dyDescent="0.4">
      <c r="A1863" s="54">
        <v>46177</v>
      </c>
      <c r="B1863" s="55" t="s">
        <v>57</v>
      </c>
      <c r="C1863" s="55" t="s">
        <v>58</v>
      </c>
      <c r="D1863" s="57">
        <v>17988</v>
      </c>
      <c r="E1863" s="55">
        <v>3747</v>
      </c>
      <c r="F1863" s="55">
        <v>211</v>
      </c>
      <c r="G1863" s="55">
        <v>3</v>
      </c>
      <c r="H1863" s="55">
        <v>1</v>
      </c>
      <c r="I1863" s="55">
        <v>0</v>
      </c>
      <c r="J1863" s="55">
        <v>0</v>
      </c>
    </row>
    <row r="1864" spans="1:10" ht="15" x14ac:dyDescent="0.4">
      <c r="A1864" s="54">
        <v>46177</v>
      </c>
      <c r="B1864" s="55" t="s">
        <v>59</v>
      </c>
      <c r="C1864" s="55" t="s">
        <v>60</v>
      </c>
      <c r="D1864" s="57">
        <v>27337</v>
      </c>
      <c r="E1864" s="55">
        <v>5257</v>
      </c>
      <c r="F1864" s="55">
        <v>38</v>
      </c>
      <c r="G1864" s="55">
        <v>2</v>
      </c>
      <c r="H1864" s="55">
        <v>0</v>
      </c>
      <c r="I1864" s="55">
        <v>0</v>
      </c>
      <c r="J1864" s="55">
        <v>0</v>
      </c>
    </row>
    <row r="1865" spans="1:10" ht="15" x14ac:dyDescent="0.4">
      <c r="A1865" s="54">
        <v>46177</v>
      </c>
      <c r="B1865" s="55" t="s">
        <v>55</v>
      </c>
      <c r="C1865" s="55" t="s">
        <v>56</v>
      </c>
      <c r="D1865" s="57">
        <v>37972</v>
      </c>
      <c r="E1865" s="55">
        <v>27122</v>
      </c>
      <c r="F1865" s="55">
        <v>303</v>
      </c>
      <c r="G1865" s="55">
        <v>16</v>
      </c>
      <c r="H1865" s="55">
        <v>2</v>
      </c>
      <c r="I1865" s="55">
        <v>0</v>
      </c>
      <c r="J1865" s="55">
        <v>0</v>
      </c>
    </row>
    <row r="1866" spans="1:10" ht="15" x14ac:dyDescent="0.4">
      <c r="A1866" s="54">
        <v>46177</v>
      </c>
      <c r="B1866" s="55" t="s">
        <v>62</v>
      </c>
      <c r="C1866" s="55" t="s">
        <v>56</v>
      </c>
      <c r="D1866" s="57">
        <v>9919</v>
      </c>
      <c r="E1866" s="55">
        <v>7085</v>
      </c>
      <c r="F1866" s="55">
        <v>70</v>
      </c>
      <c r="G1866" s="55">
        <v>7</v>
      </c>
      <c r="H1866" s="55">
        <v>1</v>
      </c>
      <c r="I1866" s="55">
        <v>1</v>
      </c>
      <c r="J1866" s="55">
        <v>0</v>
      </c>
    </row>
    <row r="1867" spans="1:10" ht="15" x14ac:dyDescent="0.4">
      <c r="A1867" s="54">
        <v>46178</v>
      </c>
      <c r="B1867" s="55" t="s">
        <v>63</v>
      </c>
      <c r="C1867" s="55" t="s">
        <v>58</v>
      </c>
      <c r="D1867" s="57">
        <v>6888</v>
      </c>
      <c r="E1867" s="55">
        <v>1434</v>
      </c>
      <c r="F1867" s="55">
        <v>85</v>
      </c>
      <c r="G1867" s="55">
        <v>1</v>
      </c>
      <c r="H1867" s="55">
        <v>1</v>
      </c>
      <c r="I1867" s="55">
        <v>0</v>
      </c>
      <c r="J1867" s="55">
        <v>0</v>
      </c>
    </row>
    <row r="1868" spans="1:10" ht="15" x14ac:dyDescent="0.4">
      <c r="A1868" s="54">
        <v>46178</v>
      </c>
      <c r="B1868" s="55" t="s">
        <v>57</v>
      </c>
      <c r="C1868" s="55" t="s">
        <v>58</v>
      </c>
      <c r="D1868" s="57">
        <v>18387</v>
      </c>
      <c r="E1868" s="55">
        <v>3830</v>
      </c>
      <c r="F1868" s="55">
        <v>178</v>
      </c>
      <c r="G1868" s="55">
        <v>4</v>
      </c>
      <c r="H1868" s="55">
        <v>0</v>
      </c>
      <c r="I1868" s="55">
        <v>0</v>
      </c>
      <c r="J1868" s="55">
        <v>0</v>
      </c>
    </row>
    <row r="1869" spans="1:10" ht="15" x14ac:dyDescent="0.4">
      <c r="A1869" s="54">
        <v>46178</v>
      </c>
      <c r="B1869" s="55" t="s">
        <v>59</v>
      </c>
      <c r="C1869" s="55" t="s">
        <v>60</v>
      </c>
      <c r="D1869" s="57">
        <v>26402</v>
      </c>
      <c r="E1869" s="55">
        <v>5077</v>
      </c>
      <c r="F1869" s="55">
        <v>32</v>
      </c>
      <c r="G1869" s="55">
        <v>0</v>
      </c>
      <c r="H1869" s="55">
        <v>1</v>
      </c>
      <c r="I1869" s="55">
        <v>0</v>
      </c>
      <c r="J1869" s="55">
        <v>0</v>
      </c>
    </row>
    <row r="1870" spans="1:10" ht="15" x14ac:dyDescent="0.4">
      <c r="A1870" s="54">
        <v>46178</v>
      </c>
      <c r="B1870" s="55" t="s">
        <v>55</v>
      </c>
      <c r="C1870" s="55" t="s">
        <v>56</v>
      </c>
      <c r="D1870" s="57">
        <v>38479</v>
      </c>
      <c r="E1870" s="55">
        <v>27485</v>
      </c>
      <c r="F1870" s="55">
        <v>333</v>
      </c>
      <c r="G1870" s="55">
        <v>7</v>
      </c>
      <c r="H1870" s="55">
        <v>3</v>
      </c>
      <c r="I1870" s="55">
        <v>0</v>
      </c>
      <c r="J1870" s="55">
        <v>0</v>
      </c>
    </row>
    <row r="1871" spans="1:10" ht="15" x14ac:dyDescent="0.4">
      <c r="A1871" s="54">
        <v>46178</v>
      </c>
      <c r="B1871" s="55" t="s">
        <v>62</v>
      </c>
      <c r="C1871" s="55" t="s">
        <v>56</v>
      </c>
      <c r="D1871" s="57">
        <v>9524</v>
      </c>
      <c r="E1871" s="55">
        <v>6802</v>
      </c>
      <c r="F1871" s="55">
        <v>76</v>
      </c>
      <c r="G1871" s="55">
        <v>4</v>
      </c>
      <c r="H1871" s="55">
        <v>1</v>
      </c>
      <c r="I1871" s="55">
        <v>2</v>
      </c>
      <c r="J1871" s="55">
        <v>0</v>
      </c>
    </row>
    <row r="1872" spans="1:10" ht="15" x14ac:dyDescent="0.4">
      <c r="A1872" s="54">
        <v>46179</v>
      </c>
      <c r="B1872" s="55" t="s">
        <v>63</v>
      </c>
      <c r="C1872" s="55" t="s">
        <v>58</v>
      </c>
      <c r="D1872" s="57">
        <v>6258</v>
      </c>
      <c r="E1872" s="55">
        <v>1303</v>
      </c>
      <c r="F1872" s="55">
        <v>63</v>
      </c>
      <c r="G1872" s="55">
        <v>2</v>
      </c>
      <c r="H1872" s="55">
        <v>0</v>
      </c>
      <c r="I1872" s="55">
        <v>0</v>
      </c>
      <c r="J1872" s="55">
        <v>0</v>
      </c>
    </row>
    <row r="1873" spans="1:10" ht="15" x14ac:dyDescent="0.4">
      <c r="A1873" s="54">
        <v>46179</v>
      </c>
      <c r="B1873" s="55" t="s">
        <v>57</v>
      </c>
      <c r="C1873" s="55" t="s">
        <v>58</v>
      </c>
      <c r="D1873" s="57">
        <v>19521</v>
      </c>
      <c r="E1873" s="55">
        <v>4066</v>
      </c>
      <c r="F1873" s="55">
        <v>194</v>
      </c>
      <c r="G1873" s="55">
        <v>1</v>
      </c>
      <c r="H1873" s="55">
        <v>1</v>
      </c>
      <c r="I1873" s="55">
        <v>0</v>
      </c>
      <c r="J1873" s="55">
        <v>0</v>
      </c>
    </row>
    <row r="1874" spans="1:10" ht="15" x14ac:dyDescent="0.4">
      <c r="A1874" s="54">
        <v>46179</v>
      </c>
      <c r="B1874" s="55" t="s">
        <v>59</v>
      </c>
      <c r="C1874" s="55" t="s">
        <v>60</v>
      </c>
      <c r="D1874" s="57">
        <v>27309</v>
      </c>
      <c r="E1874" s="55">
        <v>5251</v>
      </c>
      <c r="F1874" s="55">
        <v>29</v>
      </c>
      <c r="G1874" s="55">
        <v>1</v>
      </c>
      <c r="H1874" s="55">
        <v>1</v>
      </c>
      <c r="I1874" s="55">
        <v>1</v>
      </c>
      <c r="J1874" s="55">
        <v>1</v>
      </c>
    </row>
    <row r="1875" spans="1:10" ht="15" x14ac:dyDescent="0.4">
      <c r="A1875" s="54">
        <v>46179</v>
      </c>
      <c r="B1875" s="55" t="s">
        <v>55</v>
      </c>
      <c r="C1875" s="55" t="s">
        <v>56</v>
      </c>
      <c r="D1875" s="57">
        <v>39063</v>
      </c>
      <c r="E1875" s="55">
        <v>27902</v>
      </c>
      <c r="F1875" s="55">
        <v>319</v>
      </c>
      <c r="G1875" s="55">
        <v>14</v>
      </c>
      <c r="H1875" s="55">
        <v>1</v>
      </c>
      <c r="I1875" s="55">
        <v>2</v>
      </c>
      <c r="J1875" s="55">
        <v>1</v>
      </c>
    </row>
    <row r="1876" spans="1:10" ht="15" x14ac:dyDescent="0.4">
      <c r="A1876" s="54">
        <v>46179</v>
      </c>
      <c r="B1876" s="55" t="s">
        <v>62</v>
      </c>
      <c r="C1876" s="55" t="s">
        <v>56</v>
      </c>
      <c r="D1876" s="57">
        <v>10141</v>
      </c>
      <c r="E1876" s="55">
        <v>7243</v>
      </c>
      <c r="F1876" s="55">
        <v>71</v>
      </c>
      <c r="G1876" s="55">
        <v>4</v>
      </c>
      <c r="H1876" s="55">
        <v>2</v>
      </c>
      <c r="I1876" s="55">
        <v>0</v>
      </c>
      <c r="J1876" s="55">
        <v>1</v>
      </c>
    </row>
    <row r="1877" spans="1:10" ht="15" x14ac:dyDescent="0.4">
      <c r="A1877" s="54">
        <v>46180</v>
      </c>
      <c r="B1877" s="55" t="s">
        <v>63</v>
      </c>
      <c r="C1877" s="55" t="s">
        <v>58</v>
      </c>
      <c r="D1877" s="57">
        <v>6535</v>
      </c>
      <c r="E1877" s="55">
        <v>1361</v>
      </c>
      <c r="F1877" s="55">
        <v>63</v>
      </c>
      <c r="G1877" s="55">
        <v>3</v>
      </c>
      <c r="H1877" s="55">
        <v>0</v>
      </c>
      <c r="I1877" s="55">
        <v>0</v>
      </c>
      <c r="J1877" s="55">
        <v>0</v>
      </c>
    </row>
    <row r="1878" spans="1:10" ht="15" x14ac:dyDescent="0.4">
      <c r="A1878" s="54">
        <v>46180</v>
      </c>
      <c r="B1878" s="55" t="s">
        <v>57</v>
      </c>
      <c r="C1878" s="55" t="s">
        <v>58</v>
      </c>
      <c r="D1878" s="57">
        <v>17648</v>
      </c>
      <c r="E1878" s="55">
        <v>3676</v>
      </c>
      <c r="F1878" s="55">
        <v>213</v>
      </c>
      <c r="G1878" s="55">
        <v>0</v>
      </c>
      <c r="H1878" s="55">
        <v>1</v>
      </c>
      <c r="I1878" s="55">
        <v>0</v>
      </c>
      <c r="J1878" s="55">
        <v>0</v>
      </c>
    </row>
    <row r="1879" spans="1:10" ht="15" x14ac:dyDescent="0.4">
      <c r="A1879" s="54">
        <v>46180</v>
      </c>
      <c r="B1879" s="55" t="s">
        <v>59</v>
      </c>
      <c r="C1879" s="55" t="s">
        <v>60</v>
      </c>
      <c r="D1879" s="57">
        <v>26344</v>
      </c>
      <c r="E1879" s="55">
        <v>5066</v>
      </c>
      <c r="F1879" s="55">
        <v>34</v>
      </c>
      <c r="G1879" s="55">
        <v>2</v>
      </c>
      <c r="H1879" s="55">
        <v>1</v>
      </c>
      <c r="I1879" s="55">
        <v>1</v>
      </c>
      <c r="J1879" s="55">
        <v>0</v>
      </c>
    </row>
    <row r="1880" spans="1:10" ht="15" x14ac:dyDescent="0.4">
      <c r="A1880" s="54">
        <v>46180</v>
      </c>
      <c r="B1880" s="55" t="s">
        <v>55</v>
      </c>
      <c r="C1880" s="55" t="s">
        <v>56</v>
      </c>
      <c r="D1880" s="57">
        <v>41781</v>
      </c>
      <c r="E1880" s="55">
        <v>29843</v>
      </c>
      <c r="F1880" s="55">
        <v>373</v>
      </c>
      <c r="G1880" s="55">
        <v>9</v>
      </c>
      <c r="H1880" s="55">
        <v>5</v>
      </c>
      <c r="I1880" s="55">
        <v>0</v>
      </c>
      <c r="J1880" s="55">
        <v>0</v>
      </c>
    </row>
    <row r="1881" spans="1:10" ht="15" x14ac:dyDescent="0.4">
      <c r="A1881" s="54">
        <v>46180</v>
      </c>
      <c r="B1881" s="55" t="s">
        <v>62</v>
      </c>
      <c r="C1881" s="55" t="s">
        <v>56</v>
      </c>
      <c r="D1881" s="57">
        <v>9845</v>
      </c>
      <c r="E1881" s="55">
        <v>7032</v>
      </c>
      <c r="F1881" s="55">
        <v>87</v>
      </c>
      <c r="G1881" s="55">
        <v>3</v>
      </c>
      <c r="H1881" s="55">
        <v>2</v>
      </c>
      <c r="I1881" s="55">
        <v>0</v>
      </c>
      <c r="J1881" s="55">
        <v>0</v>
      </c>
    </row>
    <row r="1882" spans="1:10" ht="15" x14ac:dyDescent="0.4">
      <c r="A1882" s="54">
        <v>46181</v>
      </c>
      <c r="B1882" s="55" t="s">
        <v>63</v>
      </c>
      <c r="C1882" s="55" t="s">
        <v>58</v>
      </c>
      <c r="D1882" s="57">
        <v>6483</v>
      </c>
      <c r="E1882" s="55">
        <v>1350</v>
      </c>
      <c r="F1882" s="55">
        <v>72</v>
      </c>
      <c r="G1882" s="55">
        <v>0</v>
      </c>
      <c r="H1882" s="55">
        <v>3</v>
      </c>
      <c r="I1882" s="55">
        <v>0</v>
      </c>
      <c r="J1882" s="55">
        <v>0</v>
      </c>
    </row>
    <row r="1883" spans="1:10" ht="15" x14ac:dyDescent="0.4">
      <c r="A1883" s="54">
        <v>46181</v>
      </c>
      <c r="B1883" s="55" t="s">
        <v>57</v>
      </c>
      <c r="C1883" s="55" t="s">
        <v>58</v>
      </c>
      <c r="D1883" s="57">
        <v>20745</v>
      </c>
      <c r="E1883" s="55">
        <v>4321</v>
      </c>
      <c r="F1883" s="55">
        <v>238</v>
      </c>
      <c r="G1883" s="55">
        <v>5</v>
      </c>
      <c r="H1883" s="55">
        <v>1</v>
      </c>
      <c r="I1883" s="55">
        <v>0</v>
      </c>
      <c r="J1883" s="55">
        <v>0</v>
      </c>
    </row>
    <row r="1884" spans="1:10" ht="15" x14ac:dyDescent="0.4">
      <c r="A1884" s="54">
        <v>46181</v>
      </c>
      <c r="B1884" s="55" t="s">
        <v>59</v>
      </c>
      <c r="C1884" s="55" t="s">
        <v>60</v>
      </c>
      <c r="D1884" s="57">
        <v>23727</v>
      </c>
      <c r="E1884" s="55">
        <v>4562</v>
      </c>
      <c r="F1884" s="55">
        <v>28</v>
      </c>
      <c r="G1884" s="55">
        <v>0</v>
      </c>
      <c r="H1884" s="55">
        <v>1</v>
      </c>
      <c r="I1884" s="55">
        <v>1</v>
      </c>
      <c r="J1884" s="55">
        <v>0</v>
      </c>
    </row>
    <row r="1885" spans="1:10" ht="15" x14ac:dyDescent="0.4">
      <c r="A1885" s="54">
        <v>46181</v>
      </c>
      <c r="B1885" s="55" t="s">
        <v>55</v>
      </c>
      <c r="C1885" s="55" t="s">
        <v>56</v>
      </c>
      <c r="D1885" s="57">
        <v>35397</v>
      </c>
      <c r="E1885" s="55">
        <v>25283</v>
      </c>
      <c r="F1885" s="55">
        <v>302</v>
      </c>
      <c r="G1885" s="55">
        <v>12</v>
      </c>
      <c r="H1885" s="55">
        <v>2</v>
      </c>
      <c r="I1885" s="55">
        <v>0</v>
      </c>
      <c r="J1885" s="55">
        <v>0</v>
      </c>
    </row>
    <row r="1886" spans="1:10" ht="15" x14ac:dyDescent="0.4">
      <c r="A1886" s="54">
        <v>46181</v>
      </c>
      <c r="B1886" s="55" t="s">
        <v>62</v>
      </c>
      <c r="C1886" s="55" t="s">
        <v>56</v>
      </c>
      <c r="D1886" s="57">
        <v>9674</v>
      </c>
      <c r="E1886" s="55">
        <v>6909</v>
      </c>
      <c r="F1886" s="55">
        <v>81</v>
      </c>
      <c r="G1886" s="55">
        <v>3</v>
      </c>
      <c r="H1886" s="55">
        <v>3</v>
      </c>
      <c r="I1886" s="55">
        <v>0</v>
      </c>
      <c r="J1886" s="55">
        <v>0</v>
      </c>
    </row>
    <row r="1887" spans="1:10" ht="15" x14ac:dyDescent="0.4">
      <c r="A1887" s="54">
        <v>46182</v>
      </c>
      <c r="B1887" s="55" t="s">
        <v>63</v>
      </c>
      <c r="C1887" s="55" t="s">
        <v>58</v>
      </c>
      <c r="D1887" s="57">
        <v>6686</v>
      </c>
      <c r="E1887" s="55">
        <v>1392</v>
      </c>
      <c r="F1887" s="55">
        <v>65</v>
      </c>
      <c r="G1887" s="55">
        <v>6</v>
      </c>
      <c r="H1887" s="55">
        <v>0</v>
      </c>
      <c r="I1887" s="55">
        <v>0</v>
      </c>
      <c r="J1887" s="55">
        <v>0</v>
      </c>
    </row>
    <row r="1888" spans="1:10" ht="15" x14ac:dyDescent="0.4">
      <c r="A1888" s="54">
        <v>46182</v>
      </c>
      <c r="B1888" s="55" t="s">
        <v>57</v>
      </c>
      <c r="C1888" s="55" t="s">
        <v>58</v>
      </c>
      <c r="D1888" s="57">
        <v>20143</v>
      </c>
      <c r="E1888" s="55">
        <v>4196</v>
      </c>
      <c r="F1888" s="55">
        <v>215</v>
      </c>
      <c r="G1888" s="55">
        <v>4</v>
      </c>
      <c r="H1888" s="55">
        <v>1</v>
      </c>
      <c r="I1888" s="55">
        <v>0</v>
      </c>
      <c r="J1888" s="55">
        <v>0</v>
      </c>
    </row>
    <row r="1889" spans="1:10" ht="15" x14ac:dyDescent="0.4">
      <c r="A1889" s="54">
        <v>46182</v>
      </c>
      <c r="B1889" s="55" t="s">
        <v>59</v>
      </c>
      <c r="C1889" s="55" t="s">
        <v>60</v>
      </c>
      <c r="D1889" s="57">
        <v>26721</v>
      </c>
      <c r="E1889" s="55">
        <v>5138</v>
      </c>
      <c r="F1889" s="55">
        <v>35</v>
      </c>
      <c r="G1889" s="55">
        <v>1</v>
      </c>
      <c r="H1889" s="55">
        <v>1</v>
      </c>
      <c r="I1889" s="55">
        <v>1</v>
      </c>
      <c r="J1889" s="55">
        <v>0</v>
      </c>
    </row>
    <row r="1890" spans="1:10" ht="15" x14ac:dyDescent="0.4">
      <c r="A1890" s="54">
        <v>46182</v>
      </c>
      <c r="B1890" s="55" t="s">
        <v>55</v>
      </c>
      <c r="C1890" s="55" t="s">
        <v>56</v>
      </c>
      <c r="D1890" s="57">
        <v>41639</v>
      </c>
      <c r="E1890" s="55">
        <v>29742</v>
      </c>
      <c r="F1890" s="55">
        <v>321</v>
      </c>
      <c r="G1890" s="55">
        <v>17</v>
      </c>
      <c r="H1890" s="55">
        <v>1</v>
      </c>
      <c r="I1890" s="55">
        <v>2</v>
      </c>
      <c r="J1890" s="55">
        <v>0</v>
      </c>
    </row>
    <row r="1891" spans="1:10" ht="15" x14ac:dyDescent="0.4">
      <c r="A1891" s="54">
        <v>46182</v>
      </c>
      <c r="B1891" s="55" t="s">
        <v>62</v>
      </c>
      <c r="C1891" s="55" t="s">
        <v>56</v>
      </c>
      <c r="D1891" s="57">
        <v>9919</v>
      </c>
      <c r="E1891" s="55">
        <v>7085</v>
      </c>
      <c r="F1891" s="55">
        <v>77</v>
      </c>
      <c r="G1891" s="55">
        <v>2</v>
      </c>
      <c r="H1891" s="55">
        <v>1</v>
      </c>
      <c r="I1891" s="55">
        <v>1</v>
      </c>
      <c r="J1891" s="55">
        <v>0</v>
      </c>
    </row>
    <row r="1892" spans="1:10" ht="15" x14ac:dyDescent="0.4">
      <c r="A1892" s="54">
        <v>46183</v>
      </c>
      <c r="B1892" s="55" t="s">
        <v>63</v>
      </c>
      <c r="C1892" s="55" t="s">
        <v>58</v>
      </c>
      <c r="D1892" s="57">
        <v>6962</v>
      </c>
      <c r="E1892" s="55">
        <v>1450</v>
      </c>
      <c r="F1892" s="55">
        <v>80</v>
      </c>
      <c r="G1892" s="55">
        <v>4</v>
      </c>
      <c r="H1892" s="55">
        <v>1</v>
      </c>
      <c r="I1892" s="55">
        <v>3</v>
      </c>
      <c r="J1892" s="55">
        <v>0</v>
      </c>
    </row>
    <row r="1893" spans="1:10" ht="15" x14ac:dyDescent="0.4">
      <c r="A1893" s="54">
        <v>46183</v>
      </c>
      <c r="B1893" s="55" t="s">
        <v>57</v>
      </c>
      <c r="C1893" s="55" t="s">
        <v>58</v>
      </c>
      <c r="D1893" s="57">
        <v>17657</v>
      </c>
      <c r="E1893" s="55">
        <v>3678</v>
      </c>
      <c r="F1893" s="55">
        <v>189</v>
      </c>
      <c r="G1893" s="55">
        <v>1</v>
      </c>
      <c r="H1893" s="55">
        <v>0</v>
      </c>
      <c r="I1893" s="55">
        <v>0</v>
      </c>
      <c r="J1893" s="55">
        <v>0</v>
      </c>
    </row>
    <row r="1894" spans="1:10" ht="15" x14ac:dyDescent="0.4">
      <c r="A1894" s="54">
        <v>46183</v>
      </c>
      <c r="B1894" s="55" t="s">
        <v>59</v>
      </c>
      <c r="C1894" s="55" t="s">
        <v>60</v>
      </c>
      <c r="D1894" s="57">
        <v>26312</v>
      </c>
      <c r="E1894" s="55">
        <v>5060</v>
      </c>
      <c r="F1894" s="55">
        <v>33</v>
      </c>
      <c r="G1894" s="55">
        <v>0</v>
      </c>
      <c r="H1894" s="55">
        <v>0</v>
      </c>
      <c r="I1894" s="55">
        <v>0</v>
      </c>
      <c r="J1894" s="55">
        <v>0</v>
      </c>
    </row>
    <row r="1895" spans="1:10" ht="15" x14ac:dyDescent="0.4">
      <c r="A1895" s="54">
        <v>46183</v>
      </c>
      <c r="B1895" s="55" t="s">
        <v>55</v>
      </c>
      <c r="C1895" s="55" t="s">
        <v>56</v>
      </c>
      <c r="D1895" s="57">
        <v>35396</v>
      </c>
      <c r="E1895" s="55">
        <v>25282</v>
      </c>
      <c r="F1895" s="55">
        <v>318</v>
      </c>
      <c r="G1895" s="55">
        <v>11</v>
      </c>
      <c r="H1895" s="55">
        <v>1</v>
      </c>
      <c r="I1895" s="55">
        <v>1</v>
      </c>
      <c r="J1895" s="55">
        <v>0</v>
      </c>
    </row>
    <row r="1896" spans="1:10" ht="15" x14ac:dyDescent="0.4">
      <c r="A1896" s="54">
        <v>46183</v>
      </c>
      <c r="B1896" s="55" t="s">
        <v>62</v>
      </c>
      <c r="C1896" s="55" t="s">
        <v>56</v>
      </c>
      <c r="D1896" s="57">
        <v>8651</v>
      </c>
      <c r="E1896" s="55">
        <v>6179</v>
      </c>
      <c r="F1896" s="55">
        <v>71</v>
      </c>
      <c r="G1896" s="55">
        <v>4</v>
      </c>
      <c r="H1896" s="55">
        <v>2</v>
      </c>
      <c r="I1896" s="55">
        <v>1</v>
      </c>
      <c r="J1896" s="55">
        <v>0</v>
      </c>
    </row>
    <row r="1897" spans="1:10" ht="15" x14ac:dyDescent="0.4">
      <c r="A1897" s="54">
        <v>46184</v>
      </c>
      <c r="B1897" s="55" t="s">
        <v>63</v>
      </c>
      <c r="C1897" s="55" t="s">
        <v>58</v>
      </c>
      <c r="D1897" s="57">
        <v>6494</v>
      </c>
      <c r="E1897" s="55">
        <v>1352</v>
      </c>
      <c r="F1897" s="55">
        <v>69</v>
      </c>
      <c r="G1897" s="55">
        <v>3</v>
      </c>
      <c r="H1897" s="55">
        <v>1</v>
      </c>
      <c r="I1897" s="55">
        <v>0</v>
      </c>
      <c r="J1897" s="55">
        <v>0</v>
      </c>
    </row>
    <row r="1898" spans="1:10" ht="15" x14ac:dyDescent="0.4">
      <c r="A1898" s="54">
        <v>46184</v>
      </c>
      <c r="B1898" s="55" t="s">
        <v>57</v>
      </c>
      <c r="C1898" s="55" t="s">
        <v>58</v>
      </c>
      <c r="D1898" s="57">
        <v>20276</v>
      </c>
      <c r="E1898" s="55">
        <v>4224</v>
      </c>
      <c r="F1898" s="55">
        <v>233</v>
      </c>
      <c r="G1898" s="55">
        <v>6</v>
      </c>
      <c r="H1898" s="55">
        <v>0</v>
      </c>
      <c r="I1898" s="55">
        <v>2</v>
      </c>
      <c r="J1898" s="55">
        <v>0</v>
      </c>
    </row>
    <row r="1899" spans="1:10" ht="15" x14ac:dyDescent="0.4">
      <c r="A1899" s="54">
        <v>46184</v>
      </c>
      <c r="B1899" s="55" t="s">
        <v>59</v>
      </c>
      <c r="C1899" s="55" t="s">
        <v>60</v>
      </c>
      <c r="D1899" s="57">
        <v>27457</v>
      </c>
      <c r="E1899" s="55">
        <v>5280</v>
      </c>
      <c r="F1899" s="55">
        <v>31</v>
      </c>
      <c r="G1899" s="55">
        <v>1</v>
      </c>
      <c r="H1899" s="55">
        <v>0</v>
      </c>
      <c r="I1899" s="55">
        <v>0</v>
      </c>
      <c r="J1899" s="55">
        <v>0</v>
      </c>
    </row>
    <row r="1900" spans="1:10" ht="15" x14ac:dyDescent="0.4">
      <c r="A1900" s="54">
        <v>46184</v>
      </c>
      <c r="B1900" s="55" t="s">
        <v>55</v>
      </c>
      <c r="C1900" s="55" t="s">
        <v>56</v>
      </c>
      <c r="D1900" s="57">
        <v>36701</v>
      </c>
      <c r="E1900" s="55">
        <v>26215</v>
      </c>
      <c r="F1900" s="55">
        <v>284</v>
      </c>
      <c r="G1900" s="55">
        <v>11</v>
      </c>
      <c r="H1900" s="55">
        <v>4</v>
      </c>
      <c r="I1900" s="55">
        <v>2</v>
      </c>
      <c r="J1900" s="55">
        <v>0</v>
      </c>
    </row>
    <row r="1901" spans="1:10" ht="15" x14ac:dyDescent="0.4">
      <c r="A1901" s="54">
        <v>46184</v>
      </c>
      <c r="B1901" s="55" t="s">
        <v>62</v>
      </c>
      <c r="C1901" s="55" t="s">
        <v>56</v>
      </c>
      <c r="D1901" s="57">
        <v>8619</v>
      </c>
      <c r="E1901" s="55">
        <v>6156</v>
      </c>
      <c r="F1901" s="55">
        <v>57</v>
      </c>
      <c r="G1901" s="55">
        <v>3</v>
      </c>
      <c r="H1901" s="55">
        <v>4</v>
      </c>
      <c r="I1901" s="55">
        <v>1</v>
      </c>
      <c r="J1901" s="55">
        <v>1</v>
      </c>
    </row>
    <row r="1902" spans="1:10" ht="15" x14ac:dyDescent="0.4">
      <c r="A1902" s="54">
        <v>46185</v>
      </c>
      <c r="B1902" s="55" t="s">
        <v>63</v>
      </c>
      <c r="C1902" s="55" t="s">
        <v>58</v>
      </c>
      <c r="D1902" s="57">
        <v>7080</v>
      </c>
      <c r="E1902" s="55">
        <v>1474</v>
      </c>
      <c r="F1902" s="55">
        <v>76</v>
      </c>
      <c r="G1902" s="55">
        <v>2</v>
      </c>
      <c r="H1902" s="55">
        <v>1</v>
      </c>
      <c r="I1902" s="55">
        <v>0</v>
      </c>
      <c r="J1902" s="55">
        <v>1</v>
      </c>
    </row>
    <row r="1903" spans="1:10" ht="15" x14ac:dyDescent="0.4">
      <c r="A1903" s="54">
        <v>46185</v>
      </c>
      <c r="B1903" s="55" t="s">
        <v>57</v>
      </c>
      <c r="C1903" s="55" t="s">
        <v>58</v>
      </c>
      <c r="D1903" s="57">
        <v>18983</v>
      </c>
      <c r="E1903" s="55">
        <v>3954</v>
      </c>
      <c r="F1903" s="55">
        <v>181</v>
      </c>
      <c r="G1903" s="55">
        <v>4</v>
      </c>
      <c r="H1903" s="55">
        <v>0</v>
      </c>
      <c r="I1903" s="55">
        <v>1</v>
      </c>
      <c r="J1903" s="55">
        <v>0</v>
      </c>
    </row>
    <row r="1904" spans="1:10" ht="15" x14ac:dyDescent="0.4">
      <c r="A1904" s="54">
        <v>46185</v>
      </c>
      <c r="B1904" s="55" t="s">
        <v>59</v>
      </c>
      <c r="C1904" s="55" t="s">
        <v>60</v>
      </c>
      <c r="D1904" s="57">
        <v>26786</v>
      </c>
      <c r="E1904" s="55">
        <v>5151</v>
      </c>
      <c r="F1904" s="55">
        <v>32</v>
      </c>
      <c r="G1904" s="55">
        <v>2</v>
      </c>
      <c r="H1904" s="55">
        <v>0</v>
      </c>
      <c r="I1904" s="55">
        <v>0</v>
      </c>
      <c r="J1904" s="55">
        <v>0</v>
      </c>
    </row>
    <row r="1905" spans="1:10" ht="15" x14ac:dyDescent="0.4">
      <c r="A1905" s="54">
        <v>46185</v>
      </c>
      <c r="B1905" s="55" t="s">
        <v>55</v>
      </c>
      <c r="C1905" s="55" t="s">
        <v>56</v>
      </c>
      <c r="D1905" s="57">
        <v>39793</v>
      </c>
      <c r="E1905" s="55">
        <v>28423</v>
      </c>
      <c r="F1905" s="55">
        <v>301</v>
      </c>
      <c r="G1905" s="55">
        <v>13</v>
      </c>
      <c r="H1905" s="55">
        <v>2</v>
      </c>
      <c r="I1905" s="55">
        <v>0</v>
      </c>
      <c r="J1905" s="55">
        <v>1</v>
      </c>
    </row>
    <row r="1906" spans="1:10" ht="15" x14ac:dyDescent="0.4">
      <c r="A1906" s="54">
        <v>46185</v>
      </c>
      <c r="B1906" s="55" t="s">
        <v>62</v>
      </c>
      <c r="C1906" s="55" t="s">
        <v>56</v>
      </c>
      <c r="D1906" s="57">
        <v>10094</v>
      </c>
      <c r="E1906" s="55">
        <v>7210</v>
      </c>
      <c r="F1906" s="55">
        <v>79</v>
      </c>
      <c r="G1906" s="55">
        <v>1</v>
      </c>
      <c r="H1906" s="55">
        <v>1</v>
      </c>
      <c r="I1906" s="55">
        <v>1</v>
      </c>
      <c r="J1906" s="55">
        <v>0</v>
      </c>
    </row>
    <row r="1907" spans="1:10" ht="15" x14ac:dyDescent="0.4">
      <c r="A1907" s="54">
        <v>46186</v>
      </c>
      <c r="B1907" s="55" t="s">
        <v>63</v>
      </c>
      <c r="C1907" s="55" t="s">
        <v>58</v>
      </c>
      <c r="D1907" s="57">
        <v>6487</v>
      </c>
      <c r="E1907" s="55">
        <v>1351</v>
      </c>
      <c r="F1907" s="55">
        <v>62</v>
      </c>
      <c r="G1907" s="55">
        <v>1</v>
      </c>
      <c r="H1907" s="55">
        <v>2</v>
      </c>
      <c r="I1907" s="55">
        <v>0</v>
      </c>
      <c r="J1907" s="55">
        <v>0</v>
      </c>
    </row>
    <row r="1908" spans="1:10" ht="15" x14ac:dyDescent="0.4">
      <c r="A1908" s="54">
        <v>46186</v>
      </c>
      <c r="B1908" s="55" t="s">
        <v>57</v>
      </c>
      <c r="C1908" s="55" t="s">
        <v>58</v>
      </c>
      <c r="D1908" s="57">
        <v>20331</v>
      </c>
      <c r="E1908" s="55">
        <v>4235</v>
      </c>
      <c r="F1908" s="55">
        <v>216</v>
      </c>
      <c r="G1908" s="55">
        <v>0</v>
      </c>
      <c r="H1908" s="55">
        <v>0</v>
      </c>
      <c r="I1908" s="55">
        <v>0</v>
      </c>
      <c r="J1908" s="55">
        <v>0</v>
      </c>
    </row>
    <row r="1909" spans="1:10" ht="15" x14ac:dyDescent="0.4">
      <c r="A1909" s="54">
        <v>46186</v>
      </c>
      <c r="B1909" s="55" t="s">
        <v>59</v>
      </c>
      <c r="C1909" s="55" t="s">
        <v>60</v>
      </c>
      <c r="D1909" s="57">
        <v>24471</v>
      </c>
      <c r="E1909" s="55">
        <v>4705</v>
      </c>
      <c r="F1909" s="55">
        <v>32</v>
      </c>
      <c r="G1909" s="55">
        <v>0</v>
      </c>
      <c r="H1909" s="55">
        <v>2</v>
      </c>
      <c r="I1909" s="55">
        <v>0</v>
      </c>
      <c r="J1909" s="55">
        <v>0</v>
      </c>
    </row>
    <row r="1910" spans="1:10" ht="15" x14ac:dyDescent="0.4">
      <c r="A1910" s="54">
        <v>46186</v>
      </c>
      <c r="B1910" s="55" t="s">
        <v>55</v>
      </c>
      <c r="C1910" s="55" t="s">
        <v>56</v>
      </c>
      <c r="D1910" s="57">
        <v>42322</v>
      </c>
      <c r="E1910" s="55">
        <v>30230</v>
      </c>
      <c r="F1910" s="55">
        <v>354</v>
      </c>
      <c r="G1910" s="55">
        <v>11</v>
      </c>
      <c r="H1910" s="55">
        <v>1</v>
      </c>
      <c r="I1910" s="55">
        <v>1</v>
      </c>
      <c r="J1910" s="55">
        <v>0</v>
      </c>
    </row>
    <row r="1911" spans="1:10" ht="15" x14ac:dyDescent="0.4">
      <c r="A1911" s="54">
        <v>46186</v>
      </c>
      <c r="B1911" s="55" t="s">
        <v>62</v>
      </c>
      <c r="C1911" s="55" t="s">
        <v>56</v>
      </c>
      <c r="D1911" s="57">
        <v>9234</v>
      </c>
      <c r="E1911" s="55">
        <v>6595</v>
      </c>
      <c r="F1911" s="55">
        <v>64</v>
      </c>
      <c r="G1911" s="55">
        <v>0</v>
      </c>
      <c r="H1911" s="55">
        <v>1</v>
      </c>
      <c r="I1911" s="55">
        <v>1</v>
      </c>
      <c r="J1911" s="55">
        <v>1</v>
      </c>
    </row>
    <row r="1912" spans="1:10" ht="15" x14ac:dyDescent="0.4">
      <c r="A1912" s="54">
        <v>46187</v>
      </c>
      <c r="B1912" s="55" t="s">
        <v>63</v>
      </c>
      <c r="C1912" s="55" t="s">
        <v>58</v>
      </c>
      <c r="D1912" s="57">
        <v>6890</v>
      </c>
      <c r="E1912" s="55">
        <v>1435</v>
      </c>
      <c r="F1912" s="55">
        <v>72</v>
      </c>
      <c r="G1912" s="55">
        <v>4</v>
      </c>
      <c r="H1912" s="55">
        <v>1</v>
      </c>
      <c r="I1912" s="55">
        <v>0</v>
      </c>
      <c r="J1912" s="55">
        <v>0</v>
      </c>
    </row>
    <row r="1913" spans="1:10" ht="15" x14ac:dyDescent="0.4">
      <c r="A1913" s="54">
        <v>46187</v>
      </c>
      <c r="B1913" s="55" t="s">
        <v>57</v>
      </c>
      <c r="C1913" s="55" t="s">
        <v>58</v>
      </c>
      <c r="D1913" s="57">
        <v>20510</v>
      </c>
      <c r="E1913" s="55">
        <v>4272</v>
      </c>
      <c r="F1913" s="55">
        <v>236</v>
      </c>
      <c r="G1913" s="55">
        <v>2</v>
      </c>
      <c r="H1913" s="55">
        <v>0</v>
      </c>
      <c r="I1913" s="55">
        <v>0</v>
      </c>
      <c r="J1913" s="55">
        <v>0</v>
      </c>
    </row>
    <row r="1914" spans="1:10" ht="15" x14ac:dyDescent="0.4">
      <c r="A1914" s="54">
        <v>46187</v>
      </c>
      <c r="B1914" s="55" t="s">
        <v>59</v>
      </c>
      <c r="C1914" s="55" t="s">
        <v>60</v>
      </c>
      <c r="D1914" s="57">
        <v>24650</v>
      </c>
      <c r="E1914" s="55">
        <v>4740</v>
      </c>
      <c r="F1914" s="55">
        <v>32</v>
      </c>
      <c r="G1914" s="55">
        <v>0</v>
      </c>
      <c r="H1914" s="55">
        <v>0</v>
      </c>
      <c r="I1914" s="55">
        <v>0</v>
      </c>
      <c r="J1914" s="55">
        <v>0</v>
      </c>
    </row>
    <row r="1915" spans="1:10" ht="15" x14ac:dyDescent="0.4">
      <c r="A1915" s="54">
        <v>46187</v>
      </c>
      <c r="B1915" s="55" t="s">
        <v>55</v>
      </c>
      <c r="C1915" s="55" t="s">
        <v>56</v>
      </c>
      <c r="D1915" s="57">
        <v>42210</v>
      </c>
      <c r="E1915" s="55">
        <v>30150</v>
      </c>
      <c r="F1915" s="55">
        <v>355</v>
      </c>
      <c r="G1915" s="55">
        <v>8</v>
      </c>
      <c r="H1915" s="55">
        <v>3</v>
      </c>
      <c r="I1915" s="55">
        <v>2</v>
      </c>
      <c r="J1915" s="55">
        <v>0</v>
      </c>
    </row>
    <row r="1916" spans="1:10" ht="15" x14ac:dyDescent="0.4">
      <c r="A1916" s="54">
        <v>46187</v>
      </c>
      <c r="B1916" s="55" t="s">
        <v>62</v>
      </c>
      <c r="C1916" s="55" t="s">
        <v>56</v>
      </c>
      <c r="D1916" s="57">
        <v>9077</v>
      </c>
      <c r="E1916" s="55">
        <v>6483</v>
      </c>
      <c r="F1916" s="55">
        <v>79</v>
      </c>
      <c r="G1916" s="55">
        <v>3</v>
      </c>
      <c r="H1916" s="55">
        <v>0</v>
      </c>
      <c r="I1916" s="55">
        <v>0</v>
      </c>
      <c r="J1916" s="55">
        <v>0</v>
      </c>
    </row>
    <row r="1917" spans="1:10" ht="15" x14ac:dyDescent="0.4">
      <c r="A1917" s="54">
        <v>46188</v>
      </c>
      <c r="B1917" s="55" t="s">
        <v>63</v>
      </c>
      <c r="C1917" s="55" t="s">
        <v>58</v>
      </c>
      <c r="D1917" s="57">
        <v>6257</v>
      </c>
      <c r="E1917" s="55">
        <v>1303</v>
      </c>
      <c r="F1917" s="55">
        <v>67</v>
      </c>
      <c r="G1917" s="55">
        <v>0</v>
      </c>
      <c r="H1917" s="55">
        <v>1</v>
      </c>
      <c r="I1917" s="55">
        <v>0</v>
      </c>
      <c r="J1917" s="55">
        <v>0</v>
      </c>
    </row>
    <row r="1918" spans="1:10" ht="15" x14ac:dyDescent="0.4">
      <c r="A1918" s="54">
        <v>46188</v>
      </c>
      <c r="B1918" s="55" t="s">
        <v>57</v>
      </c>
      <c r="C1918" s="55" t="s">
        <v>58</v>
      </c>
      <c r="D1918" s="57">
        <v>20392</v>
      </c>
      <c r="E1918" s="55">
        <v>4248</v>
      </c>
      <c r="F1918" s="55">
        <v>222</v>
      </c>
      <c r="G1918" s="55">
        <v>7</v>
      </c>
      <c r="H1918" s="55">
        <v>0</v>
      </c>
      <c r="I1918" s="55">
        <v>0</v>
      </c>
      <c r="J1918" s="55">
        <v>0</v>
      </c>
    </row>
    <row r="1919" spans="1:10" ht="15" x14ac:dyDescent="0.4">
      <c r="A1919" s="54">
        <v>46188</v>
      </c>
      <c r="B1919" s="55" t="s">
        <v>59</v>
      </c>
      <c r="C1919" s="55" t="s">
        <v>60</v>
      </c>
      <c r="D1919" s="57">
        <v>26165</v>
      </c>
      <c r="E1919" s="55">
        <v>5031</v>
      </c>
      <c r="F1919" s="55">
        <v>28</v>
      </c>
      <c r="G1919" s="55">
        <v>4</v>
      </c>
      <c r="H1919" s="55">
        <v>0</v>
      </c>
      <c r="I1919" s="55">
        <v>1</v>
      </c>
      <c r="J1919" s="55">
        <v>0</v>
      </c>
    </row>
    <row r="1920" spans="1:10" ht="15" x14ac:dyDescent="0.4">
      <c r="A1920" s="54">
        <v>46188</v>
      </c>
      <c r="B1920" s="55" t="s">
        <v>55</v>
      </c>
      <c r="C1920" s="55" t="s">
        <v>56</v>
      </c>
      <c r="D1920" s="57">
        <v>37967</v>
      </c>
      <c r="E1920" s="55">
        <v>27119</v>
      </c>
      <c r="F1920" s="55">
        <v>319</v>
      </c>
      <c r="G1920" s="55">
        <v>19</v>
      </c>
      <c r="H1920" s="55">
        <v>2</v>
      </c>
      <c r="I1920" s="55">
        <v>1</v>
      </c>
      <c r="J1920" s="55">
        <v>0</v>
      </c>
    </row>
    <row r="1921" spans="1:10" ht="15" x14ac:dyDescent="0.4">
      <c r="A1921" s="54">
        <v>46188</v>
      </c>
      <c r="B1921" s="55" t="s">
        <v>62</v>
      </c>
      <c r="C1921" s="55" t="s">
        <v>56</v>
      </c>
      <c r="D1921" s="57">
        <v>8565</v>
      </c>
      <c r="E1921" s="55">
        <v>6117</v>
      </c>
      <c r="F1921" s="55">
        <v>63</v>
      </c>
      <c r="G1921" s="55">
        <v>2</v>
      </c>
      <c r="H1921" s="55">
        <v>1</v>
      </c>
      <c r="I1921" s="55">
        <v>0</v>
      </c>
      <c r="J1921" s="55">
        <v>0</v>
      </c>
    </row>
    <row r="1922" spans="1:10" ht="15" x14ac:dyDescent="0.4">
      <c r="A1922" s="54">
        <v>46189</v>
      </c>
      <c r="B1922" s="55" t="s">
        <v>63</v>
      </c>
      <c r="C1922" s="55" t="s">
        <v>58</v>
      </c>
      <c r="D1922" s="57">
        <v>6950</v>
      </c>
      <c r="E1922" s="55">
        <v>1447</v>
      </c>
      <c r="F1922" s="55">
        <v>68</v>
      </c>
      <c r="G1922" s="55">
        <v>2</v>
      </c>
      <c r="H1922" s="55">
        <v>0</v>
      </c>
      <c r="I1922" s="55">
        <v>0</v>
      </c>
      <c r="J1922" s="55">
        <v>0</v>
      </c>
    </row>
    <row r="1923" spans="1:10" ht="15" x14ac:dyDescent="0.4">
      <c r="A1923" s="54">
        <v>46189</v>
      </c>
      <c r="B1923" s="55" t="s">
        <v>57</v>
      </c>
      <c r="C1923" s="55" t="s">
        <v>58</v>
      </c>
      <c r="D1923" s="57">
        <v>18957</v>
      </c>
      <c r="E1923" s="55">
        <v>3949</v>
      </c>
      <c r="F1923" s="55">
        <v>217</v>
      </c>
      <c r="G1923" s="55">
        <v>5</v>
      </c>
      <c r="H1923" s="55">
        <v>0</v>
      </c>
      <c r="I1923" s="55">
        <v>1</v>
      </c>
      <c r="J1923" s="55">
        <v>0</v>
      </c>
    </row>
    <row r="1924" spans="1:10" ht="15" x14ac:dyDescent="0.4">
      <c r="A1924" s="54">
        <v>46189</v>
      </c>
      <c r="B1924" s="55" t="s">
        <v>59</v>
      </c>
      <c r="C1924" s="55" t="s">
        <v>60</v>
      </c>
      <c r="D1924" s="57">
        <v>24974</v>
      </c>
      <c r="E1924" s="55">
        <v>4802</v>
      </c>
      <c r="F1924" s="55">
        <v>28</v>
      </c>
      <c r="G1924" s="55">
        <v>3</v>
      </c>
      <c r="H1924" s="55">
        <v>1</v>
      </c>
      <c r="I1924" s="55">
        <v>0</v>
      </c>
      <c r="J1924" s="55">
        <v>0</v>
      </c>
    </row>
    <row r="1925" spans="1:10" ht="15" x14ac:dyDescent="0.4">
      <c r="A1925" s="54">
        <v>46189</v>
      </c>
      <c r="B1925" s="55" t="s">
        <v>55</v>
      </c>
      <c r="C1925" s="55" t="s">
        <v>56</v>
      </c>
      <c r="D1925" s="57">
        <v>40293</v>
      </c>
      <c r="E1925" s="55">
        <v>28780</v>
      </c>
      <c r="F1925" s="55">
        <v>356</v>
      </c>
      <c r="G1925" s="55">
        <v>12</v>
      </c>
      <c r="H1925" s="55">
        <v>3</v>
      </c>
      <c r="I1925" s="55">
        <v>0</v>
      </c>
      <c r="J1925" s="55">
        <v>0</v>
      </c>
    </row>
    <row r="1926" spans="1:10" ht="15" x14ac:dyDescent="0.4">
      <c r="A1926" s="54">
        <v>46189</v>
      </c>
      <c r="B1926" s="55" t="s">
        <v>62</v>
      </c>
      <c r="C1926" s="55" t="s">
        <v>56</v>
      </c>
      <c r="D1926" s="57">
        <v>9344</v>
      </c>
      <c r="E1926" s="55">
        <v>6674</v>
      </c>
      <c r="F1926" s="55">
        <v>81</v>
      </c>
      <c r="G1926" s="55">
        <v>4</v>
      </c>
      <c r="H1926" s="55">
        <v>0</v>
      </c>
      <c r="I1926" s="55">
        <v>2</v>
      </c>
      <c r="J1926" s="55">
        <v>0</v>
      </c>
    </row>
    <row r="1927" spans="1:10" ht="15" x14ac:dyDescent="0.4">
      <c r="A1927" s="54">
        <v>46190</v>
      </c>
      <c r="B1927" s="55" t="s">
        <v>63</v>
      </c>
      <c r="C1927" s="55" t="s">
        <v>58</v>
      </c>
      <c r="D1927" s="57">
        <v>6725</v>
      </c>
      <c r="E1927" s="55">
        <v>1401</v>
      </c>
      <c r="F1927" s="55">
        <v>65</v>
      </c>
      <c r="G1927" s="55">
        <v>4</v>
      </c>
      <c r="H1927" s="55">
        <v>2</v>
      </c>
      <c r="I1927" s="55">
        <v>0</v>
      </c>
      <c r="J1927" s="55">
        <v>1</v>
      </c>
    </row>
    <row r="1928" spans="1:10" ht="15" x14ac:dyDescent="0.4">
      <c r="A1928" s="54">
        <v>46190</v>
      </c>
      <c r="B1928" s="55" t="s">
        <v>57</v>
      </c>
      <c r="C1928" s="55" t="s">
        <v>58</v>
      </c>
      <c r="D1928" s="57">
        <v>20195</v>
      </c>
      <c r="E1928" s="55">
        <v>4207</v>
      </c>
      <c r="F1928" s="55">
        <v>238</v>
      </c>
      <c r="G1928" s="55">
        <v>1</v>
      </c>
      <c r="H1928" s="55">
        <v>2</v>
      </c>
      <c r="I1928" s="55">
        <v>0</v>
      </c>
      <c r="J1928" s="55">
        <v>0</v>
      </c>
    </row>
    <row r="1929" spans="1:10" ht="15" x14ac:dyDescent="0.4">
      <c r="A1929" s="54">
        <v>46190</v>
      </c>
      <c r="B1929" s="55" t="s">
        <v>59</v>
      </c>
      <c r="C1929" s="55" t="s">
        <v>60</v>
      </c>
      <c r="D1929" s="57">
        <v>26154</v>
      </c>
      <c r="E1929" s="55">
        <v>5029</v>
      </c>
      <c r="F1929" s="55">
        <v>29</v>
      </c>
      <c r="G1929" s="55">
        <v>3</v>
      </c>
      <c r="H1929" s="55">
        <v>1</v>
      </c>
      <c r="I1929" s="55">
        <v>0</v>
      </c>
      <c r="J1929" s="55">
        <v>0</v>
      </c>
    </row>
    <row r="1930" spans="1:10" ht="15" x14ac:dyDescent="0.4">
      <c r="A1930" s="54">
        <v>46190</v>
      </c>
      <c r="B1930" s="55" t="s">
        <v>55</v>
      </c>
      <c r="C1930" s="55" t="s">
        <v>56</v>
      </c>
      <c r="D1930" s="57">
        <v>35309</v>
      </c>
      <c r="E1930" s="55">
        <v>25220</v>
      </c>
      <c r="F1930" s="55">
        <v>240</v>
      </c>
      <c r="G1930" s="55">
        <v>8</v>
      </c>
      <c r="H1930" s="55">
        <v>5</v>
      </c>
      <c r="I1930" s="55">
        <v>1</v>
      </c>
      <c r="J1930" s="55">
        <v>0</v>
      </c>
    </row>
    <row r="1931" spans="1:10" ht="15" x14ac:dyDescent="0.4">
      <c r="A1931" s="54">
        <v>46190</v>
      </c>
      <c r="B1931" s="55" t="s">
        <v>62</v>
      </c>
      <c r="C1931" s="55" t="s">
        <v>56</v>
      </c>
      <c r="D1931" s="57">
        <v>10223</v>
      </c>
      <c r="E1931" s="55">
        <v>7302</v>
      </c>
      <c r="F1931" s="55">
        <v>78</v>
      </c>
      <c r="G1931" s="55">
        <v>7</v>
      </c>
      <c r="H1931" s="55">
        <v>0</v>
      </c>
      <c r="I1931" s="55">
        <v>0</v>
      </c>
      <c r="J1931" s="55">
        <v>0</v>
      </c>
    </row>
    <row r="1932" spans="1:10" ht="15" x14ac:dyDescent="0.4">
      <c r="A1932" s="54">
        <v>46191</v>
      </c>
      <c r="B1932" s="55" t="s">
        <v>63</v>
      </c>
      <c r="C1932" s="55" t="s">
        <v>58</v>
      </c>
      <c r="D1932" s="57">
        <v>7046</v>
      </c>
      <c r="E1932" s="55">
        <v>1467</v>
      </c>
      <c r="F1932" s="55">
        <v>81</v>
      </c>
      <c r="G1932" s="55">
        <v>4</v>
      </c>
      <c r="H1932" s="55">
        <v>2</v>
      </c>
      <c r="I1932" s="55">
        <v>0</v>
      </c>
      <c r="J1932" s="55">
        <v>0</v>
      </c>
    </row>
    <row r="1933" spans="1:10" ht="15" x14ac:dyDescent="0.4">
      <c r="A1933" s="54">
        <v>46191</v>
      </c>
      <c r="B1933" s="55" t="s">
        <v>57</v>
      </c>
      <c r="C1933" s="55" t="s">
        <v>58</v>
      </c>
      <c r="D1933" s="57">
        <v>17252</v>
      </c>
      <c r="E1933" s="55">
        <v>3594</v>
      </c>
      <c r="F1933" s="55">
        <v>204</v>
      </c>
      <c r="G1933" s="55">
        <v>2</v>
      </c>
      <c r="H1933" s="55">
        <v>4</v>
      </c>
      <c r="I1933" s="55">
        <v>0</v>
      </c>
      <c r="J1933" s="55">
        <v>0</v>
      </c>
    </row>
    <row r="1934" spans="1:10" ht="15" x14ac:dyDescent="0.4">
      <c r="A1934" s="54">
        <v>46191</v>
      </c>
      <c r="B1934" s="55" t="s">
        <v>59</v>
      </c>
      <c r="C1934" s="55" t="s">
        <v>60</v>
      </c>
      <c r="D1934" s="57">
        <v>26490</v>
      </c>
      <c r="E1934" s="55">
        <v>5094</v>
      </c>
      <c r="F1934" s="55">
        <v>33</v>
      </c>
      <c r="G1934" s="55">
        <v>1</v>
      </c>
      <c r="H1934" s="55">
        <v>2</v>
      </c>
      <c r="I1934" s="55">
        <v>0</v>
      </c>
      <c r="J1934" s="55">
        <v>0</v>
      </c>
    </row>
    <row r="1935" spans="1:10" ht="15" x14ac:dyDescent="0.4">
      <c r="A1935" s="54">
        <v>46191</v>
      </c>
      <c r="B1935" s="55" t="s">
        <v>55</v>
      </c>
      <c r="C1935" s="55" t="s">
        <v>56</v>
      </c>
      <c r="D1935" s="57">
        <v>35414</v>
      </c>
      <c r="E1935" s="55">
        <v>25295</v>
      </c>
      <c r="F1935" s="55">
        <v>244</v>
      </c>
      <c r="G1935" s="55">
        <v>8</v>
      </c>
      <c r="H1935" s="55">
        <v>4</v>
      </c>
      <c r="I1935" s="55">
        <v>2</v>
      </c>
      <c r="J1935" s="55">
        <v>0</v>
      </c>
    </row>
    <row r="1936" spans="1:10" ht="15" x14ac:dyDescent="0.4">
      <c r="A1936" s="54">
        <v>46191</v>
      </c>
      <c r="B1936" s="55" t="s">
        <v>62</v>
      </c>
      <c r="C1936" s="55" t="s">
        <v>56</v>
      </c>
      <c r="D1936" s="57">
        <v>9639</v>
      </c>
      <c r="E1936" s="55">
        <v>6885</v>
      </c>
      <c r="F1936" s="55">
        <v>81</v>
      </c>
      <c r="G1936" s="55">
        <v>2</v>
      </c>
      <c r="H1936" s="55">
        <v>4</v>
      </c>
      <c r="I1936" s="55">
        <v>1</v>
      </c>
      <c r="J1936" s="55">
        <v>1</v>
      </c>
    </row>
    <row r="1937" spans="1:10" ht="15" x14ac:dyDescent="0.4">
      <c r="A1937" s="54">
        <v>46192</v>
      </c>
      <c r="B1937" s="55" t="s">
        <v>63</v>
      </c>
      <c r="C1937" s="55" t="s">
        <v>58</v>
      </c>
      <c r="D1937" s="57">
        <v>6645</v>
      </c>
      <c r="E1937" s="55">
        <v>1384</v>
      </c>
      <c r="F1937" s="55">
        <v>62</v>
      </c>
      <c r="G1937" s="55">
        <v>5</v>
      </c>
      <c r="H1937" s="55">
        <v>1</v>
      </c>
      <c r="I1937" s="55">
        <v>2</v>
      </c>
      <c r="J1937" s="55">
        <v>0</v>
      </c>
    </row>
    <row r="1938" spans="1:10" ht="15" x14ac:dyDescent="0.4">
      <c r="A1938" s="54">
        <v>46192</v>
      </c>
      <c r="B1938" s="55" t="s">
        <v>57</v>
      </c>
      <c r="C1938" s="55" t="s">
        <v>58</v>
      </c>
      <c r="D1938" s="57">
        <v>17365</v>
      </c>
      <c r="E1938" s="55">
        <v>3617</v>
      </c>
      <c r="F1938" s="55">
        <v>194</v>
      </c>
      <c r="G1938" s="55">
        <v>3</v>
      </c>
      <c r="H1938" s="55">
        <v>0</v>
      </c>
      <c r="I1938" s="55">
        <v>0</v>
      </c>
      <c r="J1938" s="55">
        <v>0</v>
      </c>
    </row>
    <row r="1939" spans="1:10" ht="15" x14ac:dyDescent="0.4">
      <c r="A1939" s="54">
        <v>46192</v>
      </c>
      <c r="B1939" s="55" t="s">
        <v>59</v>
      </c>
      <c r="C1939" s="55" t="s">
        <v>60</v>
      </c>
      <c r="D1939" s="57">
        <v>27491</v>
      </c>
      <c r="E1939" s="55">
        <v>5286</v>
      </c>
      <c r="F1939" s="55">
        <v>33</v>
      </c>
      <c r="G1939" s="55">
        <v>1</v>
      </c>
      <c r="H1939" s="55">
        <v>2</v>
      </c>
      <c r="I1939" s="55">
        <v>2</v>
      </c>
      <c r="J1939" s="55">
        <v>1</v>
      </c>
    </row>
    <row r="1940" spans="1:10" ht="15" x14ac:dyDescent="0.4">
      <c r="A1940" s="54">
        <v>46192</v>
      </c>
      <c r="B1940" s="55" t="s">
        <v>55</v>
      </c>
      <c r="C1940" s="55" t="s">
        <v>56</v>
      </c>
      <c r="D1940" s="57">
        <v>39232</v>
      </c>
      <c r="E1940" s="55">
        <v>28022</v>
      </c>
      <c r="F1940" s="55">
        <v>283</v>
      </c>
      <c r="G1940" s="55">
        <v>10</v>
      </c>
      <c r="H1940" s="55">
        <v>1</v>
      </c>
      <c r="I1940" s="55">
        <v>0</v>
      </c>
      <c r="J1940" s="55">
        <v>0</v>
      </c>
    </row>
    <row r="1941" spans="1:10" ht="15" x14ac:dyDescent="0.4">
      <c r="A1941" s="54">
        <v>46192</v>
      </c>
      <c r="B1941" s="55" t="s">
        <v>62</v>
      </c>
      <c r="C1941" s="55" t="s">
        <v>56</v>
      </c>
      <c r="D1941" s="57">
        <v>8896</v>
      </c>
      <c r="E1941" s="55">
        <v>6354</v>
      </c>
      <c r="F1941" s="55">
        <v>61</v>
      </c>
      <c r="G1941" s="55">
        <v>5</v>
      </c>
      <c r="H1941" s="55">
        <v>0</v>
      </c>
      <c r="I1941" s="55">
        <v>0</v>
      </c>
      <c r="J1941" s="55">
        <v>0</v>
      </c>
    </row>
    <row r="1942" spans="1:10" ht="15" x14ac:dyDescent="0.4">
      <c r="A1942" s="54">
        <v>46193</v>
      </c>
      <c r="B1942" s="55" t="s">
        <v>63</v>
      </c>
      <c r="C1942" s="55" t="s">
        <v>58</v>
      </c>
      <c r="D1942" s="57">
        <v>6494</v>
      </c>
      <c r="E1942" s="55">
        <v>1352</v>
      </c>
      <c r="F1942" s="55">
        <v>72</v>
      </c>
      <c r="G1942" s="55">
        <v>2</v>
      </c>
      <c r="H1942" s="55">
        <v>1</v>
      </c>
      <c r="I1942" s="55">
        <v>0</v>
      </c>
      <c r="J1942" s="55">
        <v>0</v>
      </c>
    </row>
    <row r="1943" spans="1:10" ht="15" x14ac:dyDescent="0.4">
      <c r="A1943" s="54">
        <v>46193</v>
      </c>
      <c r="B1943" s="55" t="s">
        <v>57</v>
      </c>
      <c r="C1943" s="55" t="s">
        <v>58</v>
      </c>
      <c r="D1943" s="57">
        <v>19663</v>
      </c>
      <c r="E1943" s="55">
        <v>4096</v>
      </c>
      <c r="F1943" s="55">
        <v>204</v>
      </c>
      <c r="G1943" s="55">
        <v>4</v>
      </c>
      <c r="H1943" s="55">
        <v>3</v>
      </c>
      <c r="I1943" s="55">
        <v>0</v>
      </c>
      <c r="J1943" s="55">
        <v>0</v>
      </c>
    </row>
    <row r="1944" spans="1:10" ht="15" x14ac:dyDescent="0.4">
      <c r="A1944" s="54">
        <v>46193</v>
      </c>
      <c r="B1944" s="55" t="s">
        <v>59</v>
      </c>
      <c r="C1944" s="55" t="s">
        <v>60</v>
      </c>
      <c r="D1944" s="57">
        <v>27103</v>
      </c>
      <c r="E1944" s="55">
        <v>5212</v>
      </c>
      <c r="F1944" s="55">
        <v>29</v>
      </c>
      <c r="G1944" s="55">
        <v>1</v>
      </c>
      <c r="H1944" s="55">
        <v>1</v>
      </c>
      <c r="I1944" s="55">
        <v>1</v>
      </c>
      <c r="J1944" s="55">
        <v>0</v>
      </c>
    </row>
    <row r="1945" spans="1:10" ht="15" x14ac:dyDescent="0.4">
      <c r="A1945" s="54">
        <v>46193</v>
      </c>
      <c r="B1945" s="55" t="s">
        <v>55</v>
      </c>
      <c r="C1945" s="55" t="s">
        <v>56</v>
      </c>
      <c r="D1945" s="57">
        <v>42380</v>
      </c>
      <c r="E1945" s="55">
        <v>30271</v>
      </c>
      <c r="F1945" s="55">
        <v>321</v>
      </c>
      <c r="G1945" s="55">
        <v>8</v>
      </c>
      <c r="H1945" s="55">
        <v>3</v>
      </c>
      <c r="I1945" s="55">
        <v>2</v>
      </c>
      <c r="J1945" s="55">
        <v>0</v>
      </c>
    </row>
    <row r="1946" spans="1:10" ht="15" x14ac:dyDescent="0.4">
      <c r="A1946" s="54">
        <v>46193</v>
      </c>
      <c r="B1946" s="55" t="s">
        <v>62</v>
      </c>
      <c r="C1946" s="55" t="s">
        <v>56</v>
      </c>
      <c r="D1946" s="57">
        <v>9469</v>
      </c>
      <c r="E1946" s="55">
        <v>6763</v>
      </c>
      <c r="F1946" s="55">
        <v>64</v>
      </c>
      <c r="G1946" s="55">
        <v>1</v>
      </c>
      <c r="H1946" s="55">
        <v>1</v>
      </c>
      <c r="I1946" s="55">
        <v>0</v>
      </c>
      <c r="J1946" s="55">
        <v>0</v>
      </c>
    </row>
    <row r="1947" spans="1:10" ht="15" x14ac:dyDescent="0.4">
      <c r="A1947" s="54">
        <v>46194</v>
      </c>
      <c r="B1947" s="55" t="s">
        <v>63</v>
      </c>
      <c r="C1947" s="55" t="s">
        <v>58</v>
      </c>
      <c r="D1947" s="57">
        <v>6408</v>
      </c>
      <c r="E1947" s="55">
        <v>1335</v>
      </c>
      <c r="F1947" s="55">
        <v>61</v>
      </c>
      <c r="G1947" s="55">
        <v>3</v>
      </c>
      <c r="H1947" s="55">
        <v>1</v>
      </c>
      <c r="I1947" s="55">
        <v>0</v>
      </c>
      <c r="J1947" s="55">
        <v>0</v>
      </c>
    </row>
    <row r="1948" spans="1:10" ht="15" x14ac:dyDescent="0.4">
      <c r="A1948" s="54">
        <v>46194</v>
      </c>
      <c r="B1948" s="55" t="s">
        <v>57</v>
      </c>
      <c r="C1948" s="55" t="s">
        <v>58</v>
      </c>
      <c r="D1948" s="57">
        <v>19517</v>
      </c>
      <c r="E1948" s="55">
        <v>4066</v>
      </c>
      <c r="F1948" s="55">
        <v>189</v>
      </c>
      <c r="G1948" s="55">
        <v>3</v>
      </c>
      <c r="H1948" s="55">
        <v>1</v>
      </c>
      <c r="I1948" s="55">
        <v>1</v>
      </c>
      <c r="J1948" s="55">
        <v>0</v>
      </c>
    </row>
    <row r="1949" spans="1:10" ht="15" x14ac:dyDescent="0.4">
      <c r="A1949" s="54">
        <v>46194</v>
      </c>
      <c r="B1949" s="55" t="s">
        <v>59</v>
      </c>
      <c r="C1949" s="55" t="s">
        <v>60</v>
      </c>
      <c r="D1949" s="57">
        <v>26249</v>
      </c>
      <c r="E1949" s="55">
        <v>5047</v>
      </c>
      <c r="F1949" s="55">
        <v>31</v>
      </c>
      <c r="G1949" s="55">
        <v>2</v>
      </c>
      <c r="H1949" s="55">
        <v>0</v>
      </c>
      <c r="I1949" s="55">
        <v>0</v>
      </c>
      <c r="J1949" s="55">
        <v>0</v>
      </c>
    </row>
    <row r="1950" spans="1:10" ht="15" x14ac:dyDescent="0.4">
      <c r="A1950" s="54">
        <v>46194</v>
      </c>
      <c r="B1950" s="55" t="s">
        <v>55</v>
      </c>
      <c r="C1950" s="55" t="s">
        <v>56</v>
      </c>
      <c r="D1950" s="57">
        <v>39554</v>
      </c>
      <c r="E1950" s="55">
        <v>28252</v>
      </c>
      <c r="F1950" s="55">
        <v>357</v>
      </c>
      <c r="G1950" s="55">
        <v>8</v>
      </c>
      <c r="H1950" s="55">
        <v>1</v>
      </c>
      <c r="I1950" s="55">
        <v>0</v>
      </c>
      <c r="J1950" s="55">
        <v>0</v>
      </c>
    </row>
    <row r="1951" spans="1:10" ht="15" x14ac:dyDescent="0.4">
      <c r="A1951" s="54">
        <v>46194</v>
      </c>
      <c r="B1951" s="55" t="s">
        <v>62</v>
      </c>
      <c r="C1951" s="55" t="s">
        <v>56</v>
      </c>
      <c r="D1951" s="57">
        <v>10041</v>
      </c>
      <c r="E1951" s="55">
        <v>7172</v>
      </c>
      <c r="F1951" s="55">
        <v>87</v>
      </c>
      <c r="G1951" s="55">
        <v>0</v>
      </c>
      <c r="H1951" s="55">
        <v>2</v>
      </c>
      <c r="I1951" s="55">
        <v>0</v>
      </c>
      <c r="J1951" s="55">
        <v>0</v>
      </c>
    </row>
    <row r="1952" spans="1:10" ht="15" x14ac:dyDescent="0.4">
      <c r="A1952" s="54">
        <v>46195</v>
      </c>
      <c r="B1952" s="55" t="s">
        <v>63</v>
      </c>
      <c r="C1952" s="55" t="s">
        <v>58</v>
      </c>
      <c r="D1952" s="57">
        <v>7460</v>
      </c>
      <c r="E1952" s="55">
        <v>1554</v>
      </c>
      <c r="F1952" s="55">
        <v>92</v>
      </c>
      <c r="G1952" s="55">
        <v>4</v>
      </c>
      <c r="H1952" s="55">
        <v>1</v>
      </c>
      <c r="I1952" s="55">
        <v>0</v>
      </c>
      <c r="J1952" s="55">
        <v>0</v>
      </c>
    </row>
    <row r="1953" spans="1:10" ht="15" x14ac:dyDescent="0.4">
      <c r="A1953" s="54">
        <v>46195</v>
      </c>
      <c r="B1953" s="55" t="s">
        <v>57</v>
      </c>
      <c r="C1953" s="55" t="s">
        <v>58</v>
      </c>
      <c r="D1953" s="57">
        <v>18915</v>
      </c>
      <c r="E1953" s="55">
        <v>3940</v>
      </c>
      <c r="F1953" s="55">
        <v>212</v>
      </c>
      <c r="G1953" s="55">
        <v>3</v>
      </c>
      <c r="H1953" s="55">
        <v>0</v>
      </c>
      <c r="I1953" s="55">
        <v>0</v>
      </c>
      <c r="J1953" s="55">
        <v>0</v>
      </c>
    </row>
    <row r="1954" spans="1:10" ht="15" x14ac:dyDescent="0.4">
      <c r="A1954" s="54">
        <v>46195</v>
      </c>
      <c r="B1954" s="55" t="s">
        <v>59</v>
      </c>
      <c r="C1954" s="55" t="s">
        <v>60</v>
      </c>
      <c r="D1954" s="57">
        <v>26782</v>
      </c>
      <c r="E1954" s="55">
        <v>5150</v>
      </c>
      <c r="F1954" s="55">
        <v>38</v>
      </c>
      <c r="G1954" s="55">
        <v>2</v>
      </c>
      <c r="H1954" s="55">
        <v>1</v>
      </c>
      <c r="I1954" s="55">
        <v>1</v>
      </c>
      <c r="J1954" s="55">
        <v>0</v>
      </c>
    </row>
    <row r="1955" spans="1:10" ht="15" x14ac:dyDescent="0.4">
      <c r="A1955" s="54">
        <v>46195</v>
      </c>
      <c r="B1955" s="55" t="s">
        <v>55</v>
      </c>
      <c r="C1955" s="55" t="s">
        <v>56</v>
      </c>
      <c r="D1955" s="57">
        <v>36434</v>
      </c>
      <c r="E1955" s="55">
        <v>26024</v>
      </c>
      <c r="F1955" s="55">
        <v>279</v>
      </c>
      <c r="G1955" s="55">
        <v>7</v>
      </c>
      <c r="H1955" s="55">
        <v>2</v>
      </c>
      <c r="I1955" s="55">
        <v>3</v>
      </c>
      <c r="J1955" s="55">
        <v>0</v>
      </c>
    </row>
    <row r="1956" spans="1:10" ht="15" x14ac:dyDescent="0.4">
      <c r="A1956" s="54">
        <v>46195</v>
      </c>
      <c r="B1956" s="55" t="s">
        <v>62</v>
      </c>
      <c r="C1956" s="55" t="s">
        <v>56</v>
      </c>
      <c r="D1956" s="57">
        <v>8384</v>
      </c>
      <c r="E1956" s="55">
        <v>5988</v>
      </c>
      <c r="F1956" s="55">
        <v>65</v>
      </c>
      <c r="G1956" s="55">
        <v>4</v>
      </c>
      <c r="H1956" s="55">
        <v>0</v>
      </c>
      <c r="I1956" s="55">
        <v>0</v>
      </c>
      <c r="J1956" s="55">
        <v>0</v>
      </c>
    </row>
    <row r="1957" spans="1:10" ht="15" x14ac:dyDescent="0.4">
      <c r="A1957" s="54">
        <v>46196</v>
      </c>
      <c r="B1957" s="55" t="s">
        <v>63</v>
      </c>
      <c r="C1957" s="55" t="s">
        <v>58</v>
      </c>
      <c r="D1957" s="57">
        <v>6499</v>
      </c>
      <c r="E1957" s="55">
        <v>1353</v>
      </c>
      <c r="F1957" s="55">
        <v>80</v>
      </c>
      <c r="G1957" s="55">
        <v>7</v>
      </c>
      <c r="H1957" s="55">
        <v>2</v>
      </c>
      <c r="I1957" s="55">
        <v>0</v>
      </c>
      <c r="J1957" s="55">
        <v>0</v>
      </c>
    </row>
    <row r="1958" spans="1:10" ht="15" x14ac:dyDescent="0.4">
      <c r="A1958" s="54">
        <v>46196</v>
      </c>
      <c r="B1958" s="55" t="s">
        <v>57</v>
      </c>
      <c r="C1958" s="55" t="s">
        <v>58</v>
      </c>
      <c r="D1958" s="57">
        <v>19215</v>
      </c>
      <c r="E1958" s="55">
        <v>4003</v>
      </c>
      <c r="F1958" s="55">
        <v>212</v>
      </c>
      <c r="G1958" s="55">
        <v>3</v>
      </c>
      <c r="H1958" s="55">
        <v>2</v>
      </c>
      <c r="I1958" s="55">
        <v>0</v>
      </c>
      <c r="J1958" s="55">
        <v>0</v>
      </c>
    </row>
    <row r="1959" spans="1:10" ht="15" x14ac:dyDescent="0.4">
      <c r="A1959" s="54">
        <v>46196</v>
      </c>
      <c r="B1959" s="55" t="s">
        <v>59</v>
      </c>
      <c r="C1959" s="55" t="s">
        <v>60</v>
      </c>
      <c r="D1959" s="57">
        <v>27171</v>
      </c>
      <c r="E1959" s="55">
        <v>5225</v>
      </c>
      <c r="F1959" s="55">
        <v>30</v>
      </c>
      <c r="G1959" s="55">
        <v>2</v>
      </c>
      <c r="H1959" s="55">
        <v>0</v>
      </c>
      <c r="I1959" s="55">
        <v>0</v>
      </c>
      <c r="J1959" s="55">
        <v>0</v>
      </c>
    </row>
    <row r="1960" spans="1:10" ht="15" x14ac:dyDescent="0.4">
      <c r="A1960" s="54">
        <v>46196</v>
      </c>
      <c r="B1960" s="55" t="s">
        <v>55</v>
      </c>
      <c r="C1960" s="55" t="s">
        <v>56</v>
      </c>
      <c r="D1960" s="57">
        <v>41023</v>
      </c>
      <c r="E1960" s="55">
        <v>29302</v>
      </c>
      <c r="F1960" s="55">
        <v>288</v>
      </c>
      <c r="G1960" s="55">
        <v>7</v>
      </c>
      <c r="H1960" s="55">
        <v>2</v>
      </c>
      <c r="I1960" s="55">
        <v>2</v>
      </c>
      <c r="J1960" s="55">
        <v>0</v>
      </c>
    </row>
    <row r="1961" spans="1:10" ht="15" x14ac:dyDescent="0.4">
      <c r="A1961" s="54">
        <v>46196</v>
      </c>
      <c r="B1961" s="55" t="s">
        <v>62</v>
      </c>
      <c r="C1961" s="55" t="s">
        <v>56</v>
      </c>
      <c r="D1961" s="57">
        <v>10126</v>
      </c>
      <c r="E1961" s="55">
        <v>7232</v>
      </c>
      <c r="F1961" s="55">
        <v>69</v>
      </c>
      <c r="G1961" s="55">
        <v>6</v>
      </c>
      <c r="H1961" s="55">
        <v>0</v>
      </c>
      <c r="I1961" s="55">
        <v>0</v>
      </c>
      <c r="J1961" s="55">
        <v>0</v>
      </c>
    </row>
    <row r="1962" spans="1:10" ht="15" x14ac:dyDescent="0.4">
      <c r="A1962" s="54">
        <v>46197</v>
      </c>
      <c r="B1962" s="55" t="s">
        <v>63</v>
      </c>
      <c r="C1962" s="55" t="s">
        <v>58</v>
      </c>
      <c r="D1962" s="57">
        <v>6849</v>
      </c>
      <c r="E1962" s="55">
        <v>1426</v>
      </c>
      <c r="F1962" s="55">
        <v>75</v>
      </c>
      <c r="G1962" s="55">
        <v>5</v>
      </c>
      <c r="H1962" s="55">
        <v>0</v>
      </c>
      <c r="I1962" s="55">
        <v>1</v>
      </c>
      <c r="J1962" s="55">
        <v>0</v>
      </c>
    </row>
    <row r="1963" spans="1:10" ht="15" x14ac:dyDescent="0.4">
      <c r="A1963" s="54">
        <v>46197</v>
      </c>
      <c r="B1963" s="55" t="s">
        <v>57</v>
      </c>
      <c r="C1963" s="55" t="s">
        <v>58</v>
      </c>
      <c r="D1963" s="57">
        <v>17738</v>
      </c>
      <c r="E1963" s="55">
        <v>3695</v>
      </c>
      <c r="F1963" s="55">
        <v>197</v>
      </c>
      <c r="G1963" s="55">
        <v>5</v>
      </c>
      <c r="H1963" s="55">
        <v>0</v>
      </c>
      <c r="I1963" s="55">
        <v>0</v>
      </c>
      <c r="J1963" s="55">
        <v>0</v>
      </c>
    </row>
    <row r="1964" spans="1:10" ht="15" x14ac:dyDescent="0.4">
      <c r="A1964" s="54">
        <v>46197</v>
      </c>
      <c r="B1964" s="55" t="s">
        <v>59</v>
      </c>
      <c r="C1964" s="55" t="s">
        <v>60</v>
      </c>
      <c r="D1964" s="57">
        <v>23051</v>
      </c>
      <c r="E1964" s="55">
        <v>4432</v>
      </c>
      <c r="F1964" s="55">
        <v>29</v>
      </c>
      <c r="G1964" s="55">
        <v>2</v>
      </c>
      <c r="H1964" s="55">
        <v>1</v>
      </c>
      <c r="I1964" s="55">
        <v>0</v>
      </c>
      <c r="J1964" s="55">
        <v>0</v>
      </c>
    </row>
    <row r="1965" spans="1:10" ht="15" x14ac:dyDescent="0.4">
      <c r="A1965" s="54">
        <v>46197</v>
      </c>
      <c r="B1965" s="55" t="s">
        <v>55</v>
      </c>
      <c r="C1965" s="55" t="s">
        <v>56</v>
      </c>
      <c r="D1965" s="57">
        <v>35730</v>
      </c>
      <c r="E1965" s="55">
        <v>25521</v>
      </c>
      <c r="F1965" s="55">
        <v>280</v>
      </c>
      <c r="G1965" s="55">
        <v>10</v>
      </c>
      <c r="H1965" s="55">
        <v>3</v>
      </c>
      <c r="I1965" s="55">
        <v>0</v>
      </c>
      <c r="J1965" s="55">
        <v>0</v>
      </c>
    </row>
    <row r="1966" spans="1:10" ht="15" x14ac:dyDescent="0.4">
      <c r="A1966" s="54">
        <v>46197</v>
      </c>
      <c r="B1966" s="55" t="s">
        <v>62</v>
      </c>
      <c r="C1966" s="55" t="s">
        <v>56</v>
      </c>
      <c r="D1966" s="57">
        <v>8644</v>
      </c>
      <c r="E1966" s="55">
        <v>6174</v>
      </c>
      <c r="F1966" s="55">
        <v>70</v>
      </c>
      <c r="G1966" s="55">
        <v>1</v>
      </c>
      <c r="H1966" s="55">
        <v>1</v>
      </c>
      <c r="I1966" s="55">
        <v>0</v>
      </c>
      <c r="J1966" s="55">
        <v>0</v>
      </c>
    </row>
    <row r="1967" spans="1:10" ht="15" x14ac:dyDescent="0.4">
      <c r="A1967" s="54">
        <v>46198</v>
      </c>
      <c r="B1967" s="55" t="s">
        <v>63</v>
      </c>
      <c r="C1967" s="55" t="s">
        <v>58</v>
      </c>
      <c r="D1967" s="57">
        <v>6717</v>
      </c>
      <c r="E1967" s="55">
        <v>1399</v>
      </c>
      <c r="F1967" s="55">
        <v>77</v>
      </c>
      <c r="G1967" s="55">
        <v>4</v>
      </c>
      <c r="H1967" s="55">
        <v>4</v>
      </c>
      <c r="I1967" s="55">
        <v>1</v>
      </c>
      <c r="J1967" s="55">
        <v>0</v>
      </c>
    </row>
    <row r="1968" spans="1:10" ht="15" x14ac:dyDescent="0.4">
      <c r="A1968" s="54">
        <v>46198</v>
      </c>
      <c r="B1968" s="55" t="s">
        <v>57</v>
      </c>
      <c r="C1968" s="55" t="s">
        <v>58</v>
      </c>
      <c r="D1968" s="57">
        <v>19631</v>
      </c>
      <c r="E1968" s="55">
        <v>4089</v>
      </c>
      <c r="F1968" s="55">
        <v>201</v>
      </c>
      <c r="G1968" s="55">
        <v>2</v>
      </c>
      <c r="H1968" s="55">
        <v>1</v>
      </c>
      <c r="I1968" s="55">
        <v>0</v>
      </c>
      <c r="J1968" s="55">
        <v>0</v>
      </c>
    </row>
    <row r="1969" spans="1:10" ht="15" x14ac:dyDescent="0.4">
      <c r="A1969" s="54">
        <v>46198</v>
      </c>
      <c r="B1969" s="55" t="s">
        <v>59</v>
      </c>
      <c r="C1969" s="55" t="s">
        <v>60</v>
      </c>
      <c r="D1969" s="57">
        <v>25670</v>
      </c>
      <c r="E1969" s="55">
        <v>4936</v>
      </c>
      <c r="F1969" s="55">
        <v>35</v>
      </c>
      <c r="G1969" s="55">
        <v>3</v>
      </c>
      <c r="H1969" s="55">
        <v>1</v>
      </c>
      <c r="I1969" s="55">
        <v>0</v>
      </c>
      <c r="J1969" s="55">
        <v>0</v>
      </c>
    </row>
    <row r="1970" spans="1:10" ht="15" x14ac:dyDescent="0.4">
      <c r="A1970" s="54">
        <v>46198</v>
      </c>
      <c r="B1970" s="55" t="s">
        <v>55</v>
      </c>
      <c r="C1970" s="55" t="s">
        <v>56</v>
      </c>
      <c r="D1970" s="57">
        <v>40123</v>
      </c>
      <c r="E1970" s="55">
        <v>28659</v>
      </c>
      <c r="F1970" s="55">
        <v>284</v>
      </c>
      <c r="G1970" s="55">
        <v>22</v>
      </c>
      <c r="H1970" s="55">
        <v>0</v>
      </c>
      <c r="I1970" s="55">
        <v>1</v>
      </c>
      <c r="J1970" s="55">
        <v>0</v>
      </c>
    </row>
    <row r="1971" spans="1:10" ht="15" x14ac:dyDescent="0.4">
      <c r="A1971" s="54">
        <v>46198</v>
      </c>
      <c r="B1971" s="55" t="s">
        <v>62</v>
      </c>
      <c r="C1971" s="55" t="s">
        <v>56</v>
      </c>
      <c r="D1971" s="57">
        <v>8415</v>
      </c>
      <c r="E1971" s="55">
        <v>6010</v>
      </c>
      <c r="F1971" s="55">
        <v>67</v>
      </c>
      <c r="G1971" s="55">
        <v>3</v>
      </c>
      <c r="H1971" s="55">
        <v>1</v>
      </c>
      <c r="I1971" s="55">
        <v>0</v>
      </c>
      <c r="J1971" s="55">
        <v>0</v>
      </c>
    </row>
    <row r="1972" spans="1:10" ht="15" x14ac:dyDescent="0.4">
      <c r="A1972" s="54">
        <v>46199</v>
      </c>
      <c r="B1972" s="55" t="s">
        <v>63</v>
      </c>
      <c r="C1972" s="55" t="s">
        <v>58</v>
      </c>
      <c r="D1972" s="57">
        <v>6237</v>
      </c>
      <c r="E1972" s="55">
        <v>1299</v>
      </c>
      <c r="F1972" s="55">
        <v>61</v>
      </c>
      <c r="G1972" s="55">
        <v>1</v>
      </c>
      <c r="H1972" s="55">
        <v>1</v>
      </c>
      <c r="I1972" s="55">
        <v>1</v>
      </c>
      <c r="J1972" s="55">
        <v>0</v>
      </c>
    </row>
    <row r="1973" spans="1:10" ht="15" x14ac:dyDescent="0.4">
      <c r="A1973" s="54">
        <v>46199</v>
      </c>
      <c r="B1973" s="55" t="s">
        <v>57</v>
      </c>
      <c r="C1973" s="55" t="s">
        <v>58</v>
      </c>
      <c r="D1973" s="57">
        <v>19147</v>
      </c>
      <c r="E1973" s="55">
        <v>3988</v>
      </c>
      <c r="F1973" s="55">
        <v>183</v>
      </c>
      <c r="G1973" s="55">
        <v>3</v>
      </c>
      <c r="H1973" s="55">
        <v>1</v>
      </c>
      <c r="I1973" s="55">
        <v>0</v>
      </c>
      <c r="J1973" s="55">
        <v>0</v>
      </c>
    </row>
    <row r="1974" spans="1:10" ht="15" x14ac:dyDescent="0.4">
      <c r="A1974" s="54">
        <v>46199</v>
      </c>
      <c r="B1974" s="55" t="s">
        <v>59</v>
      </c>
      <c r="C1974" s="55" t="s">
        <v>60</v>
      </c>
      <c r="D1974" s="57">
        <v>23295</v>
      </c>
      <c r="E1974" s="55">
        <v>4479</v>
      </c>
      <c r="F1974" s="55">
        <v>32</v>
      </c>
      <c r="G1974" s="55">
        <v>0</v>
      </c>
      <c r="H1974" s="55">
        <v>2</v>
      </c>
      <c r="I1974" s="55">
        <v>1</v>
      </c>
      <c r="J1974" s="55">
        <v>1</v>
      </c>
    </row>
    <row r="1975" spans="1:10" ht="15" x14ac:dyDescent="0.4">
      <c r="A1975" s="54">
        <v>46199</v>
      </c>
      <c r="B1975" s="55" t="s">
        <v>55</v>
      </c>
      <c r="C1975" s="55" t="s">
        <v>56</v>
      </c>
      <c r="D1975" s="57">
        <v>40380</v>
      </c>
      <c r="E1975" s="55">
        <v>28842</v>
      </c>
      <c r="F1975" s="55">
        <v>337</v>
      </c>
      <c r="G1975" s="55">
        <v>12</v>
      </c>
      <c r="H1975" s="55">
        <v>3</v>
      </c>
      <c r="I1975" s="55">
        <v>0</v>
      </c>
      <c r="J1975" s="55">
        <v>0</v>
      </c>
    </row>
    <row r="1976" spans="1:10" ht="15" x14ac:dyDescent="0.4">
      <c r="A1976" s="54">
        <v>46199</v>
      </c>
      <c r="B1976" s="55" t="s">
        <v>62</v>
      </c>
      <c r="C1976" s="55" t="s">
        <v>56</v>
      </c>
      <c r="D1976" s="57">
        <v>9884</v>
      </c>
      <c r="E1976" s="55">
        <v>7060</v>
      </c>
      <c r="F1976" s="55">
        <v>66</v>
      </c>
      <c r="G1976" s="55">
        <v>4</v>
      </c>
      <c r="H1976" s="55">
        <v>0</v>
      </c>
      <c r="I1976" s="55">
        <v>2</v>
      </c>
      <c r="J1976" s="55">
        <v>0</v>
      </c>
    </row>
    <row r="1977" spans="1:10" ht="15" x14ac:dyDescent="0.4">
      <c r="A1977" s="54">
        <v>46200</v>
      </c>
      <c r="B1977" s="55" t="s">
        <v>63</v>
      </c>
      <c r="C1977" s="55" t="s">
        <v>58</v>
      </c>
      <c r="D1977" s="57">
        <v>6475</v>
      </c>
      <c r="E1977" s="55">
        <v>1348</v>
      </c>
      <c r="F1977" s="55">
        <v>61</v>
      </c>
      <c r="G1977" s="55">
        <v>1</v>
      </c>
      <c r="H1977" s="55">
        <v>1</v>
      </c>
      <c r="I1977" s="55">
        <v>1</v>
      </c>
      <c r="J1977" s="55">
        <v>1</v>
      </c>
    </row>
    <row r="1978" spans="1:10" ht="15" x14ac:dyDescent="0.4">
      <c r="A1978" s="54">
        <v>46200</v>
      </c>
      <c r="B1978" s="55" t="s">
        <v>57</v>
      </c>
      <c r="C1978" s="55" t="s">
        <v>58</v>
      </c>
      <c r="D1978" s="57">
        <v>20356</v>
      </c>
      <c r="E1978" s="55">
        <v>4240</v>
      </c>
      <c r="F1978" s="55">
        <v>208</v>
      </c>
      <c r="G1978" s="55">
        <v>1</v>
      </c>
      <c r="H1978" s="55">
        <v>0</v>
      </c>
      <c r="I1978" s="55">
        <v>0</v>
      </c>
      <c r="J1978" s="55">
        <v>0</v>
      </c>
    </row>
    <row r="1979" spans="1:10" ht="15" x14ac:dyDescent="0.4">
      <c r="A1979" s="54">
        <v>46200</v>
      </c>
      <c r="B1979" s="55" t="s">
        <v>59</v>
      </c>
      <c r="C1979" s="55" t="s">
        <v>60</v>
      </c>
      <c r="D1979" s="57">
        <v>25353</v>
      </c>
      <c r="E1979" s="55">
        <v>4875</v>
      </c>
      <c r="F1979" s="55">
        <v>31</v>
      </c>
      <c r="G1979" s="55">
        <v>1</v>
      </c>
      <c r="H1979" s="55">
        <v>0</v>
      </c>
      <c r="I1979" s="55">
        <v>1</v>
      </c>
      <c r="J1979" s="55">
        <v>0</v>
      </c>
    </row>
    <row r="1980" spans="1:10" ht="15" x14ac:dyDescent="0.4">
      <c r="A1980" s="54">
        <v>46200</v>
      </c>
      <c r="B1980" s="55" t="s">
        <v>55</v>
      </c>
      <c r="C1980" s="55" t="s">
        <v>56</v>
      </c>
      <c r="D1980" s="57">
        <v>39984</v>
      </c>
      <c r="E1980" s="55">
        <v>28560</v>
      </c>
      <c r="F1980" s="55">
        <v>343</v>
      </c>
      <c r="G1980" s="55">
        <v>7</v>
      </c>
      <c r="H1980" s="55">
        <v>3</v>
      </c>
      <c r="I1980" s="55">
        <v>0</v>
      </c>
      <c r="J1980" s="55">
        <v>0</v>
      </c>
    </row>
    <row r="1981" spans="1:10" ht="15" x14ac:dyDescent="0.4">
      <c r="A1981" s="54">
        <v>46200</v>
      </c>
      <c r="B1981" s="55" t="s">
        <v>62</v>
      </c>
      <c r="C1981" s="55" t="s">
        <v>56</v>
      </c>
      <c r="D1981" s="57">
        <v>8525</v>
      </c>
      <c r="E1981" s="55">
        <v>6089</v>
      </c>
      <c r="F1981" s="55">
        <v>62</v>
      </c>
      <c r="G1981" s="55">
        <v>2</v>
      </c>
      <c r="H1981" s="55">
        <v>4</v>
      </c>
      <c r="I1981" s="55">
        <v>0</v>
      </c>
      <c r="J1981" s="55">
        <v>0</v>
      </c>
    </row>
    <row r="1982" spans="1:10" ht="15" x14ac:dyDescent="0.4">
      <c r="A1982" s="54">
        <v>46201</v>
      </c>
      <c r="B1982" s="55" t="s">
        <v>63</v>
      </c>
      <c r="C1982" s="55" t="s">
        <v>58</v>
      </c>
      <c r="D1982" s="57">
        <v>7092</v>
      </c>
      <c r="E1982" s="55">
        <v>1477</v>
      </c>
      <c r="F1982" s="55">
        <v>69</v>
      </c>
      <c r="G1982" s="55">
        <v>2</v>
      </c>
      <c r="H1982" s="55">
        <v>0</v>
      </c>
      <c r="I1982" s="55">
        <v>1</v>
      </c>
      <c r="J1982" s="55">
        <v>0</v>
      </c>
    </row>
    <row r="1983" spans="1:10" ht="15" x14ac:dyDescent="0.4">
      <c r="A1983" s="54">
        <v>46201</v>
      </c>
      <c r="B1983" s="55" t="s">
        <v>57</v>
      </c>
      <c r="C1983" s="55" t="s">
        <v>58</v>
      </c>
      <c r="D1983" s="57">
        <v>17958</v>
      </c>
      <c r="E1983" s="55">
        <v>3741</v>
      </c>
      <c r="F1983" s="55">
        <v>186</v>
      </c>
      <c r="G1983" s="55">
        <v>1</v>
      </c>
      <c r="H1983" s="55">
        <v>0</v>
      </c>
      <c r="I1983" s="55">
        <v>0</v>
      </c>
      <c r="J1983" s="55">
        <v>0</v>
      </c>
    </row>
    <row r="1984" spans="1:10" ht="15" x14ac:dyDescent="0.4">
      <c r="A1984" s="54">
        <v>46201</v>
      </c>
      <c r="B1984" s="55" t="s">
        <v>59</v>
      </c>
      <c r="C1984" s="55" t="s">
        <v>60</v>
      </c>
      <c r="D1984" s="57">
        <v>24213</v>
      </c>
      <c r="E1984" s="55">
        <v>4656</v>
      </c>
      <c r="F1984" s="55">
        <v>34</v>
      </c>
      <c r="G1984" s="55">
        <v>1</v>
      </c>
      <c r="H1984" s="55">
        <v>0</v>
      </c>
      <c r="I1984" s="55">
        <v>1</v>
      </c>
      <c r="J1984" s="55">
        <v>0</v>
      </c>
    </row>
    <row r="1985" spans="1:10" ht="15" x14ac:dyDescent="0.4">
      <c r="A1985" s="54">
        <v>46201</v>
      </c>
      <c r="B1985" s="55" t="s">
        <v>55</v>
      </c>
      <c r="C1985" s="55" t="s">
        <v>56</v>
      </c>
      <c r="D1985" s="57">
        <v>37457</v>
      </c>
      <c r="E1985" s="55">
        <v>26755</v>
      </c>
      <c r="F1985" s="55">
        <v>295</v>
      </c>
      <c r="G1985" s="55">
        <v>7</v>
      </c>
      <c r="H1985" s="55">
        <v>1</v>
      </c>
      <c r="I1985" s="55">
        <v>1</v>
      </c>
      <c r="J1985" s="55">
        <v>0</v>
      </c>
    </row>
    <row r="1986" spans="1:10" ht="15" x14ac:dyDescent="0.4">
      <c r="A1986" s="54">
        <v>46201</v>
      </c>
      <c r="B1986" s="55" t="s">
        <v>62</v>
      </c>
      <c r="C1986" s="55" t="s">
        <v>56</v>
      </c>
      <c r="D1986" s="57">
        <v>9434</v>
      </c>
      <c r="E1986" s="55">
        <v>6738</v>
      </c>
      <c r="F1986" s="55">
        <v>71</v>
      </c>
      <c r="G1986" s="55">
        <v>5</v>
      </c>
      <c r="H1986" s="55">
        <v>0</v>
      </c>
      <c r="I1986" s="55">
        <v>0</v>
      </c>
      <c r="J1986" s="55">
        <v>0</v>
      </c>
    </row>
    <row r="1987" spans="1:10" ht="15" x14ac:dyDescent="0.4">
      <c r="A1987" s="54">
        <v>46202</v>
      </c>
      <c r="B1987" s="55" t="s">
        <v>63</v>
      </c>
      <c r="C1987" s="55" t="s">
        <v>58</v>
      </c>
      <c r="D1987" s="57">
        <v>6357</v>
      </c>
      <c r="E1987" s="55">
        <v>1324</v>
      </c>
      <c r="F1987" s="55">
        <v>68</v>
      </c>
      <c r="G1987" s="55">
        <v>4</v>
      </c>
      <c r="H1987" s="55">
        <v>0</v>
      </c>
      <c r="I1987" s="55">
        <v>1</v>
      </c>
      <c r="J1987" s="55">
        <v>0</v>
      </c>
    </row>
    <row r="1988" spans="1:10" ht="15" x14ac:dyDescent="0.4">
      <c r="A1988" s="54">
        <v>46202</v>
      </c>
      <c r="B1988" s="55" t="s">
        <v>57</v>
      </c>
      <c r="C1988" s="55" t="s">
        <v>58</v>
      </c>
      <c r="D1988" s="57">
        <v>18382</v>
      </c>
      <c r="E1988" s="55">
        <v>3829</v>
      </c>
      <c r="F1988" s="55">
        <v>209</v>
      </c>
      <c r="G1988" s="55">
        <v>2</v>
      </c>
      <c r="H1988" s="55">
        <v>0</v>
      </c>
      <c r="I1988" s="55">
        <v>0</v>
      </c>
      <c r="J1988" s="55">
        <v>0</v>
      </c>
    </row>
    <row r="1989" spans="1:10" ht="15" x14ac:dyDescent="0.4">
      <c r="A1989" s="54">
        <v>46202</v>
      </c>
      <c r="B1989" s="55" t="s">
        <v>59</v>
      </c>
      <c r="C1989" s="55" t="s">
        <v>60</v>
      </c>
      <c r="D1989" s="57">
        <v>26448</v>
      </c>
      <c r="E1989" s="55">
        <v>5086</v>
      </c>
      <c r="F1989" s="55">
        <v>28</v>
      </c>
      <c r="G1989" s="55">
        <v>0</v>
      </c>
      <c r="H1989" s="55">
        <v>0</v>
      </c>
      <c r="I1989" s="55">
        <v>0</v>
      </c>
      <c r="J1989" s="55">
        <v>1</v>
      </c>
    </row>
    <row r="1990" spans="1:10" ht="15" x14ac:dyDescent="0.4">
      <c r="A1990" s="54">
        <v>46202</v>
      </c>
      <c r="B1990" s="55" t="s">
        <v>55</v>
      </c>
      <c r="C1990" s="55" t="s">
        <v>56</v>
      </c>
      <c r="D1990" s="57">
        <v>35315</v>
      </c>
      <c r="E1990" s="55">
        <v>25224</v>
      </c>
      <c r="F1990" s="55">
        <v>280</v>
      </c>
      <c r="G1990" s="55">
        <v>6</v>
      </c>
      <c r="H1990" s="55">
        <v>4</v>
      </c>
      <c r="I1990" s="55">
        <v>0</v>
      </c>
      <c r="J1990" s="55">
        <v>0</v>
      </c>
    </row>
    <row r="1991" spans="1:10" ht="15" x14ac:dyDescent="0.4">
      <c r="A1991" s="54">
        <v>46202</v>
      </c>
      <c r="B1991" s="55" t="s">
        <v>62</v>
      </c>
      <c r="C1991" s="55" t="s">
        <v>56</v>
      </c>
      <c r="D1991" s="57">
        <v>9236</v>
      </c>
      <c r="E1991" s="55">
        <v>6597</v>
      </c>
      <c r="F1991" s="55">
        <v>76</v>
      </c>
      <c r="G1991" s="55">
        <v>7</v>
      </c>
      <c r="H1991" s="55">
        <v>0</v>
      </c>
      <c r="I1991" s="55">
        <v>1</v>
      </c>
      <c r="J1991" s="55">
        <v>0</v>
      </c>
    </row>
    <row r="1992" spans="1:10" ht="15" x14ac:dyDescent="0.4">
      <c r="A1992" s="54">
        <v>46203</v>
      </c>
      <c r="B1992" s="55" t="s">
        <v>63</v>
      </c>
      <c r="C1992" s="55" t="s">
        <v>58</v>
      </c>
      <c r="D1992" s="57">
        <v>6437</v>
      </c>
      <c r="E1992" s="55">
        <v>1341</v>
      </c>
      <c r="F1992" s="55">
        <v>79</v>
      </c>
      <c r="G1992" s="55">
        <v>2</v>
      </c>
      <c r="H1992" s="55">
        <v>2</v>
      </c>
      <c r="I1992" s="55">
        <v>1</v>
      </c>
      <c r="J1992" s="55">
        <v>0</v>
      </c>
    </row>
    <row r="1993" spans="1:10" ht="15" x14ac:dyDescent="0.4">
      <c r="A1993" s="54">
        <v>46203</v>
      </c>
      <c r="B1993" s="55" t="s">
        <v>57</v>
      </c>
      <c r="C1993" s="55" t="s">
        <v>58</v>
      </c>
      <c r="D1993" s="57">
        <v>17798</v>
      </c>
      <c r="E1993" s="55">
        <v>3707</v>
      </c>
      <c r="F1993" s="55">
        <v>196</v>
      </c>
      <c r="G1993" s="55">
        <v>1</v>
      </c>
      <c r="H1993" s="55">
        <v>0</v>
      </c>
      <c r="I1993" s="55">
        <v>1</v>
      </c>
      <c r="J1993" s="55">
        <v>0</v>
      </c>
    </row>
    <row r="1994" spans="1:10" ht="15" x14ac:dyDescent="0.4">
      <c r="A1994" s="54">
        <v>46203</v>
      </c>
      <c r="B1994" s="55" t="s">
        <v>59</v>
      </c>
      <c r="C1994" s="55" t="s">
        <v>60</v>
      </c>
      <c r="D1994" s="57">
        <v>23668</v>
      </c>
      <c r="E1994" s="55">
        <v>4551</v>
      </c>
      <c r="F1994" s="55">
        <v>32</v>
      </c>
      <c r="G1994" s="55">
        <v>2</v>
      </c>
      <c r="H1994" s="55">
        <v>0</v>
      </c>
      <c r="I1994" s="55">
        <v>0</v>
      </c>
      <c r="J1994" s="55">
        <v>0</v>
      </c>
    </row>
    <row r="1995" spans="1:10" ht="15" x14ac:dyDescent="0.4">
      <c r="A1995" s="54">
        <v>46203</v>
      </c>
      <c r="B1995" s="55" t="s">
        <v>55</v>
      </c>
      <c r="C1995" s="55" t="s">
        <v>56</v>
      </c>
      <c r="D1995" s="57">
        <v>38261</v>
      </c>
      <c r="E1995" s="55">
        <v>27329</v>
      </c>
      <c r="F1995" s="55">
        <v>342</v>
      </c>
      <c r="G1995" s="55">
        <v>13</v>
      </c>
      <c r="H1995" s="55">
        <v>4</v>
      </c>
      <c r="I1995" s="55">
        <v>1</v>
      </c>
      <c r="J1995" s="55">
        <v>0</v>
      </c>
    </row>
    <row r="1996" spans="1:10" ht="15" x14ac:dyDescent="0.4">
      <c r="A1996" s="54">
        <v>46203</v>
      </c>
      <c r="B1996" s="55" t="s">
        <v>62</v>
      </c>
      <c r="C1996" s="55" t="s">
        <v>56</v>
      </c>
      <c r="D1996" s="57">
        <v>9091</v>
      </c>
      <c r="E1996" s="55">
        <v>6493</v>
      </c>
      <c r="F1996" s="55">
        <v>71</v>
      </c>
      <c r="G1996" s="55">
        <v>4</v>
      </c>
      <c r="H1996" s="55">
        <v>2</v>
      </c>
      <c r="I1996" s="55">
        <v>1</v>
      </c>
      <c r="J1996" s="55">
        <v>0</v>
      </c>
    </row>
    <row r="1997" spans="1:10" ht="15" x14ac:dyDescent="0.4">
      <c r="A1997" s="54">
        <v>46204</v>
      </c>
      <c r="B1997" s="55" t="s">
        <v>63</v>
      </c>
      <c r="C1997" s="55" t="s">
        <v>58</v>
      </c>
      <c r="D1997" s="57">
        <v>6334</v>
      </c>
      <c r="E1997" s="55">
        <v>1319</v>
      </c>
      <c r="F1997" s="55">
        <v>74</v>
      </c>
      <c r="G1997" s="55">
        <v>4</v>
      </c>
      <c r="H1997" s="55">
        <v>1</v>
      </c>
      <c r="I1997" s="55">
        <v>1</v>
      </c>
      <c r="J1997" s="55">
        <v>0</v>
      </c>
    </row>
    <row r="1998" spans="1:10" ht="15" x14ac:dyDescent="0.4">
      <c r="A1998" s="54">
        <v>46204</v>
      </c>
      <c r="B1998" s="55" t="s">
        <v>57</v>
      </c>
      <c r="C1998" s="55" t="s">
        <v>58</v>
      </c>
      <c r="D1998" s="57">
        <v>17673</v>
      </c>
      <c r="E1998" s="55">
        <v>3681</v>
      </c>
      <c r="F1998" s="55">
        <v>200</v>
      </c>
      <c r="G1998" s="55">
        <v>1</v>
      </c>
      <c r="H1998" s="55">
        <v>0</v>
      </c>
      <c r="I1998" s="55">
        <v>0</v>
      </c>
      <c r="J1998" s="55">
        <v>0</v>
      </c>
    </row>
    <row r="1999" spans="1:10" ht="15" x14ac:dyDescent="0.4">
      <c r="A1999" s="54">
        <v>46204</v>
      </c>
      <c r="B1999" s="55" t="s">
        <v>59</v>
      </c>
      <c r="C1999" s="55" t="s">
        <v>60</v>
      </c>
      <c r="D1999" s="57">
        <v>23444</v>
      </c>
      <c r="E1999" s="55">
        <v>4508</v>
      </c>
      <c r="F1999" s="55">
        <v>27</v>
      </c>
      <c r="G1999" s="55">
        <v>5</v>
      </c>
      <c r="H1999" s="55">
        <v>1</v>
      </c>
      <c r="I1999" s="55">
        <v>0</v>
      </c>
      <c r="J1999" s="55">
        <v>0</v>
      </c>
    </row>
    <row r="2000" spans="1:10" ht="15" x14ac:dyDescent="0.4">
      <c r="A2000" s="54">
        <v>46204</v>
      </c>
      <c r="B2000" s="55" t="s">
        <v>55</v>
      </c>
      <c r="C2000" s="55" t="s">
        <v>56</v>
      </c>
      <c r="D2000" s="57">
        <v>38143</v>
      </c>
      <c r="E2000" s="55">
        <v>27245</v>
      </c>
      <c r="F2000" s="55">
        <v>300</v>
      </c>
      <c r="G2000" s="55">
        <v>13</v>
      </c>
      <c r="H2000" s="55">
        <v>2</v>
      </c>
      <c r="I2000" s="55">
        <v>0</v>
      </c>
      <c r="J2000" s="55">
        <v>1</v>
      </c>
    </row>
    <row r="2001" spans="1:10" ht="15" x14ac:dyDescent="0.4">
      <c r="A2001" s="54">
        <v>46204</v>
      </c>
      <c r="B2001" s="55" t="s">
        <v>62</v>
      </c>
      <c r="C2001" s="55" t="s">
        <v>56</v>
      </c>
      <c r="D2001" s="57">
        <v>10244</v>
      </c>
      <c r="E2001" s="55">
        <v>7317</v>
      </c>
      <c r="F2001" s="55">
        <v>87</v>
      </c>
      <c r="G2001" s="55">
        <v>4</v>
      </c>
      <c r="H2001" s="55">
        <v>3</v>
      </c>
      <c r="I2001" s="55">
        <v>0</v>
      </c>
      <c r="J2001" s="55">
        <v>0</v>
      </c>
    </row>
    <row r="2002" spans="1:10" ht="15" x14ac:dyDescent="0.4">
      <c r="A2002" s="54">
        <v>46205</v>
      </c>
      <c r="B2002" s="55" t="s">
        <v>63</v>
      </c>
      <c r="C2002" s="55" t="s">
        <v>58</v>
      </c>
      <c r="D2002" s="57">
        <v>6229</v>
      </c>
      <c r="E2002" s="55">
        <v>1297</v>
      </c>
      <c r="F2002" s="55">
        <v>71</v>
      </c>
      <c r="G2002" s="55">
        <v>2</v>
      </c>
      <c r="H2002" s="55">
        <v>0</v>
      </c>
      <c r="I2002" s="55">
        <v>0</v>
      </c>
      <c r="J2002" s="55">
        <v>1</v>
      </c>
    </row>
    <row r="2003" spans="1:10" ht="15" x14ac:dyDescent="0.4">
      <c r="A2003" s="54">
        <v>46205</v>
      </c>
      <c r="B2003" s="55" t="s">
        <v>57</v>
      </c>
      <c r="C2003" s="55" t="s">
        <v>58</v>
      </c>
      <c r="D2003" s="57">
        <v>19987</v>
      </c>
      <c r="E2003" s="55">
        <v>4163</v>
      </c>
      <c r="F2003" s="55">
        <v>199</v>
      </c>
      <c r="G2003" s="55">
        <v>5</v>
      </c>
      <c r="H2003" s="55">
        <v>1</v>
      </c>
      <c r="I2003" s="55">
        <v>0</v>
      </c>
      <c r="J2003" s="55">
        <v>0</v>
      </c>
    </row>
    <row r="2004" spans="1:10" ht="15" x14ac:dyDescent="0.4">
      <c r="A2004" s="54">
        <v>46205</v>
      </c>
      <c r="B2004" s="55" t="s">
        <v>59</v>
      </c>
      <c r="C2004" s="55" t="s">
        <v>60</v>
      </c>
      <c r="D2004" s="57">
        <v>24312</v>
      </c>
      <c r="E2004" s="55">
        <v>4675</v>
      </c>
      <c r="F2004" s="55">
        <v>34</v>
      </c>
      <c r="G2004" s="55">
        <v>2</v>
      </c>
      <c r="H2004" s="55">
        <v>3</v>
      </c>
      <c r="I2004" s="55">
        <v>1</v>
      </c>
      <c r="J2004" s="55">
        <v>0</v>
      </c>
    </row>
    <row r="2005" spans="1:10" ht="15" x14ac:dyDescent="0.4">
      <c r="A2005" s="54">
        <v>46205</v>
      </c>
      <c r="B2005" s="55" t="s">
        <v>55</v>
      </c>
      <c r="C2005" s="55" t="s">
        <v>56</v>
      </c>
      <c r="D2005" s="57">
        <v>42331</v>
      </c>
      <c r="E2005" s="55">
        <v>30236</v>
      </c>
      <c r="F2005" s="55">
        <v>323</v>
      </c>
      <c r="G2005" s="55">
        <v>8</v>
      </c>
      <c r="H2005" s="55">
        <v>3</v>
      </c>
      <c r="I2005" s="55">
        <v>2</v>
      </c>
      <c r="J2005" s="55">
        <v>0</v>
      </c>
    </row>
    <row r="2006" spans="1:10" ht="15" x14ac:dyDescent="0.4">
      <c r="A2006" s="54">
        <v>46205</v>
      </c>
      <c r="B2006" s="55" t="s">
        <v>62</v>
      </c>
      <c r="C2006" s="55" t="s">
        <v>56</v>
      </c>
      <c r="D2006" s="57">
        <v>8509</v>
      </c>
      <c r="E2006" s="55">
        <v>6077</v>
      </c>
      <c r="F2006" s="55">
        <v>69</v>
      </c>
      <c r="G2006" s="55">
        <v>2</v>
      </c>
      <c r="H2006" s="55">
        <v>3</v>
      </c>
      <c r="I2006" s="55">
        <v>1</v>
      </c>
      <c r="J2006" s="55">
        <v>0</v>
      </c>
    </row>
    <row r="2007" spans="1:10" ht="15" x14ac:dyDescent="0.4">
      <c r="A2007" s="54">
        <v>46206</v>
      </c>
      <c r="B2007" s="55" t="s">
        <v>63</v>
      </c>
      <c r="C2007" s="55" t="s">
        <v>58</v>
      </c>
      <c r="D2007" s="57">
        <v>6774</v>
      </c>
      <c r="E2007" s="55">
        <v>1411</v>
      </c>
      <c r="F2007" s="55">
        <v>82</v>
      </c>
      <c r="G2007" s="55">
        <v>4</v>
      </c>
      <c r="H2007" s="55">
        <v>1</v>
      </c>
      <c r="I2007" s="55">
        <v>0</v>
      </c>
      <c r="J2007" s="55">
        <v>0</v>
      </c>
    </row>
    <row r="2008" spans="1:10" ht="15" x14ac:dyDescent="0.4">
      <c r="A2008" s="54">
        <v>46206</v>
      </c>
      <c r="B2008" s="55" t="s">
        <v>57</v>
      </c>
      <c r="C2008" s="55" t="s">
        <v>58</v>
      </c>
      <c r="D2008" s="57">
        <v>20506</v>
      </c>
      <c r="E2008" s="55">
        <v>4272</v>
      </c>
      <c r="F2008" s="55">
        <v>247</v>
      </c>
      <c r="G2008" s="55">
        <v>3</v>
      </c>
      <c r="H2008" s="55">
        <v>1</v>
      </c>
      <c r="I2008" s="55">
        <v>0</v>
      </c>
      <c r="J2008" s="55">
        <v>0</v>
      </c>
    </row>
    <row r="2009" spans="1:10" ht="15" x14ac:dyDescent="0.4">
      <c r="A2009" s="54">
        <v>46206</v>
      </c>
      <c r="B2009" s="55" t="s">
        <v>59</v>
      </c>
      <c r="C2009" s="55" t="s">
        <v>60</v>
      </c>
      <c r="D2009" s="57">
        <v>24218</v>
      </c>
      <c r="E2009" s="55">
        <v>4657</v>
      </c>
      <c r="F2009" s="55">
        <v>31</v>
      </c>
      <c r="G2009" s="55">
        <v>2</v>
      </c>
      <c r="H2009" s="55">
        <v>2</v>
      </c>
      <c r="I2009" s="55">
        <v>1</v>
      </c>
      <c r="J2009" s="55">
        <v>0</v>
      </c>
    </row>
    <row r="2010" spans="1:10" ht="15" x14ac:dyDescent="0.4">
      <c r="A2010" s="54">
        <v>46206</v>
      </c>
      <c r="B2010" s="55" t="s">
        <v>55</v>
      </c>
      <c r="C2010" s="55" t="s">
        <v>56</v>
      </c>
      <c r="D2010" s="57">
        <v>37647</v>
      </c>
      <c r="E2010" s="55">
        <v>26890</v>
      </c>
      <c r="F2010" s="55">
        <v>282</v>
      </c>
      <c r="G2010" s="55">
        <v>11</v>
      </c>
      <c r="H2010" s="55">
        <v>3</v>
      </c>
      <c r="I2010" s="55">
        <v>1</v>
      </c>
      <c r="J2010" s="55">
        <v>0</v>
      </c>
    </row>
    <row r="2011" spans="1:10" ht="15" x14ac:dyDescent="0.4">
      <c r="A2011" s="54">
        <v>46206</v>
      </c>
      <c r="B2011" s="55" t="s">
        <v>62</v>
      </c>
      <c r="C2011" s="55" t="s">
        <v>56</v>
      </c>
      <c r="D2011" s="57">
        <v>8968</v>
      </c>
      <c r="E2011" s="55">
        <v>6405</v>
      </c>
      <c r="F2011" s="55">
        <v>69</v>
      </c>
      <c r="G2011" s="55">
        <v>0</v>
      </c>
      <c r="H2011" s="55">
        <v>2</v>
      </c>
      <c r="I2011" s="55">
        <v>0</v>
      </c>
      <c r="J2011" s="55">
        <v>0</v>
      </c>
    </row>
    <row r="2012" spans="1:10" ht="15" x14ac:dyDescent="0.4">
      <c r="A2012" s="54">
        <v>46207</v>
      </c>
      <c r="B2012" s="55" t="s">
        <v>63</v>
      </c>
      <c r="C2012" s="55" t="s">
        <v>58</v>
      </c>
      <c r="D2012" s="57">
        <v>7457</v>
      </c>
      <c r="E2012" s="55">
        <v>1553</v>
      </c>
      <c r="F2012" s="55">
        <v>76</v>
      </c>
      <c r="G2012" s="55">
        <v>1</v>
      </c>
      <c r="H2012" s="55">
        <v>1</v>
      </c>
      <c r="I2012" s="55">
        <v>1</v>
      </c>
      <c r="J2012" s="55">
        <v>1</v>
      </c>
    </row>
    <row r="2013" spans="1:10" ht="15" x14ac:dyDescent="0.4">
      <c r="A2013" s="54">
        <v>46207</v>
      </c>
      <c r="B2013" s="55" t="s">
        <v>57</v>
      </c>
      <c r="C2013" s="55" t="s">
        <v>58</v>
      </c>
      <c r="D2013" s="57">
        <v>20070</v>
      </c>
      <c r="E2013" s="55">
        <v>4181</v>
      </c>
      <c r="F2013" s="55">
        <v>201</v>
      </c>
      <c r="G2013" s="55">
        <v>3</v>
      </c>
      <c r="H2013" s="55">
        <v>0</v>
      </c>
      <c r="I2013" s="55">
        <v>0</v>
      </c>
      <c r="J2013" s="55">
        <v>0</v>
      </c>
    </row>
    <row r="2014" spans="1:10" ht="15" x14ac:dyDescent="0.4">
      <c r="A2014" s="54">
        <v>46207</v>
      </c>
      <c r="B2014" s="55" t="s">
        <v>59</v>
      </c>
      <c r="C2014" s="55" t="s">
        <v>60</v>
      </c>
      <c r="D2014" s="57">
        <v>26519</v>
      </c>
      <c r="E2014" s="55">
        <v>5099</v>
      </c>
      <c r="F2014" s="55">
        <v>30</v>
      </c>
      <c r="G2014" s="55">
        <v>2</v>
      </c>
      <c r="H2014" s="55">
        <v>1</v>
      </c>
      <c r="I2014" s="55">
        <v>0</v>
      </c>
      <c r="J2014" s="55">
        <v>0</v>
      </c>
    </row>
    <row r="2015" spans="1:10" ht="15" x14ac:dyDescent="0.4">
      <c r="A2015" s="54">
        <v>46207</v>
      </c>
      <c r="B2015" s="55" t="s">
        <v>55</v>
      </c>
      <c r="C2015" s="55" t="s">
        <v>56</v>
      </c>
      <c r="D2015" s="57">
        <v>39307</v>
      </c>
      <c r="E2015" s="55">
        <v>28076</v>
      </c>
      <c r="F2015" s="55">
        <v>300</v>
      </c>
      <c r="G2015" s="55">
        <v>8</v>
      </c>
      <c r="H2015" s="55">
        <v>0</v>
      </c>
      <c r="I2015" s="55">
        <v>0</v>
      </c>
      <c r="J2015" s="55">
        <v>1</v>
      </c>
    </row>
    <row r="2016" spans="1:10" ht="15" x14ac:dyDescent="0.4">
      <c r="A2016" s="54">
        <v>46207</v>
      </c>
      <c r="B2016" s="55" t="s">
        <v>62</v>
      </c>
      <c r="C2016" s="55" t="s">
        <v>56</v>
      </c>
      <c r="D2016" s="57">
        <v>8852</v>
      </c>
      <c r="E2016" s="55">
        <v>6322</v>
      </c>
      <c r="F2016" s="55">
        <v>77</v>
      </c>
      <c r="G2016" s="55">
        <v>2</v>
      </c>
      <c r="H2016" s="55">
        <v>1</v>
      </c>
      <c r="I2016" s="55">
        <v>1</v>
      </c>
      <c r="J2016" s="55">
        <v>0</v>
      </c>
    </row>
    <row r="2017" spans="1:10" ht="15" x14ac:dyDescent="0.4">
      <c r="A2017" s="54">
        <v>46208</v>
      </c>
      <c r="B2017" s="55" t="s">
        <v>63</v>
      </c>
      <c r="C2017" s="55" t="s">
        <v>58</v>
      </c>
      <c r="D2017" s="57">
        <v>6437</v>
      </c>
      <c r="E2017" s="55">
        <v>1341</v>
      </c>
      <c r="F2017" s="55">
        <v>72</v>
      </c>
      <c r="G2017" s="55">
        <v>0</v>
      </c>
      <c r="H2017" s="55">
        <v>2</v>
      </c>
      <c r="I2017" s="55">
        <v>1</v>
      </c>
      <c r="J2017" s="55">
        <v>0</v>
      </c>
    </row>
    <row r="2018" spans="1:10" ht="15" x14ac:dyDescent="0.4">
      <c r="A2018" s="54">
        <v>46208</v>
      </c>
      <c r="B2018" s="55" t="s">
        <v>57</v>
      </c>
      <c r="C2018" s="55" t="s">
        <v>58</v>
      </c>
      <c r="D2018" s="57">
        <v>17242</v>
      </c>
      <c r="E2018" s="55">
        <v>3592</v>
      </c>
      <c r="F2018" s="55">
        <v>208</v>
      </c>
      <c r="G2018" s="55">
        <v>1</v>
      </c>
      <c r="H2018" s="55">
        <v>0</v>
      </c>
      <c r="I2018" s="55">
        <v>0</v>
      </c>
      <c r="J2018" s="55">
        <v>0</v>
      </c>
    </row>
    <row r="2019" spans="1:10" ht="15" x14ac:dyDescent="0.4">
      <c r="A2019" s="54">
        <v>46208</v>
      </c>
      <c r="B2019" s="55" t="s">
        <v>59</v>
      </c>
      <c r="C2019" s="55" t="s">
        <v>60</v>
      </c>
      <c r="D2019" s="57">
        <v>23716</v>
      </c>
      <c r="E2019" s="55">
        <v>4560</v>
      </c>
      <c r="F2019" s="55">
        <v>29</v>
      </c>
      <c r="G2019" s="55">
        <v>1</v>
      </c>
      <c r="H2019" s="55">
        <v>0</v>
      </c>
      <c r="I2019" s="55">
        <v>0</v>
      </c>
      <c r="J2019" s="55">
        <v>0</v>
      </c>
    </row>
    <row r="2020" spans="1:10" ht="15" x14ac:dyDescent="0.4">
      <c r="A2020" s="54">
        <v>46208</v>
      </c>
      <c r="B2020" s="55" t="s">
        <v>55</v>
      </c>
      <c r="C2020" s="55" t="s">
        <v>56</v>
      </c>
      <c r="D2020" s="57">
        <v>40047</v>
      </c>
      <c r="E2020" s="55">
        <v>28605</v>
      </c>
      <c r="F2020" s="55">
        <v>348</v>
      </c>
      <c r="G2020" s="55">
        <v>6</v>
      </c>
      <c r="H2020" s="55">
        <v>1</v>
      </c>
      <c r="I2020" s="55">
        <v>2</v>
      </c>
      <c r="J2020" s="55">
        <v>1</v>
      </c>
    </row>
    <row r="2021" spans="1:10" ht="15" x14ac:dyDescent="0.4">
      <c r="A2021" s="54">
        <v>46208</v>
      </c>
      <c r="B2021" s="55" t="s">
        <v>62</v>
      </c>
      <c r="C2021" s="55" t="s">
        <v>56</v>
      </c>
      <c r="D2021" s="57">
        <v>8634</v>
      </c>
      <c r="E2021" s="55">
        <v>6167</v>
      </c>
      <c r="F2021" s="55">
        <v>62</v>
      </c>
      <c r="G2021" s="55">
        <v>3</v>
      </c>
      <c r="H2021" s="55">
        <v>1</v>
      </c>
      <c r="I2021" s="55">
        <v>0</v>
      </c>
      <c r="J2021" s="55">
        <v>0</v>
      </c>
    </row>
    <row r="2022" spans="1:10" ht="15" x14ac:dyDescent="0.4">
      <c r="A2022" s="54">
        <v>46209</v>
      </c>
      <c r="B2022" s="55" t="s">
        <v>63</v>
      </c>
      <c r="C2022" s="55" t="s">
        <v>58</v>
      </c>
      <c r="D2022" s="57">
        <v>6941</v>
      </c>
      <c r="E2022" s="55">
        <v>1446</v>
      </c>
      <c r="F2022" s="55">
        <v>71</v>
      </c>
      <c r="G2022" s="55">
        <v>6</v>
      </c>
      <c r="H2022" s="55">
        <v>0</v>
      </c>
      <c r="I2022" s="55">
        <v>0</v>
      </c>
      <c r="J2022" s="55">
        <v>0</v>
      </c>
    </row>
    <row r="2023" spans="1:10" ht="15" x14ac:dyDescent="0.4">
      <c r="A2023" s="54">
        <v>46209</v>
      </c>
      <c r="B2023" s="55" t="s">
        <v>57</v>
      </c>
      <c r="C2023" s="55" t="s">
        <v>58</v>
      </c>
      <c r="D2023" s="57">
        <v>19983</v>
      </c>
      <c r="E2023" s="55">
        <v>4163</v>
      </c>
      <c r="F2023" s="55">
        <v>248</v>
      </c>
      <c r="G2023" s="55">
        <v>2</v>
      </c>
      <c r="H2023" s="55">
        <v>0</v>
      </c>
      <c r="I2023" s="55">
        <v>1</v>
      </c>
      <c r="J2023" s="55">
        <v>0</v>
      </c>
    </row>
    <row r="2024" spans="1:10" ht="15" x14ac:dyDescent="0.4">
      <c r="A2024" s="54">
        <v>46209</v>
      </c>
      <c r="B2024" s="55" t="s">
        <v>59</v>
      </c>
      <c r="C2024" s="55" t="s">
        <v>60</v>
      </c>
      <c r="D2024" s="57">
        <v>26574</v>
      </c>
      <c r="E2024" s="55">
        <v>5110</v>
      </c>
      <c r="F2024" s="55">
        <v>28</v>
      </c>
      <c r="G2024" s="55">
        <v>1</v>
      </c>
      <c r="H2024" s="55">
        <v>0</v>
      </c>
      <c r="I2024" s="55">
        <v>0</v>
      </c>
      <c r="J2024" s="55">
        <v>0</v>
      </c>
    </row>
    <row r="2025" spans="1:10" ht="15" x14ac:dyDescent="0.4">
      <c r="A2025" s="54">
        <v>46209</v>
      </c>
      <c r="B2025" s="55" t="s">
        <v>55</v>
      </c>
      <c r="C2025" s="55" t="s">
        <v>56</v>
      </c>
      <c r="D2025" s="57">
        <v>36348</v>
      </c>
      <c r="E2025" s="55">
        <v>25962</v>
      </c>
      <c r="F2025" s="55">
        <v>279</v>
      </c>
      <c r="G2025" s="55">
        <v>11</v>
      </c>
      <c r="H2025" s="55">
        <v>1</v>
      </c>
      <c r="I2025" s="55">
        <v>1</v>
      </c>
      <c r="J2025" s="55">
        <v>0</v>
      </c>
    </row>
    <row r="2026" spans="1:10" ht="15" x14ac:dyDescent="0.4">
      <c r="A2026" s="54">
        <v>46209</v>
      </c>
      <c r="B2026" s="55" t="s">
        <v>62</v>
      </c>
      <c r="C2026" s="55" t="s">
        <v>56</v>
      </c>
      <c r="D2026" s="57">
        <v>9493</v>
      </c>
      <c r="E2026" s="55">
        <v>6780</v>
      </c>
      <c r="F2026" s="55">
        <v>71</v>
      </c>
      <c r="G2026" s="55">
        <v>6</v>
      </c>
      <c r="H2026" s="55">
        <v>1</v>
      </c>
      <c r="I2026" s="55">
        <v>0</v>
      </c>
      <c r="J2026" s="55">
        <v>0</v>
      </c>
    </row>
    <row r="2027" spans="1:10" ht="15" x14ac:dyDescent="0.4">
      <c r="A2027" s="54">
        <v>46210</v>
      </c>
      <c r="B2027" s="55" t="s">
        <v>63</v>
      </c>
      <c r="C2027" s="55" t="s">
        <v>58</v>
      </c>
      <c r="D2027" s="57">
        <v>6654</v>
      </c>
      <c r="E2027" s="55">
        <v>1386</v>
      </c>
      <c r="F2027" s="55">
        <v>62</v>
      </c>
      <c r="G2027" s="55">
        <v>5</v>
      </c>
      <c r="H2027" s="55">
        <v>4</v>
      </c>
      <c r="I2027" s="55">
        <v>0</v>
      </c>
      <c r="J2027" s="55">
        <v>1</v>
      </c>
    </row>
    <row r="2028" spans="1:10" ht="15" x14ac:dyDescent="0.4">
      <c r="A2028" s="54">
        <v>46210</v>
      </c>
      <c r="B2028" s="55" t="s">
        <v>57</v>
      </c>
      <c r="C2028" s="55" t="s">
        <v>58</v>
      </c>
      <c r="D2028" s="57">
        <v>17495</v>
      </c>
      <c r="E2028" s="55">
        <v>3644</v>
      </c>
      <c r="F2028" s="55">
        <v>167</v>
      </c>
      <c r="G2028" s="55">
        <v>1</v>
      </c>
      <c r="H2028" s="55">
        <v>0</v>
      </c>
      <c r="I2028" s="55">
        <v>1</v>
      </c>
      <c r="J2028" s="55">
        <v>0</v>
      </c>
    </row>
    <row r="2029" spans="1:10" ht="15" x14ac:dyDescent="0.4">
      <c r="A2029" s="54">
        <v>46210</v>
      </c>
      <c r="B2029" s="55" t="s">
        <v>59</v>
      </c>
      <c r="C2029" s="55" t="s">
        <v>60</v>
      </c>
      <c r="D2029" s="57">
        <v>28053</v>
      </c>
      <c r="E2029" s="55">
        <v>5394</v>
      </c>
      <c r="F2029" s="55">
        <v>33</v>
      </c>
      <c r="G2029" s="55">
        <v>1</v>
      </c>
      <c r="H2029" s="55">
        <v>2</v>
      </c>
      <c r="I2029" s="55">
        <v>2</v>
      </c>
      <c r="J2029" s="55">
        <v>0</v>
      </c>
    </row>
    <row r="2030" spans="1:10" ht="15" x14ac:dyDescent="0.4">
      <c r="A2030" s="54">
        <v>46210</v>
      </c>
      <c r="B2030" s="55" t="s">
        <v>55</v>
      </c>
      <c r="C2030" s="55" t="s">
        <v>56</v>
      </c>
      <c r="D2030" s="57">
        <v>42466</v>
      </c>
      <c r="E2030" s="55">
        <v>30332</v>
      </c>
      <c r="F2030" s="55">
        <v>291</v>
      </c>
      <c r="G2030" s="55">
        <v>17</v>
      </c>
      <c r="H2030" s="55">
        <v>4</v>
      </c>
      <c r="I2030" s="55">
        <v>0</v>
      </c>
      <c r="J2030" s="55">
        <v>0</v>
      </c>
    </row>
    <row r="2031" spans="1:10" ht="15" x14ac:dyDescent="0.4">
      <c r="A2031" s="54">
        <v>46210</v>
      </c>
      <c r="B2031" s="55" t="s">
        <v>62</v>
      </c>
      <c r="C2031" s="55" t="s">
        <v>56</v>
      </c>
      <c r="D2031" s="57">
        <v>10175</v>
      </c>
      <c r="E2031" s="55">
        <v>7267</v>
      </c>
      <c r="F2031" s="55">
        <v>76</v>
      </c>
      <c r="G2031" s="55">
        <v>6</v>
      </c>
      <c r="H2031" s="55">
        <v>1</v>
      </c>
      <c r="I2031" s="55">
        <v>2</v>
      </c>
      <c r="J2031" s="55">
        <v>0</v>
      </c>
    </row>
    <row r="2032" spans="1:10" ht="15" x14ac:dyDescent="0.4">
      <c r="A2032" s="54">
        <v>46211</v>
      </c>
      <c r="B2032" s="55" t="s">
        <v>63</v>
      </c>
      <c r="C2032" s="55" t="s">
        <v>58</v>
      </c>
      <c r="D2032" s="57">
        <v>7202</v>
      </c>
      <c r="E2032" s="55">
        <v>1500</v>
      </c>
      <c r="F2032" s="55">
        <v>77</v>
      </c>
      <c r="G2032" s="55">
        <v>3</v>
      </c>
      <c r="H2032" s="55">
        <v>2</v>
      </c>
      <c r="I2032" s="55">
        <v>0</v>
      </c>
      <c r="J2032" s="55">
        <v>0</v>
      </c>
    </row>
    <row r="2033" spans="1:10" ht="15" x14ac:dyDescent="0.4">
      <c r="A2033" s="54">
        <v>46211</v>
      </c>
      <c r="B2033" s="55" t="s">
        <v>57</v>
      </c>
      <c r="C2033" s="55" t="s">
        <v>58</v>
      </c>
      <c r="D2033" s="57">
        <v>20019</v>
      </c>
      <c r="E2033" s="55">
        <v>4170</v>
      </c>
      <c r="F2033" s="55">
        <v>238</v>
      </c>
      <c r="G2033" s="55">
        <v>1</v>
      </c>
      <c r="H2033" s="55">
        <v>0</v>
      </c>
      <c r="I2033" s="55">
        <v>0</v>
      </c>
      <c r="J2033" s="55">
        <v>0</v>
      </c>
    </row>
    <row r="2034" spans="1:10" ht="15" x14ac:dyDescent="0.4">
      <c r="A2034" s="54">
        <v>46211</v>
      </c>
      <c r="B2034" s="55" t="s">
        <v>59</v>
      </c>
      <c r="C2034" s="55" t="s">
        <v>60</v>
      </c>
      <c r="D2034" s="57">
        <v>25880</v>
      </c>
      <c r="E2034" s="55">
        <v>4976</v>
      </c>
      <c r="F2034" s="55">
        <v>36</v>
      </c>
      <c r="G2034" s="55">
        <v>2</v>
      </c>
      <c r="H2034" s="55">
        <v>1</v>
      </c>
      <c r="I2034" s="55">
        <v>0</v>
      </c>
      <c r="J2034" s="55">
        <v>0</v>
      </c>
    </row>
    <row r="2035" spans="1:10" ht="15" x14ac:dyDescent="0.4">
      <c r="A2035" s="54">
        <v>46211</v>
      </c>
      <c r="B2035" s="55" t="s">
        <v>55</v>
      </c>
      <c r="C2035" s="55" t="s">
        <v>56</v>
      </c>
      <c r="D2035" s="57">
        <v>41924</v>
      </c>
      <c r="E2035" s="55">
        <v>29945</v>
      </c>
      <c r="F2035" s="55">
        <v>316</v>
      </c>
      <c r="G2035" s="55">
        <v>8</v>
      </c>
      <c r="H2035" s="55">
        <v>3</v>
      </c>
      <c r="I2035" s="55">
        <v>1</v>
      </c>
      <c r="J2035" s="55">
        <v>0</v>
      </c>
    </row>
    <row r="2036" spans="1:10" ht="15" x14ac:dyDescent="0.4">
      <c r="A2036" s="54">
        <v>46211</v>
      </c>
      <c r="B2036" s="55" t="s">
        <v>62</v>
      </c>
      <c r="C2036" s="55" t="s">
        <v>56</v>
      </c>
      <c r="D2036" s="57">
        <v>8745</v>
      </c>
      <c r="E2036" s="55">
        <v>6246</v>
      </c>
      <c r="F2036" s="55">
        <v>59</v>
      </c>
      <c r="G2036" s="55">
        <v>6</v>
      </c>
      <c r="H2036" s="55">
        <v>3</v>
      </c>
      <c r="I2036" s="55">
        <v>0</v>
      </c>
      <c r="J2036" s="55">
        <v>0</v>
      </c>
    </row>
    <row r="2037" spans="1:10" ht="15" x14ac:dyDescent="0.4">
      <c r="A2037" s="54">
        <v>46212</v>
      </c>
      <c r="B2037" s="55" t="s">
        <v>63</v>
      </c>
      <c r="C2037" s="55" t="s">
        <v>58</v>
      </c>
      <c r="D2037" s="57">
        <v>6499</v>
      </c>
      <c r="E2037" s="55">
        <v>1353</v>
      </c>
      <c r="F2037" s="55">
        <v>63</v>
      </c>
      <c r="G2037" s="55">
        <v>7</v>
      </c>
      <c r="H2037" s="55">
        <v>0</v>
      </c>
      <c r="I2037" s="55">
        <v>3</v>
      </c>
      <c r="J2037" s="55">
        <v>0</v>
      </c>
    </row>
    <row r="2038" spans="1:10" ht="15" x14ac:dyDescent="0.4">
      <c r="A2038" s="54">
        <v>46212</v>
      </c>
      <c r="B2038" s="55" t="s">
        <v>57</v>
      </c>
      <c r="C2038" s="55" t="s">
        <v>58</v>
      </c>
      <c r="D2038" s="57">
        <v>17988</v>
      </c>
      <c r="E2038" s="55">
        <v>3747</v>
      </c>
      <c r="F2038" s="55">
        <v>191</v>
      </c>
      <c r="G2038" s="55">
        <v>1</v>
      </c>
      <c r="H2038" s="55">
        <v>0</v>
      </c>
      <c r="I2038" s="55">
        <v>0</v>
      </c>
      <c r="J2038" s="55">
        <v>0</v>
      </c>
    </row>
    <row r="2039" spans="1:10" ht="15" x14ac:dyDescent="0.4">
      <c r="A2039" s="54">
        <v>46212</v>
      </c>
      <c r="B2039" s="55" t="s">
        <v>59</v>
      </c>
      <c r="C2039" s="55" t="s">
        <v>60</v>
      </c>
      <c r="D2039" s="57">
        <v>27464</v>
      </c>
      <c r="E2039" s="55">
        <v>5281</v>
      </c>
      <c r="F2039" s="55">
        <v>32</v>
      </c>
      <c r="G2039" s="55">
        <v>2</v>
      </c>
      <c r="H2039" s="55">
        <v>0</v>
      </c>
      <c r="I2039" s="55">
        <v>0</v>
      </c>
      <c r="J2039" s="55">
        <v>0</v>
      </c>
    </row>
    <row r="2040" spans="1:10" ht="15" x14ac:dyDescent="0.4">
      <c r="A2040" s="54">
        <v>46212</v>
      </c>
      <c r="B2040" s="55" t="s">
        <v>55</v>
      </c>
      <c r="C2040" s="55" t="s">
        <v>56</v>
      </c>
      <c r="D2040" s="57">
        <v>35546</v>
      </c>
      <c r="E2040" s="55">
        <v>25389</v>
      </c>
      <c r="F2040" s="55">
        <v>269</v>
      </c>
      <c r="G2040" s="55">
        <v>10</v>
      </c>
      <c r="H2040" s="55">
        <v>2</v>
      </c>
      <c r="I2040" s="55">
        <v>1</v>
      </c>
      <c r="J2040" s="55">
        <v>1</v>
      </c>
    </row>
    <row r="2041" spans="1:10" ht="15" x14ac:dyDescent="0.4">
      <c r="A2041" s="54">
        <v>46212</v>
      </c>
      <c r="B2041" s="55" t="s">
        <v>62</v>
      </c>
      <c r="C2041" s="55" t="s">
        <v>56</v>
      </c>
      <c r="D2041" s="57">
        <v>9118</v>
      </c>
      <c r="E2041" s="55">
        <v>6512</v>
      </c>
      <c r="F2041" s="55">
        <v>65</v>
      </c>
      <c r="G2041" s="55">
        <v>2</v>
      </c>
      <c r="H2041" s="55">
        <v>0</v>
      </c>
      <c r="I2041" s="55">
        <v>2</v>
      </c>
      <c r="J2041" s="55">
        <v>0</v>
      </c>
    </row>
    <row r="2042" spans="1:10" ht="15" x14ac:dyDescent="0.4">
      <c r="A2042" s="54">
        <v>46213</v>
      </c>
      <c r="B2042" s="55" t="s">
        <v>63</v>
      </c>
      <c r="C2042" s="55" t="s">
        <v>58</v>
      </c>
      <c r="D2042" s="57">
        <v>6659</v>
      </c>
      <c r="E2042" s="55">
        <v>1387</v>
      </c>
      <c r="F2042" s="55">
        <v>68</v>
      </c>
      <c r="G2042" s="55">
        <v>2</v>
      </c>
      <c r="H2042" s="55">
        <v>1</v>
      </c>
      <c r="I2042" s="55">
        <v>0</v>
      </c>
      <c r="J2042" s="55">
        <v>1</v>
      </c>
    </row>
    <row r="2043" spans="1:10" ht="15" x14ac:dyDescent="0.4">
      <c r="A2043" s="54">
        <v>46213</v>
      </c>
      <c r="B2043" s="55" t="s">
        <v>57</v>
      </c>
      <c r="C2043" s="55" t="s">
        <v>58</v>
      </c>
      <c r="D2043" s="57">
        <v>18393</v>
      </c>
      <c r="E2043" s="55">
        <v>3831</v>
      </c>
      <c r="F2043" s="55">
        <v>192</v>
      </c>
      <c r="G2043" s="55">
        <v>3</v>
      </c>
      <c r="H2043" s="55">
        <v>2</v>
      </c>
      <c r="I2043" s="55">
        <v>0</v>
      </c>
      <c r="J2043" s="55">
        <v>0</v>
      </c>
    </row>
    <row r="2044" spans="1:10" ht="15" x14ac:dyDescent="0.4">
      <c r="A2044" s="54">
        <v>46213</v>
      </c>
      <c r="B2044" s="55" t="s">
        <v>59</v>
      </c>
      <c r="C2044" s="55" t="s">
        <v>60</v>
      </c>
      <c r="D2044" s="57">
        <v>27937</v>
      </c>
      <c r="E2044" s="55">
        <v>5372</v>
      </c>
      <c r="F2044" s="55">
        <v>30</v>
      </c>
      <c r="G2044" s="55">
        <v>4</v>
      </c>
      <c r="H2044" s="55">
        <v>1</v>
      </c>
      <c r="I2044" s="55">
        <v>0</v>
      </c>
      <c r="J2044" s="55">
        <v>1</v>
      </c>
    </row>
    <row r="2045" spans="1:10" ht="15" x14ac:dyDescent="0.4">
      <c r="A2045" s="54">
        <v>46213</v>
      </c>
      <c r="B2045" s="55" t="s">
        <v>55</v>
      </c>
      <c r="C2045" s="55" t="s">
        <v>56</v>
      </c>
      <c r="D2045" s="57">
        <v>39424</v>
      </c>
      <c r="E2045" s="55">
        <v>28160</v>
      </c>
      <c r="F2045" s="55">
        <v>341</v>
      </c>
      <c r="G2045" s="55">
        <v>12</v>
      </c>
      <c r="H2045" s="55">
        <v>2</v>
      </c>
      <c r="I2045" s="55">
        <v>1</v>
      </c>
      <c r="J2045" s="55">
        <v>0</v>
      </c>
    </row>
    <row r="2046" spans="1:10" ht="15" x14ac:dyDescent="0.4">
      <c r="A2046" s="54">
        <v>46213</v>
      </c>
      <c r="B2046" s="55" t="s">
        <v>62</v>
      </c>
      <c r="C2046" s="55" t="s">
        <v>56</v>
      </c>
      <c r="D2046" s="57">
        <v>9502</v>
      </c>
      <c r="E2046" s="55">
        <v>6787</v>
      </c>
      <c r="F2046" s="55">
        <v>76</v>
      </c>
      <c r="G2046" s="55">
        <v>3</v>
      </c>
      <c r="H2046" s="55">
        <v>1</v>
      </c>
      <c r="I2046" s="55">
        <v>0</v>
      </c>
      <c r="J2046" s="55">
        <v>0</v>
      </c>
    </row>
    <row r="2047" spans="1:10" ht="15" x14ac:dyDescent="0.4">
      <c r="A2047" s="54">
        <v>46214</v>
      </c>
      <c r="B2047" s="55" t="s">
        <v>63</v>
      </c>
      <c r="C2047" s="55" t="s">
        <v>58</v>
      </c>
      <c r="D2047" s="57">
        <v>7366</v>
      </c>
      <c r="E2047" s="55">
        <v>1534</v>
      </c>
      <c r="F2047" s="55">
        <v>85</v>
      </c>
      <c r="G2047" s="55">
        <v>0</v>
      </c>
      <c r="H2047" s="55">
        <v>1</v>
      </c>
      <c r="I2047" s="55">
        <v>1</v>
      </c>
      <c r="J2047" s="55">
        <v>0</v>
      </c>
    </row>
    <row r="2048" spans="1:10" ht="15" x14ac:dyDescent="0.4">
      <c r="A2048" s="54">
        <v>46214</v>
      </c>
      <c r="B2048" s="55" t="s">
        <v>57</v>
      </c>
      <c r="C2048" s="55" t="s">
        <v>58</v>
      </c>
      <c r="D2048" s="57">
        <v>20867</v>
      </c>
      <c r="E2048" s="55">
        <v>4347</v>
      </c>
      <c r="F2048" s="55">
        <v>207</v>
      </c>
      <c r="G2048" s="55">
        <v>2</v>
      </c>
      <c r="H2048" s="55">
        <v>0</v>
      </c>
      <c r="I2048" s="55">
        <v>0</v>
      </c>
      <c r="J2048" s="55">
        <v>0</v>
      </c>
    </row>
    <row r="2049" spans="1:10" ht="15" x14ac:dyDescent="0.4">
      <c r="A2049" s="54">
        <v>46214</v>
      </c>
      <c r="B2049" s="55" t="s">
        <v>59</v>
      </c>
      <c r="C2049" s="55" t="s">
        <v>60</v>
      </c>
      <c r="D2049" s="57">
        <v>27423</v>
      </c>
      <c r="E2049" s="55">
        <v>5273</v>
      </c>
      <c r="F2049" s="55">
        <v>34</v>
      </c>
      <c r="G2049" s="55">
        <v>1</v>
      </c>
      <c r="H2049" s="55">
        <v>0</v>
      </c>
      <c r="I2049" s="55">
        <v>1</v>
      </c>
      <c r="J2049" s="55">
        <v>0</v>
      </c>
    </row>
    <row r="2050" spans="1:10" ht="15" x14ac:dyDescent="0.4">
      <c r="A2050" s="54">
        <v>46214</v>
      </c>
      <c r="B2050" s="55" t="s">
        <v>55</v>
      </c>
      <c r="C2050" s="55" t="s">
        <v>56</v>
      </c>
      <c r="D2050" s="57">
        <v>35664</v>
      </c>
      <c r="E2050" s="55">
        <v>25474</v>
      </c>
      <c r="F2050" s="55">
        <v>246</v>
      </c>
      <c r="G2050" s="55">
        <v>7</v>
      </c>
      <c r="H2050" s="55">
        <v>5</v>
      </c>
      <c r="I2050" s="55">
        <v>1</v>
      </c>
      <c r="J2050" s="55">
        <v>0</v>
      </c>
    </row>
    <row r="2051" spans="1:10" ht="15" x14ac:dyDescent="0.4">
      <c r="A2051" s="54">
        <v>46214</v>
      </c>
      <c r="B2051" s="55" t="s">
        <v>62</v>
      </c>
      <c r="C2051" s="55" t="s">
        <v>56</v>
      </c>
      <c r="D2051" s="57">
        <v>9768</v>
      </c>
      <c r="E2051" s="55">
        <v>6977</v>
      </c>
      <c r="F2051" s="55">
        <v>85</v>
      </c>
      <c r="G2051" s="55">
        <v>0</v>
      </c>
      <c r="H2051" s="55">
        <v>0</v>
      </c>
      <c r="I2051" s="55">
        <v>0</v>
      </c>
      <c r="J2051" s="55">
        <v>0</v>
      </c>
    </row>
    <row r="2052" spans="1:10" ht="15" x14ac:dyDescent="0.4">
      <c r="A2052" s="54">
        <v>46215</v>
      </c>
      <c r="B2052" s="55" t="s">
        <v>63</v>
      </c>
      <c r="C2052" s="55" t="s">
        <v>58</v>
      </c>
      <c r="D2052" s="57">
        <v>6827</v>
      </c>
      <c r="E2052" s="55">
        <v>1422</v>
      </c>
      <c r="F2052" s="55">
        <v>67</v>
      </c>
      <c r="G2052" s="55">
        <v>3</v>
      </c>
      <c r="H2052" s="55">
        <v>2</v>
      </c>
      <c r="I2052" s="55">
        <v>0</v>
      </c>
      <c r="J2052" s="55">
        <v>0</v>
      </c>
    </row>
    <row r="2053" spans="1:10" ht="15" x14ac:dyDescent="0.4">
      <c r="A2053" s="54">
        <v>46215</v>
      </c>
      <c r="B2053" s="55" t="s">
        <v>57</v>
      </c>
      <c r="C2053" s="55" t="s">
        <v>58</v>
      </c>
      <c r="D2053" s="57">
        <v>18636</v>
      </c>
      <c r="E2053" s="55">
        <v>3882</v>
      </c>
      <c r="F2053" s="55">
        <v>172</v>
      </c>
      <c r="G2053" s="55">
        <v>2</v>
      </c>
      <c r="H2053" s="55">
        <v>0</v>
      </c>
      <c r="I2053" s="55">
        <v>0</v>
      </c>
      <c r="J2053" s="55">
        <v>0</v>
      </c>
    </row>
    <row r="2054" spans="1:10" ht="15" x14ac:dyDescent="0.4">
      <c r="A2054" s="54">
        <v>46215</v>
      </c>
      <c r="B2054" s="55" t="s">
        <v>59</v>
      </c>
      <c r="C2054" s="55" t="s">
        <v>60</v>
      </c>
      <c r="D2054" s="57">
        <v>23958</v>
      </c>
      <c r="E2054" s="55">
        <v>4607</v>
      </c>
      <c r="F2054" s="55">
        <v>32</v>
      </c>
      <c r="G2054" s="55">
        <v>2</v>
      </c>
      <c r="H2054" s="55">
        <v>2</v>
      </c>
      <c r="I2054" s="55">
        <v>0</v>
      </c>
      <c r="J2054" s="55">
        <v>0</v>
      </c>
    </row>
    <row r="2055" spans="1:10" ht="15" x14ac:dyDescent="0.4">
      <c r="A2055" s="54">
        <v>46215</v>
      </c>
      <c r="B2055" s="55" t="s">
        <v>55</v>
      </c>
      <c r="C2055" s="55" t="s">
        <v>56</v>
      </c>
      <c r="D2055" s="57">
        <v>41553</v>
      </c>
      <c r="E2055" s="55">
        <v>29680</v>
      </c>
      <c r="F2055" s="55">
        <v>338</v>
      </c>
      <c r="G2055" s="55">
        <v>7</v>
      </c>
      <c r="H2055" s="55">
        <v>4</v>
      </c>
      <c r="I2055" s="55">
        <v>0</v>
      </c>
      <c r="J2055" s="55">
        <v>0</v>
      </c>
    </row>
    <row r="2056" spans="1:10" ht="15" x14ac:dyDescent="0.4">
      <c r="A2056" s="54">
        <v>46215</v>
      </c>
      <c r="B2056" s="55" t="s">
        <v>62</v>
      </c>
      <c r="C2056" s="55" t="s">
        <v>56</v>
      </c>
      <c r="D2056" s="57">
        <v>8913</v>
      </c>
      <c r="E2056" s="55">
        <v>6366</v>
      </c>
      <c r="F2056" s="55">
        <v>78</v>
      </c>
      <c r="G2056" s="55">
        <v>1</v>
      </c>
      <c r="H2056" s="55">
        <v>0</v>
      </c>
      <c r="I2056" s="55">
        <v>1</v>
      </c>
      <c r="J2056" s="55">
        <v>0</v>
      </c>
    </row>
    <row r="2057" spans="1:10" ht="15" x14ac:dyDescent="0.4">
      <c r="A2057" s="54">
        <v>46216</v>
      </c>
      <c r="B2057" s="55" t="s">
        <v>63</v>
      </c>
      <c r="C2057" s="55" t="s">
        <v>58</v>
      </c>
      <c r="D2057" s="57">
        <v>7304</v>
      </c>
      <c r="E2057" s="55">
        <v>1521</v>
      </c>
      <c r="F2057" s="55">
        <v>80</v>
      </c>
      <c r="G2057" s="55">
        <v>4</v>
      </c>
      <c r="H2057" s="55">
        <v>2</v>
      </c>
      <c r="I2057" s="55">
        <v>1</v>
      </c>
      <c r="J2057" s="55">
        <v>0</v>
      </c>
    </row>
    <row r="2058" spans="1:10" ht="15" x14ac:dyDescent="0.4">
      <c r="A2058" s="54">
        <v>46216</v>
      </c>
      <c r="B2058" s="55" t="s">
        <v>57</v>
      </c>
      <c r="C2058" s="55" t="s">
        <v>58</v>
      </c>
      <c r="D2058" s="57">
        <v>17348</v>
      </c>
      <c r="E2058" s="55">
        <v>3614</v>
      </c>
      <c r="F2058" s="55">
        <v>206</v>
      </c>
      <c r="G2058" s="55">
        <v>5</v>
      </c>
      <c r="H2058" s="55">
        <v>0</v>
      </c>
      <c r="I2058" s="55">
        <v>0</v>
      </c>
      <c r="J2058" s="55">
        <v>0</v>
      </c>
    </row>
    <row r="2059" spans="1:10" ht="15" x14ac:dyDescent="0.4">
      <c r="A2059" s="54">
        <v>46216</v>
      </c>
      <c r="B2059" s="55" t="s">
        <v>59</v>
      </c>
      <c r="C2059" s="55" t="s">
        <v>60</v>
      </c>
      <c r="D2059" s="57">
        <v>25772</v>
      </c>
      <c r="E2059" s="55">
        <v>4956</v>
      </c>
      <c r="F2059" s="55">
        <v>32</v>
      </c>
      <c r="G2059" s="55">
        <v>6</v>
      </c>
      <c r="H2059" s="55">
        <v>1</v>
      </c>
      <c r="I2059" s="55">
        <v>1</v>
      </c>
      <c r="J2059" s="55">
        <v>0</v>
      </c>
    </row>
    <row r="2060" spans="1:10" ht="15" x14ac:dyDescent="0.4">
      <c r="A2060" s="54">
        <v>46216</v>
      </c>
      <c r="B2060" s="55" t="s">
        <v>55</v>
      </c>
      <c r="C2060" s="55" t="s">
        <v>56</v>
      </c>
      <c r="D2060" s="57">
        <v>39119</v>
      </c>
      <c r="E2060" s="55">
        <v>27942</v>
      </c>
      <c r="F2060" s="55">
        <v>270</v>
      </c>
      <c r="G2060" s="55">
        <v>8</v>
      </c>
      <c r="H2060" s="55">
        <v>2</v>
      </c>
      <c r="I2060" s="55">
        <v>1</v>
      </c>
      <c r="J2060" s="55">
        <v>0</v>
      </c>
    </row>
    <row r="2061" spans="1:10" ht="15" x14ac:dyDescent="0.4">
      <c r="A2061" s="54">
        <v>46216</v>
      </c>
      <c r="B2061" s="55" t="s">
        <v>62</v>
      </c>
      <c r="C2061" s="55" t="s">
        <v>56</v>
      </c>
      <c r="D2061" s="57">
        <v>9092</v>
      </c>
      <c r="E2061" s="55">
        <v>6494</v>
      </c>
      <c r="F2061" s="55">
        <v>80</v>
      </c>
      <c r="G2061" s="55">
        <v>3</v>
      </c>
      <c r="H2061" s="55">
        <v>1</v>
      </c>
      <c r="I2061" s="55">
        <v>1</v>
      </c>
      <c r="J2061" s="55">
        <v>0</v>
      </c>
    </row>
    <row r="2062" spans="1:10" ht="15" x14ac:dyDescent="0.4">
      <c r="A2062" s="54">
        <v>46217</v>
      </c>
      <c r="B2062" s="55" t="s">
        <v>63</v>
      </c>
      <c r="C2062" s="55" t="s">
        <v>58</v>
      </c>
      <c r="D2062" s="57">
        <v>6754</v>
      </c>
      <c r="E2062" s="55">
        <v>1407</v>
      </c>
      <c r="F2062" s="55">
        <v>76</v>
      </c>
      <c r="G2062" s="55">
        <v>4</v>
      </c>
      <c r="H2062" s="55">
        <v>3</v>
      </c>
      <c r="I2062" s="55">
        <v>2</v>
      </c>
      <c r="J2062" s="55">
        <v>0</v>
      </c>
    </row>
    <row r="2063" spans="1:10" ht="15" x14ac:dyDescent="0.4">
      <c r="A2063" s="54">
        <v>46217</v>
      </c>
      <c r="B2063" s="55" t="s">
        <v>57</v>
      </c>
      <c r="C2063" s="55" t="s">
        <v>58</v>
      </c>
      <c r="D2063" s="57">
        <v>19337</v>
      </c>
      <c r="E2063" s="55">
        <v>4028</v>
      </c>
      <c r="F2063" s="55">
        <v>186</v>
      </c>
      <c r="G2063" s="55">
        <v>3</v>
      </c>
      <c r="H2063" s="55">
        <v>0</v>
      </c>
      <c r="I2063" s="55">
        <v>0</v>
      </c>
      <c r="J2063" s="55">
        <v>0</v>
      </c>
    </row>
    <row r="2064" spans="1:10" ht="15" x14ac:dyDescent="0.4">
      <c r="A2064" s="54">
        <v>46217</v>
      </c>
      <c r="B2064" s="55" t="s">
        <v>59</v>
      </c>
      <c r="C2064" s="55" t="s">
        <v>60</v>
      </c>
      <c r="D2064" s="57">
        <v>25302</v>
      </c>
      <c r="E2064" s="55">
        <v>4865</v>
      </c>
      <c r="F2064" s="55">
        <v>31</v>
      </c>
      <c r="G2064" s="55">
        <v>3</v>
      </c>
      <c r="H2064" s="55">
        <v>1</v>
      </c>
      <c r="I2064" s="55">
        <v>0</v>
      </c>
      <c r="J2064" s="55">
        <v>1</v>
      </c>
    </row>
    <row r="2065" spans="1:10" ht="15" x14ac:dyDescent="0.4">
      <c r="A2065" s="54">
        <v>46217</v>
      </c>
      <c r="B2065" s="55" t="s">
        <v>55</v>
      </c>
      <c r="C2065" s="55" t="s">
        <v>56</v>
      </c>
      <c r="D2065" s="57">
        <v>42004</v>
      </c>
      <c r="E2065" s="55">
        <v>30002</v>
      </c>
      <c r="F2065" s="55">
        <v>368</v>
      </c>
      <c r="G2065" s="55">
        <v>16</v>
      </c>
      <c r="H2065" s="55">
        <v>0</v>
      </c>
      <c r="I2065" s="55">
        <v>2</v>
      </c>
      <c r="J2065" s="55">
        <v>0</v>
      </c>
    </row>
    <row r="2066" spans="1:10" ht="15" x14ac:dyDescent="0.4">
      <c r="A2066" s="54">
        <v>46217</v>
      </c>
      <c r="B2066" s="55" t="s">
        <v>62</v>
      </c>
      <c r="C2066" s="55" t="s">
        <v>56</v>
      </c>
      <c r="D2066" s="57">
        <v>8425</v>
      </c>
      <c r="E2066" s="55">
        <v>6017</v>
      </c>
      <c r="F2066" s="55">
        <v>59</v>
      </c>
      <c r="G2066" s="55">
        <v>2</v>
      </c>
      <c r="H2066" s="55">
        <v>3</v>
      </c>
      <c r="I2066" s="55">
        <v>0</v>
      </c>
      <c r="J2066" s="55">
        <v>1</v>
      </c>
    </row>
    <row r="2067" spans="1:10" ht="15" x14ac:dyDescent="0.4">
      <c r="A2067" s="54">
        <v>46218</v>
      </c>
      <c r="B2067" s="55" t="s">
        <v>63</v>
      </c>
      <c r="C2067" s="55" t="s">
        <v>58</v>
      </c>
      <c r="D2067" s="57">
        <v>7009</v>
      </c>
      <c r="E2067" s="55">
        <v>1460</v>
      </c>
      <c r="F2067" s="55">
        <v>74</v>
      </c>
      <c r="G2067" s="55">
        <v>2</v>
      </c>
      <c r="H2067" s="55">
        <v>0</v>
      </c>
      <c r="I2067" s="55">
        <v>0</v>
      </c>
      <c r="J2067" s="55">
        <v>0</v>
      </c>
    </row>
    <row r="2068" spans="1:10" ht="15" x14ac:dyDescent="0.4">
      <c r="A2068" s="54">
        <v>46218</v>
      </c>
      <c r="B2068" s="55" t="s">
        <v>57</v>
      </c>
      <c r="C2068" s="55" t="s">
        <v>58</v>
      </c>
      <c r="D2068" s="57">
        <v>20421</v>
      </c>
      <c r="E2068" s="55">
        <v>4254</v>
      </c>
      <c r="F2068" s="55">
        <v>197</v>
      </c>
      <c r="G2068" s="55">
        <v>0</v>
      </c>
      <c r="H2068" s="55">
        <v>0</v>
      </c>
      <c r="I2068" s="55">
        <v>0</v>
      </c>
      <c r="J2068" s="55">
        <v>0</v>
      </c>
    </row>
    <row r="2069" spans="1:10" ht="15" x14ac:dyDescent="0.4">
      <c r="A2069" s="54">
        <v>46218</v>
      </c>
      <c r="B2069" s="55" t="s">
        <v>59</v>
      </c>
      <c r="C2069" s="55" t="s">
        <v>60</v>
      </c>
      <c r="D2069" s="57">
        <v>25427</v>
      </c>
      <c r="E2069" s="55">
        <v>4889</v>
      </c>
      <c r="F2069" s="55">
        <v>27</v>
      </c>
      <c r="G2069" s="55">
        <v>1</v>
      </c>
      <c r="H2069" s="55">
        <v>0</v>
      </c>
      <c r="I2069" s="55">
        <v>0</v>
      </c>
      <c r="J2069" s="55">
        <v>0</v>
      </c>
    </row>
    <row r="2070" spans="1:10" ht="15" x14ac:dyDescent="0.4">
      <c r="A2070" s="54">
        <v>46218</v>
      </c>
      <c r="B2070" s="55" t="s">
        <v>55</v>
      </c>
      <c r="C2070" s="55" t="s">
        <v>56</v>
      </c>
      <c r="D2070" s="57">
        <v>41965</v>
      </c>
      <c r="E2070" s="55">
        <v>29974</v>
      </c>
      <c r="F2070" s="55">
        <v>308</v>
      </c>
      <c r="G2070" s="55">
        <v>14</v>
      </c>
      <c r="H2070" s="55">
        <v>2</v>
      </c>
      <c r="I2070" s="55">
        <v>0</v>
      </c>
      <c r="J2070" s="55">
        <v>0</v>
      </c>
    </row>
    <row r="2071" spans="1:10" ht="15" x14ac:dyDescent="0.4">
      <c r="A2071" s="54">
        <v>46218</v>
      </c>
      <c r="B2071" s="55" t="s">
        <v>62</v>
      </c>
      <c r="C2071" s="55" t="s">
        <v>56</v>
      </c>
      <c r="D2071" s="57">
        <v>10236</v>
      </c>
      <c r="E2071" s="55">
        <v>7311</v>
      </c>
      <c r="F2071" s="55">
        <v>71</v>
      </c>
      <c r="G2071" s="55">
        <v>2</v>
      </c>
      <c r="H2071" s="55">
        <v>1</v>
      </c>
      <c r="I2071" s="55">
        <v>0</v>
      </c>
      <c r="J2071" s="55">
        <v>0</v>
      </c>
    </row>
    <row r="2072" spans="1:10" ht="15" x14ac:dyDescent="0.4">
      <c r="A2072" s="54">
        <v>46219</v>
      </c>
      <c r="B2072" s="55" t="s">
        <v>63</v>
      </c>
      <c r="C2072" s="55" t="s">
        <v>58</v>
      </c>
      <c r="D2072" s="57">
        <v>6392</v>
      </c>
      <c r="E2072" s="55">
        <v>1331</v>
      </c>
      <c r="F2072" s="55">
        <v>71</v>
      </c>
      <c r="G2072" s="55">
        <v>1</v>
      </c>
      <c r="H2072" s="55">
        <v>0</v>
      </c>
      <c r="I2072" s="55">
        <v>2</v>
      </c>
      <c r="J2072" s="55">
        <v>0</v>
      </c>
    </row>
    <row r="2073" spans="1:10" ht="15" x14ac:dyDescent="0.4">
      <c r="A2073" s="54">
        <v>46219</v>
      </c>
      <c r="B2073" s="55" t="s">
        <v>57</v>
      </c>
      <c r="C2073" s="55" t="s">
        <v>58</v>
      </c>
      <c r="D2073" s="57">
        <v>19703</v>
      </c>
      <c r="E2073" s="55">
        <v>4104</v>
      </c>
      <c r="F2073" s="55">
        <v>219</v>
      </c>
      <c r="G2073" s="55">
        <v>2</v>
      </c>
      <c r="H2073" s="55">
        <v>0</v>
      </c>
      <c r="I2073" s="55">
        <v>0</v>
      </c>
      <c r="J2073" s="55">
        <v>0</v>
      </c>
    </row>
    <row r="2074" spans="1:10" ht="15" x14ac:dyDescent="0.4">
      <c r="A2074" s="54">
        <v>46219</v>
      </c>
      <c r="B2074" s="55" t="s">
        <v>59</v>
      </c>
      <c r="C2074" s="55" t="s">
        <v>60</v>
      </c>
      <c r="D2074" s="57">
        <v>23847</v>
      </c>
      <c r="E2074" s="55">
        <v>4585</v>
      </c>
      <c r="F2074" s="55">
        <v>29</v>
      </c>
      <c r="G2074" s="55">
        <v>0</v>
      </c>
      <c r="H2074" s="55">
        <v>0</v>
      </c>
      <c r="I2074" s="55">
        <v>0</v>
      </c>
      <c r="J2074" s="55">
        <v>0</v>
      </c>
    </row>
    <row r="2075" spans="1:10" ht="15" x14ac:dyDescent="0.4">
      <c r="A2075" s="54">
        <v>46219</v>
      </c>
      <c r="B2075" s="55" t="s">
        <v>55</v>
      </c>
      <c r="C2075" s="55" t="s">
        <v>56</v>
      </c>
      <c r="D2075" s="57">
        <v>42681</v>
      </c>
      <c r="E2075" s="55">
        <v>30486</v>
      </c>
      <c r="F2075" s="55">
        <v>310</v>
      </c>
      <c r="G2075" s="55">
        <v>9</v>
      </c>
      <c r="H2075" s="55">
        <v>7</v>
      </c>
      <c r="I2075" s="55">
        <v>1</v>
      </c>
      <c r="J2075" s="55">
        <v>0</v>
      </c>
    </row>
    <row r="2076" spans="1:10" ht="15" x14ac:dyDescent="0.4">
      <c r="A2076" s="54">
        <v>46219</v>
      </c>
      <c r="B2076" s="55" t="s">
        <v>62</v>
      </c>
      <c r="C2076" s="55" t="s">
        <v>56</v>
      </c>
      <c r="D2076" s="57">
        <v>9730</v>
      </c>
      <c r="E2076" s="55">
        <v>6950</v>
      </c>
      <c r="F2076" s="55">
        <v>71</v>
      </c>
      <c r="G2076" s="55">
        <v>2</v>
      </c>
      <c r="H2076" s="55">
        <v>0</v>
      </c>
      <c r="I2076" s="55">
        <v>1</v>
      </c>
      <c r="J2076" s="55">
        <v>0</v>
      </c>
    </row>
    <row r="2077" spans="1:10" ht="15" x14ac:dyDescent="0.4">
      <c r="A2077" s="54">
        <v>46220</v>
      </c>
      <c r="B2077" s="55" t="s">
        <v>63</v>
      </c>
      <c r="C2077" s="55" t="s">
        <v>58</v>
      </c>
      <c r="D2077" s="57">
        <v>7332</v>
      </c>
      <c r="E2077" s="55">
        <v>1527</v>
      </c>
      <c r="F2077" s="55">
        <v>69</v>
      </c>
      <c r="G2077" s="55">
        <v>7</v>
      </c>
      <c r="H2077" s="55">
        <v>0</v>
      </c>
      <c r="I2077" s="55">
        <v>1</v>
      </c>
      <c r="J2077" s="55">
        <v>0</v>
      </c>
    </row>
    <row r="2078" spans="1:10" ht="15" x14ac:dyDescent="0.4">
      <c r="A2078" s="54">
        <v>46220</v>
      </c>
      <c r="B2078" s="55" t="s">
        <v>57</v>
      </c>
      <c r="C2078" s="55" t="s">
        <v>58</v>
      </c>
      <c r="D2078" s="57">
        <v>18205</v>
      </c>
      <c r="E2078" s="55">
        <v>3792</v>
      </c>
      <c r="F2078" s="55">
        <v>197</v>
      </c>
      <c r="G2078" s="55">
        <v>5</v>
      </c>
      <c r="H2078" s="55">
        <v>0</v>
      </c>
      <c r="I2078" s="55">
        <v>0</v>
      </c>
      <c r="J2078" s="55">
        <v>0</v>
      </c>
    </row>
    <row r="2079" spans="1:10" ht="15" x14ac:dyDescent="0.4">
      <c r="A2079" s="54">
        <v>46220</v>
      </c>
      <c r="B2079" s="55" t="s">
        <v>59</v>
      </c>
      <c r="C2079" s="55" t="s">
        <v>60</v>
      </c>
      <c r="D2079" s="57">
        <v>26990</v>
      </c>
      <c r="E2079" s="55">
        <v>5190</v>
      </c>
      <c r="F2079" s="55">
        <v>29</v>
      </c>
      <c r="G2079" s="55">
        <v>1</v>
      </c>
      <c r="H2079" s="55">
        <v>1</v>
      </c>
      <c r="I2079" s="55">
        <v>1</v>
      </c>
      <c r="J2079" s="55">
        <v>0</v>
      </c>
    </row>
    <row r="2080" spans="1:10" ht="15" x14ac:dyDescent="0.4">
      <c r="A2080" s="54">
        <v>46220</v>
      </c>
      <c r="B2080" s="55" t="s">
        <v>55</v>
      </c>
      <c r="C2080" s="55" t="s">
        <v>56</v>
      </c>
      <c r="D2080" s="57">
        <v>42516</v>
      </c>
      <c r="E2080" s="55">
        <v>30368</v>
      </c>
      <c r="F2080" s="55">
        <v>309</v>
      </c>
      <c r="G2080" s="55">
        <v>12</v>
      </c>
      <c r="H2080" s="55">
        <v>5</v>
      </c>
      <c r="I2080" s="55">
        <v>0</v>
      </c>
      <c r="J2080" s="55">
        <v>0</v>
      </c>
    </row>
    <row r="2081" spans="1:10" ht="15" x14ac:dyDescent="0.4">
      <c r="A2081" s="54">
        <v>46220</v>
      </c>
      <c r="B2081" s="55" t="s">
        <v>62</v>
      </c>
      <c r="C2081" s="55" t="s">
        <v>56</v>
      </c>
      <c r="D2081" s="57">
        <v>9165</v>
      </c>
      <c r="E2081" s="55">
        <v>6546</v>
      </c>
      <c r="F2081" s="55">
        <v>77</v>
      </c>
      <c r="G2081" s="55">
        <v>4</v>
      </c>
      <c r="H2081" s="55">
        <v>0</v>
      </c>
      <c r="I2081" s="55">
        <v>0</v>
      </c>
      <c r="J2081" s="55">
        <v>0</v>
      </c>
    </row>
    <row r="2082" spans="1:10" ht="15" x14ac:dyDescent="0.4">
      <c r="A2082" s="54">
        <v>46221</v>
      </c>
      <c r="B2082" s="55" t="s">
        <v>63</v>
      </c>
      <c r="C2082" s="55" t="s">
        <v>58</v>
      </c>
      <c r="D2082" s="57">
        <v>6185</v>
      </c>
      <c r="E2082" s="55">
        <v>1288</v>
      </c>
      <c r="F2082" s="55">
        <v>71</v>
      </c>
      <c r="G2082" s="55">
        <v>3</v>
      </c>
      <c r="H2082" s="55">
        <v>4</v>
      </c>
      <c r="I2082" s="55">
        <v>0</v>
      </c>
      <c r="J2082" s="55">
        <v>0</v>
      </c>
    </row>
    <row r="2083" spans="1:10" ht="15" x14ac:dyDescent="0.4">
      <c r="A2083" s="54">
        <v>46221</v>
      </c>
      <c r="B2083" s="55" t="s">
        <v>57</v>
      </c>
      <c r="C2083" s="55" t="s">
        <v>58</v>
      </c>
      <c r="D2083" s="57">
        <v>19194</v>
      </c>
      <c r="E2083" s="55">
        <v>3998</v>
      </c>
      <c r="F2083" s="55">
        <v>226</v>
      </c>
      <c r="G2083" s="55">
        <v>4</v>
      </c>
      <c r="H2083" s="55">
        <v>1</v>
      </c>
      <c r="I2083" s="55">
        <v>0</v>
      </c>
      <c r="J2083" s="55">
        <v>0</v>
      </c>
    </row>
    <row r="2084" spans="1:10" ht="15" x14ac:dyDescent="0.4">
      <c r="A2084" s="54">
        <v>46221</v>
      </c>
      <c r="B2084" s="55" t="s">
        <v>59</v>
      </c>
      <c r="C2084" s="55" t="s">
        <v>60</v>
      </c>
      <c r="D2084" s="57">
        <v>27676</v>
      </c>
      <c r="E2084" s="55">
        <v>5322</v>
      </c>
      <c r="F2084" s="55">
        <v>29</v>
      </c>
      <c r="G2084" s="55">
        <v>2</v>
      </c>
      <c r="H2084" s="55">
        <v>0</v>
      </c>
      <c r="I2084" s="55">
        <v>0</v>
      </c>
      <c r="J2084" s="55">
        <v>0</v>
      </c>
    </row>
    <row r="2085" spans="1:10" ht="15" x14ac:dyDescent="0.4">
      <c r="A2085" s="54">
        <v>46221</v>
      </c>
      <c r="B2085" s="55" t="s">
        <v>55</v>
      </c>
      <c r="C2085" s="55" t="s">
        <v>56</v>
      </c>
      <c r="D2085" s="57">
        <v>35650</v>
      </c>
      <c r="E2085" s="55">
        <v>25464</v>
      </c>
      <c r="F2085" s="55">
        <v>306</v>
      </c>
      <c r="G2085" s="55">
        <v>12</v>
      </c>
      <c r="H2085" s="55">
        <v>2</v>
      </c>
      <c r="I2085" s="55">
        <v>1</v>
      </c>
      <c r="J2085" s="55">
        <v>0</v>
      </c>
    </row>
    <row r="2086" spans="1:10" ht="15" x14ac:dyDescent="0.4">
      <c r="A2086" s="54">
        <v>46221</v>
      </c>
      <c r="B2086" s="55" t="s">
        <v>62</v>
      </c>
      <c r="C2086" s="55" t="s">
        <v>56</v>
      </c>
      <c r="D2086" s="57">
        <v>9398</v>
      </c>
      <c r="E2086" s="55">
        <v>6712</v>
      </c>
      <c r="F2086" s="55">
        <v>80</v>
      </c>
      <c r="G2086" s="55">
        <v>1</v>
      </c>
      <c r="H2086" s="55">
        <v>2</v>
      </c>
      <c r="I2086" s="55">
        <v>1</v>
      </c>
      <c r="J2086" s="55">
        <v>0</v>
      </c>
    </row>
    <row r="2087" spans="1:10" ht="15" x14ac:dyDescent="0.4">
      <c r="A2087" s="54">
        <v>46222</v>
      </c>
      <c r="B2087" s="55" t="s">
        <v>63</v>
      </c>
      <c r="C2087" s="55" t="s">
        <v>58</v>
      </c>
      <c r="D2087" s="57">
        <v>6553</v>
      </c>
      <c r="E2087" s="55">
        <v>1365</v>
      </c>
      <c r="F2087" s="55">
        <v>67</v>
      </c>
      <c r="G2087" s="55">
        <v>3</v>
      </c>
      <c r="H2087" s="55">
        <v>1</v>
      </c>
      <c r="I2087" s="55">
        <v>1</v>
      </c>
      <c r="J2087" s="55">
        <v>0</v>
      </c>
    </row>
    <row r="2088" spans="1:10" ht="15" x14ac:dyDescent="0.4">
      <c r="A2088" s="54">
        <v>46222</v>
      </c>
      <c r="B2088" s="55" t="s">
        <v>57</v>
      </c>
      <c r="C2088" s="55" t="s">
        <v>58</v>
      </c>
      <c r="D2088" s="57">
        <v>19830</v>
      </c>
      <c r="E2088" s="55">
        <v>4131</v>
      </c>
      <c r="F2088" s="55">
        <v>236</v>
      </c>
      <c r="G2088" s="55">
        <v>3</v>
      </c>
      <c r="H2088" s="55">
        <v>0</v>
      </c>
      <c r="I2088" s="55">
        <v>1</v>
      </c>
      <c r="J2088" s="55">
        <v>0</v>
      </c>
    </row>
    <row r="2089" spans="1:10" ht="15" x14ac:dyDescent="0.4">
      <c r="A2089" s="54">
        <v>46222</v>
      </c>
      <c r="B2089" s="55" t="s">
        <v>59</v>
      </c>
      <c r="C2089" s="55" t="s">
        <v>60</v>
      </c>
      <c r="D2089" s="57">
        <v>24495</v>
      </c>
      <c r="E2089" s="55">
        <v>4710</v>
      </c>
      <c r="F2089" s="55">
        <v>27</v>
      </c>
      <c r="G2089" s="55">
        <v>1</v>
      </c>
      <c r="H2089" s="55">
        <v>1</v>
      </c>
      <c r="I2089" s="55">
        <v>1</v>
      </c>
      <c r="J2089" s="55">
        <v>0</v>
      </c>
    </row>
    <row r="2090" spans="1:10" ht="15" x14ac:dyDescent="0.4">
      <c r="A2090" s="54">
        <v>46222</v>
      </c>
      <c r="B2090" s="55" t="s">
        <v>55</v>
      </c>
      <c r="C2090" s="55" t="s">
        <v>56</v>
      </c>
      <c r="D2090" s="57">
        <v>36932</v>
      </c>
      <c r="E2090" s="55">
        <v>26380</v>
      </c>
      <c r="F2090" s="55">
        <v>257</v>
      </c>
      <c r="G2090" s="55">
        <v>4</v>
      </c>
      <c r="H2090" s="55">
        <v>2</v>
      </c>
      <c r="I2090" s="55">
        <v>2</v>
      </c>
      <c r="J2090" s="55">
        <v>0</v>
      </c>
    </row>
    <row r="2091" spans="1:10" ht="15" x14ac:dyDescent="0.4">
      <c r="A2091" s="54">
        <v>46222</v>
      </c>
      <c r="B2091" s="55" t="s">
        <v>62</v>
      </c>
      <c r="C2091" s="55" t="s">
        <v>56</v>
      </c>
      <c r="D2091" s="57">
        <v>10130</v>
      </c>
      <c r="E2091" s="55">
        <v>7235</v>
      </c>
      <c r="F2091" s="55">
        <v>77</v>
      </c>
      <c r="G2091" s="55">
        <v>3</v>
      </c>
      <c r="H2091" s="55">
        <v>2</v>
      </c>
      <c r="I2091" s="55">
        <v>0</v>
      </c>
      <c r="J2091" s="55">
        <v>1</v>
      </c>
    </row>
    <row r="2092" spans="1:10" ht="15" x14ac:dyDescent="0.4">
      <c r="A2092" s="54">
        <v>46223</v>
      </c>
      <c r="B2092" s="55" t="s">
        <v>63</v>
      </c>
      <c r="C2092" s="55" t="s">
        <v>58</v>
      </c>
      <c r="D2092" s="57">
        <v>6338</v>
      </c>
      <c r="E2092" s="55">
        <v>1320</v>
      </c>
      <c r="F2092" s="55">
        <v>65</v>
      </c>
      <c r="G2092" s="55">
        <v>5</v>
      </c>
      <c r="H2092" s="55">
        <v>3</v>
      </c>
      <c r="I2092" s="55">
        <v>0</v>
      </c>
      <c r="J2092" s="55">
        <v>0</v>
      </c>
    </row>
    <row r="2093" spans="1:10" ht="15" x14ac:dyDescent="0.4">
      <c r="A2093" s="54">
        <v>46223</v>
      </c>
      <c r="B2093" s="55" t="s">
        <v>57</v>
      </c>
      <c r="C2093" s="55" t="s">
        <v>58</v>
      </c>
      <c r="D2093" s="57">
        <v>21013</v>
      </c>
      <c r="E2093" s="55">
        <v>4377</v>
      </c>
      <c r="F2093" s="55">
        <v>225</v>
      </c>
      <c r="G2093" s="55">
        <v>3</v>
      </c>
      <c r="H2093" s="55">
        <v>1</v>
      </c>
      <c r="I2093" s="55">
        <v>0</v>
      </c>
      <c r="J2093" s="55">
        <v>0</v>
      </c>
    </row>
    <row r="2094" spans="1:10" ht="15" x14ac:dyDescent="0.4">
      <c r="A2094" s="54">
        <v>46223</v>
      </c>
      <c r="B2094" s="55" t="s">
        <v>59</v>
      </c>
      <c r="C2094" s="55" t="s">
        <v>60</v>
      </c>
      <c r="D2094" s="57">
        <v>24062</v>
      </c>
      <c r="E2094" s="55">
        <v>4627</v>
      </c>
      <c r="F2094" s="55">
        <v>29</v>
      </c>
      <c r="G2094" s="55">
        <v>0</v>
      </c>
      <c r="H2094" s="55">
        <v>0</v>
      </c>
      <c r="I2094" s="55">
        <v>0</v>
      </c>
      <c r="J2094" s="55">
        <v>0</v>
      </c>
    </row>
    <row r="2095" spans="1:10" ht="15" x14ac:dyDescent="0.4">
      <c r="A2095" s="54">
        <v>46223</v>
      </c>
      <c r="B2095" s="55" t="s">
        <v>55</v>
      </c>
      <c r="C2095" s="55" t="s">
        <v>56</v>
      </c>
      <c r="D2095" s="57">
        <v>35411</v>
      </c>
      <c r="E2095" s="55">
        <v>25293</v>
      </c>
      <c r="F2095" s="55">
        <v>244</v>
      </c>
      <c r="G2095" s="55">
        <v>7</v>
      </c>
      <c r="H2095" s="55">
        <v>1</v>
      </c>
      <c r="I2095" s="55">
        <v>2</v>
      </c>
      <c r="J2095" s="55">
        <v>0</v>
      </c>
    </row>
    <row r="2096" spans="1:10" ht="15" x14ac:dyDescent="0.4">
      <c r="A2096" s="54">
        <v>46223</v>
      </c>
      <c r="B2096" s="55" t="s">
        <v>62</v>
      </c>
      <c r="C2096" s="55" t="s">
        <v>56</v>
      </c>
      <c r="D2096" s="57">
        <v>8846</v>
      </c>
      <c r="E2096" s="55">
        <v>6318</v>
      </c>
      <c r="F2096" s="55">
        <v>77</v>
      </c>
      <c r="G2096" s="55">
        <v>2</v>
      </c>
      <c r="H2096" s="55">
        <v>1</v>
      </c>
      <c r="I2096" s="55">
        <v>1</v>
      </c>
      <c r="J2096" s="55">
        <v>0</v>
      </c>
    </row>
    <row r="2097" spans="1:10" ht="15" x14ac:dyDescent="0.4">
      <c r="A2097" s="54">
        <v>46224</v>
      </c>
      <c r="B2097" s="55" t="s">
        <v>63</v>
      </c>
      <c r="C2097" s="55" t="s">
        <v>58</v>
      </c>
      <c r="D2097" s="57">
        <v>6740</v>
      </c>
      <c r="E2097" s="55">
        <v>1404</v>
      </c>
      <c r="F2097" s="55">
        <v>74</v>
      </c>
      <c r="G2097" s="55">
        <v>2</v>
      </c>
      <c r="H2097" s="55">
        <v>3</v>
      </c>
      <c r="I2097" s="55">
        <v>1</v>
      </c>
      <c r="J2097" s="55">
        <v>0</v>
      </c>
    </row>
    <row r="2098" spans="1:10" ht="15" x14ac:dyDescent="0.4">
      <c r="A2098" s="54">
        <v>46224</v>
      </c>
      <c r="B2098" s="55" t="s">
        <v>57</v>
      </c>
      <c r="C2098" s="55" t="s">
        <v>58</v>
      </c>
      <c r="D2098" s="57">
        <v>20901</v>
      </c>
      <c r="E2098" s="55">
        <v>4354</v>
      </c>
      <c r="F2098" s="55">
        <v>237</v>
      </c>
      <c r="G2098" s="55">
        <v>3</v>
      </c>
      <c r="H2098" s="55">
        <v>0</v>
      </c>
      <c r="I2098" s="55">
        <v>0</v>
      </c>
      <c r="J2098" s="55">
        <v>0</v>
      </c>
    </row>
    <row r="2099" spans="1:10" ht="15" x14ac:dyDescent="0.4">
      <c r="A2099" s="54">
        <v>46224</v>
      </c>
      <c r="B2099" s="55" t="s">
        <v>59</v>
      </c>
      <c r="C2099" s="55" t="s">
        <v>60</v>
      </c>
      <c r="D2099" s="57">
        <v>26230</v>
      </c>
      <c r="E2099" s="55">
        <v>5044</v>
      </c>
      <c r="F2099" s="55">
        <v>32</v>
      </c>
      <c r="G2099" s="55">
        <v>4</v>
      </c>
      <c r="H2099" s="55">
        <v>1</v>
      </c>
      <c r="I2099" s="55">
        <v>1</v>
      </c>
      <c r="J2099" s="55">
        <v>0</v>
      </c>
    </row>
    <row r="2100" spans="1:10" ht="15" x14ac:dyDescent="0.4">
      <c r="A2100" s="54">
        <v>46224</v>
      </c>
      <c r="B2100" s="55" t="s">
        <v>55</v>
      </c>
      <c r="C2100" s="55" t="s">
        <v>56</v>
      </c>
      <c r="D2100" s="57">
        <v>36322</v>
      </c>
      <c r="E2100" s="55">
        <v>25944</v>
      </c>
      <c r="F2100" s="55">
        <v>305</v>
      </c>
      <c r="G2100" s="55">
        <v>10</v>
      </c>
      <c r="H2100" s="55">
        <v>1</v>
      </c>
      <c r="I2100" s="55">
        <v>3</v>
      </c>
      <c r="J2100" s="55">
        <v>0</v>
      </c>
    </row>
    <row r="2101" spans="1:10" ht="15" x14ac:dyDescent="0.4">
      <c r="A2101" s="54">
        <v>46224</v>
      </c>
      <c r="B2101" s="55" t="s">
        <v>62</v>
      </c>
      <c r="C2101" s="55" t="s">
        <v>56</v>
      </c>
      <c r="D2101" s="57">
        <v>8961</v>
      </c>
      <c r="E2101" s="55">
        <v>6400</v>
      </c>
      <c r="F2101" s="55">
        <v>62</v>
      </c>
      <c r="G2101" s="55">
        <v>3</v>
      </c>
      <c r="H2101" s="55">
        <v>0</v>
      </c>
      <c r="I2101" s="55">
        <v>1</v>
      </c>
      <c r="J2101" s="55">
        <v>0</v>
      </c>
    </row>
    <row r="2102" spans="1:10" ht="15" x14ac:dyDescent="0.4">
      <c r="A2102" s="54">
        <v>46225</v>
      </c>
      <c r="B2102" s="55" t="s">
        <v>63</v>
      </c>
      <c r="C2102" s="55" t="s">
        <v>58</v>
      </c>
      <c r="D2102" s="57">
        <v>7364</v>
      </c>
      <c r="E2102" s="55">
        <v>1534</v>
      </c>
      <c r="F2102" s="55">
        <v>68</v>
      </c>
      <c r="G2102" s="55">
        <v>6</v>
      </c>
      <c r="H2102" s="55">
        <v>1</v>
      </c>
      <c r="I2102" s="55">
        <v>2</v>
      </c>
      <c r="J2102" s="55">
        <v>0</v>
      </c>
    </row>
    <row r="2103" spans="1:10" ht="15" x14ac:dyDescent="0.4">
      <c r="A2103" s="54">
        <v>46225</v>
      </c>
      <c r="B2103" s="55" t="s">
        <v>57</v>
      </c>
      <c r="C2103" s="55" t="s">
        <v>58</v>
      </c>
      <c r="D2103" s="57">
        <v>18781</v>
      </c>
      <c r="E2103" s="55">
        <v>3912</v>
      </c>
      <c r="F2103" s="55">
        <v>227</v>
      </c>
      <c r="G2103" s="55">
        <v>4</v>
      </c>
      <c r="H2103" s="55">
        <v>0</v>
      </c>
      <c r="I2103" s="55">
        <v>0</v>
      </c>
      <c r="J2103" s="55">
        <v>0</v>
      </c>
    </row>
    <row r="2104" spans="1:10" ht="15" x14ac:dyDescent="0.4">
      <c r="A2104" s="54">
        <v>46225</v>
      </c>
      <c r="B2104" s="55" t="s">
        <v>59</v>
      </c>
      <c r="C2104" s="55" t="s">
        <v>60</v>
      </c>
      <c r="D2104" s="57">
        <v>27797</v>
      </c>
      <c r="E2104" s="55">
        <v>5345</v>
      </c>
      <c r="F2104" s="55">
        <v>33</v>
      </c>
      <c r="G2104" s="55">
        <v>0</v>
      </c>
      <c r="H2104" s="55">
        <v>0</v>
      </c>
      <c r="I2104" s="55">
        <v>0</v>
      </c>
      <c r="J2104" s="55">
        <v>0</v>
      </c>
    </row>
    <row r="2105" spans="1:10" ht="15" x14ac:dyDescent="0.4">
      <c r="A2105" s="54">
        <v>46225</v>
      </c>
      <c r="B2105" s="55" t="s">
        <v>55</v>
      </c>
      <c r="C2105" s="55" t="s">
        <v>56</v>
      </c>
      <c r="D2105" s="57">
        <v>42281</v>
      </c>
      <c r="E2105" s="55">
        <v>30200</v>
      </c>
      <c r="F2105" s="55">
        <v>376</v>
      </c>
      <c r="G2105" s="55">
        <v>19</v>
      </c>
      <c r="H2105" s="55">
        <v>0</v>
      </c>
      <c r="I2105" s="55">
        <v>1</v>
      </c>
      <c r="J2105" s="55">
        <v>1</v>
      </c>
    </row>
    <row r="2106" spans="1:10" ht="15" x14ac:dyDescent="0.4">
      <c r="A2106" s="54">
        <v>46225</v>
      </c>
      <c r="B2106" s="55" t="s">
        <v>62</v>
      </c>
      <c r="C2106" s="55" t="s">
        <v>56</v>
      </c>
      <c r="D2106" s="57">
        <v>8919</v>
      </c>
      <c r="E2106" s="55">
        <v>6370</v>
      </c>
      <c r="F2106" s="55">
        <v>67</v>
      </c>
      <c r="G2106" s="55">
        <v>1</v>
      </c>
      <c r="H2106" s="55">
        <v>2</v>
      </c>
      <c r="I2106" s="55">
        <v>0</v>
      </c>
      <c r="J2106" s="55">
        <v>0</v>
      </c>
    </row>
    <row r="2107" spans="1:10" ht="15" x14ac:dyDescent="0.4">
      <c r="A2107" s="54">
        <v>46226</v>
      </c>
      <c r="B2107" s="55" t="s">
        <v>63</v>
      </c>
      <c r="C2107" s="55" t="s">
        <v>58</v>
      </c>
      <c r="D2107" s="57">
        <v>7047</v>
      </c>
      <c r="E2107" s="55">
        <v>1468</v>
      </c>
      <c r="F2107" s="55">
        <v>79</v>
      </c>
      <c r="G2107" s="55">
        <v>1</v>
      </c>
      <c r="H2107" s="55">
        <v>3</v>
      </c>
      <c r="I2107" s="55">
        <v>2</v>
      </c>
      <c r="J2107" s="55">
        <v>0</v>
      </c>
    </row>
    <row r="2108" spans="1:10" ht="15" x14ac:dyDescent="0.4">
      <c r="A2108" s="54">
        <v>46226</v>
      </c>
      <c r="B2108" s="55" t="s">
        <v>57</v>
      </c>
      <c r="C2108" s="55" t="s">
        <v>58</v>
      </c>
      <c r="D2108" s="57">
        <v>18350</v>
      </c>
      <c r="E2108" s="55">
        <v>3822</v>
      </c>
      <c r="F2108" s="55">
        <v>188</v>
      </c>
      <c r="G2108" s="55">
        <v>1</v>
      </c>
      <c r="H2108" s="55">
        <v>1</v>
      </c>
      <c r="I2108" s="55">
        <v>0</v>
      </c>
      <c r="J2108" s="55">
        <v>0</v>
      </c>
    </row>
    <row r="2109" spans="1:10" ht="15" x14ac:dyDescent="0.4">
      <c r="A2109" s="54">
        <v>46226</v>
      </c>
      <c r="B2109" s="55" t="s">
        <v>59</v>
      </c>
      <c r="C2109" s="55" t="s">
        <v>60</v>
      </c>
      <c r="D2109" s="57">
        <v>26458</v>
      </c>
      <c r="E2109" s="55">
        <v>5088</v>
      </c>
      <c r="F2109" s="55">
        <v>33</v>
      </c>
      <c r="G2109" s="55">
        <v>3</v>
      </c>
      <c r="H2109" s="55">
        <v>1</v>
      </c>
      <c r="I2109" s="55">
        <v>1</v>
      </c>
      <c r="J2109" s="55">
        <v>0</v>
      </c>
    </row>
    <row r="2110" spans="1:10" ht="15" x14ac:dyDescent="0.4">
      <c r="A2110" s="54">
        <v>46226</v>
      </c>
      <c r="B2110" s="55" t="s">
        <v>55</v>
      </c>
      <c r="C2110" s="55" t="s">
        <v>56</v>
      </c>
      <c r="D2110" s="57">
        <v>40365</v>
      </c>
      <c r="E2110" s="55">
        <v>28832</v>
      </c>
      <c r="F2110" s="55">
        <v>309</v>
      </c>
      <c r="G2110" s="55">
        <v>16</v>
      </c>
      <c r="H2110" s="55">
        <v>3</v>
      </c>
      <c r="I2110" s="55">
        <v>0</v>
      </c>
      <c r="J2110" s="55">
        <v>0</v>
      </c>
    </row>
    <row r="2111" spans="1:10" ht="15" x14ac:dyDescent="0.4">
      <c r="A2111" s="54">
        <v>46226</v>
      </c>
      <c r="B2111" s="55" t="s">
        <v>62</v>
      </c>
      <c r="C2111" s="55" t="s">
        <v>56</v>
      </c>
      <c r="D2111" s="57">
        <v>10238</v>
      </c>
      <c r="E2111" s="55">
        <v>7312</v>
      </c>
      <c r="F2111" s="55">
        <v>74</v>
      </c>
      <c r="G2111" s="55">
        <v>6</v>
      </c>
      <c r="H2111" s="55">
        <v>1</v>
      </c>
      <c r="I2111" s="55">
        <v>2</v>
      </c>
      <c r="J2111" s="55">
        <v>0</v>
      </c>
    </row>
    <row r="2112" spans="1:10" ht="15" x14ac:dyDescent="0.4">
      <c r="A2112" s="54">
        <v>46227</v>
      </c>
      <c r="B2112" s="55" t="s">
        <v>63</v>
      </c>
      <c r="C2112" s="55" t="s">
        <v>58</v>
      </c>
      <c r="D2112" s="57">
        <v>7203</v>
      </c>
      <c r="E2112" s="55">
        <v>1500</v>
      </c>
      <c r="F2112" s="55">
        <v>88</v>
      </c>
      <c r="G2112" s="55">
        <v>6</v>
      </c>
      <c r="H2112" s="55">
        <v>1</v>
      </c>
      <c r="I2112" s="55">
        <v>1</v>
      </c>
      <c r="J2112" s="55">
        <v>1</v>
      </c>
    </row>
    <row r="2113" spans="1:10" ht="15" x14ac:dyDescent="0.4">
      <c r="A2113" s="54">
        <v>46227</v>
      </c>
      <c r="B2113" s="55" t="s">
        <v>57</v>
      </c>
      <c r="C2113" s="55" t="s">
        <v>58</v>
      </c>
      <c r="D2113" s="57">
        <v>17243</v>
      </c>
      <c r="E2113" s="55">
        <v>3592</v>
      </c>
      <c r="F2113" s="55">
        <v>172</v>
      </c>
      <c r="G2113" s="55">
        <v>1</v>
      </c>
      <c r="H2113" s="55">
        <v>2</v>
      </c>
      <c r="I2113" s="55">
        <v>0</v>
      </c>
      <c r="J2113" s="55">
        <v>0</v>
      </c>
    </row>
    <row r="2114" spans="1:10" ht="15" x14ac:dyDescent="0.4">
      <c r="A2114" s="54">
        <v>46227</v>
      </c>
      <c r="B2114" s="55" t="s">
        <v>59</v>
      </c>
      <c r="C2114" s="55" t="s">
        <v>60</v>
      </c>
      <c r="D2114" s="57">
        <v>23040</v>
      </c>
      <c r="E2114" s="55">
        <v>4430</v>
      </c>
      <c r="F2114" s="55">
        <v>30</v>
      </c>
      <c r="G2114" s="55">
        <v>2</v>
      </c>
      <c r="H2114" s="55">
        <v>0</v>
      </c>
      <c r="I2114" s="55">
        <v>0</v>
      </c>
      <c r="J2114" s="55">
        <v>0</v>
      </c>
    </row>
    <row r="2115" spans="1:10" ht="15" x14ac:dyDescent="0.4">
      <c r="A2115" s="54">
        <v>46227</v>
      </c>
      <c r="B2115" s="55" t="s">
        <v>55</v>
      </c>
      <c r="C2115" s="55" t="s">
        <v>56</v>
      </c>
      <c r="D2115" s="57">
        <v>40199</v>
      </c>
      <c r="E2115" s="55">
        <v>28713</v>
      </c>
      <c r="F2115" s="55">
        <v>270</v>
      </c>
      <c r="G2115" s="55">
        <v>10</v>
      </c>
      <c r="H2115" s="55">
        <v>4</v>
      </c>
      <c r="I2115" s="55">
        <v>0</v>
      </c>
      <c r="J2115" s="55">
        <v>0</v>
      </c>
    </row>
    <row r="2116" spans="1:10" ht="15" x14ac:dyDescent="0.4">
      <c r="A2116" s="54">
        <v>46227</v>
      </c>
      <c r="B2116" s="55" t="s">
        <v>62</v>
      </c>
      <c r="C2116" s="55" t="s">
        <v>56</v>
      </c>
      <c r="D2116" s="57">
        <v>9677</v>
      </c>
      <c r="E2116" s="55">
        <v>6912</v>
      </c>
      <c r="F2116" s="55">
        <v>75</v>
      </c>
      <c r="G2116" s="55">
        <v>1</v>
      </c>
      <c r="H2116" s="55">
        <v>0</v>
      </c>
      <c r="I2116" s="55">
        <v>1</v>
      </c>
      <c r="J2116" s="55">
        <v>1</v>
      </c>
    </row>
    <row r="2117" spans="1:10" ht="15" x14ac:dyDescent="0.4">
      <c r="A2117" s="54">
        <v>46228</v>
      </c>
      <c r="B2117" s="55" t="s">
        <v>63</v>
      </c>
      <c r="C2117" s="55" t="s">
        <v>58</v>
      </c>
      <c r="D2117" s="57">
        <v>7099</v>
      </c>
      <c r="E2117" s="55">
        <v>1478</v>
      </c>
      <c r="F2117" s="55">
        <v>69</v>
      </c>
      <c r="G2117" s="55">
        <v>6</v>
      </c>
      <c r="H2117" s="55">
        <v>1</v>
      </c>
      <c r="I2117" s="55">
        <v>2</v>
      </c>
      <c r="J2117" s="55">
        <v>0</v>
      </c>
    </row>
    <row r="2118" spans="1:10" ht="15" x14ac:dyDescent="0.4">
      <c r="A2118" s="54">
        <v>46228</v>
      </c>
      <c r="B2118" s="55" t="s">
        <v>57</v>
      </c>
      <c r="C2118" s="55" t="s">
        <v>58</v>
      </c>
      <c r="D2118" s="57">
        <v>19780</v>
      </c>
      <c r="E2118" s="55">
        <v>4120</v>
      </c>
      <c r="F2118" s="55">
        <v>191</v>
      </c>
      <c r="G2118" s="55">
        <v>4</v>
      </c>
      <c r="H2118" s="55">
        <v>1</v>
      </c>
      <c r="I2118" s="55">
        <v>0</v>
      </c>
      <c r="J2118" s="55">
        <v>0</v>
      </c>
    </row>
    <row r="2119" spans="1:10" ht="15" x14ac:dyDescent="0.4">
      <c r="A2119" s="54">
        <v>46228</v>
      </c>
      <c r="B2119" s="55" t="s">
        <v>59</v>
      </c>
      <c r="C2119" s="55" t="s">
        <v>60</v>
      </c>
      <c r="D2119" s="57">
        <v>24605</v>
      </c>
      <c r="E2119" s="55">
        <v>4731</v>
      </c>
      <c r="F2119" s="55">
        <v>28</v>
      </c>
      <c r="G2119" s="55">
        <v>4</v>
      </c>
      <c r="H2119" s="55">
        <v>0</v>
      </c>
      <c r="I2119" s="55">
        <v>0</v>
      </c>
      <c r="J2119" s="55">
        <v>0</v>
      </c>
    </row>
    <row r="2120" spans="1:10" ht="15" x14ac:dyDescent="0.4">
      <c r="A2120" s="54">
        <v>46228</v>
      </c>
      <c r="B2120" s="55" t="s">
        <v>55</v>
      </c>
      <c r="C2120" s="55" t="s">
        <v>56</v>
      </c>
      <c r="D2120" s="57">
        <v>40514</v>
      </c>
      <c r="E2120" s="55">
        <v>28938</v>
      </c>
      <c r="F2120" s="55">
        <v>353</v>
      </c>
      <c r="G2120" s="55">
        <v>8</v>
      </c>
      <c r="H2120" s="55">
        <v>3</v>
      </c>
      <c r="I2120" s="55">
        <v>0</v>
      </c>
      <c r="J2120" s="55">
        <v>1</v>
      </c>
    </row>
    <row r="2121" spans="1:10" ht="15" x14ac:dyDescent="0.4">
      <c r="A2121" s="54">
        <v>46228</v>
      </c>
      <c r="B2121" s="55" t="s">
        <v>62</v>
      </c>
      <c r="C2121" s="55" t="s">
        <v>56</v>
      </c>
      <c r="D2121" s="57">
        <v>8847</v>
      </c>
      <c r="E2121" s="55">
        <v>6319</v>
      </c>
      <c r="F2121" s="55">
        <v>59</v>
      </c>
      <c r="G2121" s="55">
        <v>2</v>
      </c>
      <c r="H2121" s="55">
        <v>1</v>
      </c>
      <c r="I2121" s="55">
        <v>2</v>
      </c>
      <c r="J2121" s="55">
        <v>0</v>
      </c>
    </row>
    <row r="2122" spans="1:10" ht="15" x14ac:dyDescent="0.4">
      <c r="A2122" s="54">
        <v>46229</v>
      </c>
      <c r="B2122" s="55" t="s">
        <v>63</v>
      </c>
      <c r="C2122" s="55" t="s">
        <v>58</v>
      </c>
      <c r="D2122" s="57">
        <v>6468</v>
      </c>
      <c r="E2122" s="55">
        <v>1347</v>
      </c>
      <c r="F2122" s="55">
        <v>70</v>
      </c>
      <c r="G2122" s="55">
        <v>5</v>
      </c>
      <c r="H2122" s="55">
        <v>2</v>
      </c>
      <c r="I2122" s="55">
        <v>0</v>
      </c>
      <c r="J2122" s="55">
        <v>0</v>
      </c>
    </row>
    <row r="2123" spans="1:10" ht="15" x14ac:dyDescent="0.4">
      <c r="A2123" s="54">
        <v>46229</v>
      </c>
      <c r="B2123" s="55" t="s">
        <v>57</v>
      </c>
      <c r="C2123" s="55" t="s">
        <v>58</v>
      </c>
      <c r="D2123" s="57">
        <v>20855</v>
      </c>
      <c r="E2123" s="55">
        <v>4344</v>
      </c>
      <c r="F2123" s="55">
        <v>216</v>
      </c>
      <c r="G2123" s="55">
        <v>4</v>
      </c>
      <c r="H2123" s="55">
        <v>1</v>
      </c>
      <c r="I2123" s="55">
        <v>0</v>
      </c>
      <c r="J2123" s="55">
        <v>0</v>
      </c>
    </row>
    <row r="2124" spans="1:10" ht="15" x14ac:dyDescent="0.4">
      <c r="A2124" s="54">
        <v>46229</v>
      </c>
      <c r="B2124" s="55" t="s">
        <v>59</v>
      </c>
      <c r="C2124" s="55" t="s">
        <v>60</v>
      </c>
      <c r="D2124" s="57">
        <v>24808</v>
      </c>
      <c r="E2124" s="55">
        <v>4770</v>
      </c>
      <c r="F2124" s="55">
        <v>34</v>
      </c>
      <c r="G2124" s="55">
        <v>0</v>
      </c>
      <c r="H2124" s="55">
        <v>0</v>
      </c>
      <c r="I2124" s="55">
        <v>0</v>
      </c>
      <c r="J2124" s="55">
        <v>2</v>
      </c>
    </row>
    <row r="2125" spans="1:10" ht="15" x14ac:dyDescent="0.4">
      <c r="A2125" s="54">
        <v>46229</v>
      </c>
      <c r="B2125" s="55" t="s">
        <v>55</v>
      </c>
      <c r="C2125" s="55" t="s">
        <v>56</v>
      </c>
      <c r="D2125" s="57">
        <v>38543</v>
      </c>
      <c r="E2125" s="55">
        <v>27530</v>
      </c>
      <c r="F2125" s="55">
        <v>342</v>
      </c>
      <c r="G2125" s="55">
        <v>6</v>
      </c>
      <c r="H2125" s="55">
        <v>6</v>
      </c>
      <c r="I2125" s="55">
        <v>3</v>
      </c>
      <c r="J2125" s="55">
        <v>0</v>
      </c>
    </row>
    <row r="2126" spans="1:10" ht="15" x14ac:dyDescent="0.4">
      <c r="A2126" s="54">
        <v>46229</v>
      </c>
      <c r="B2126" s="55" t="s">
        <v>62</v>
      </c>
      <c r="C2126" s="55" t="s">
        <v>56</v>
      </c>
      <c r="D2126" s="57">
        <v>9003</v>
      </c>
      <c r="E2126" s="55">
        <v>6430</v>
      </c>
      <c r="F2126" s="55">
        <v>79</v>
      </c>
      <c r="G2126" s="55">
        <v>5</v>
      </c>
      <c r="H2126" s="55">
        <v>0</v>
      </c>
      <c r="I2126" s="55">
        <v>0</v>
      </c>
      <c r="J2126" s="55">
        <v>0</v>
      </c>
    </row>
    <row r="2127" spans="1:10" ht="15" x14ac:dyDescent="0.4">
      <c r="A2127" s="54">
        <v>46230</v>
      </c>
      <c r="B2127" s="55" t="s">
        <v>63</v>
      </c>
      <c r="C2127" s="55" t="s">
        <v>58</v>
      </c>
      <c r="D2127" s="57">
        <v>6172</v>
      </c>
      <c r="E2127" s="55">
        <v>1285</v>
      </c>
      <c r="F2127" s="55">
        <v>66</v>
      </c>
      <c r="G2127" s="55">
        <v>1</v>
      </c>
      <c r="H2127" s="55">
        <v>5</v>
      </c>
      <c r="I2127" s="55">
        <v>0</v>
      </c>
      <c r="J2127" s="55">
        <v>0</v>
      </c>
    </row>
    <row r="2128" spans="1:10" ht="15" x14ac:dyDescent="0.4">
      <c r="A2128" s="54">
        <v>46230</v>
      </c>
      <c r="B2128" s="55" t="s">
        <v>57</v>
      </c>
      <c r="C2128" s="55" t="s">
        <v>58</v>
      </c>
      <c r="D2128" s="57">
        <v>21021</v>
      </c>
      <c r="E2128" s="55">
        <v>4379</v>
      </c>
      <c r="F2128" s="55">
        <v>238</v>
      </c>
      <c r="G2128" s="55">
        <v>1</v>
      </c>
      <c r="H2128" s="55">
        <v>0</v>
      </c>
      <c r="I2128" s="55">
        <v>0</v>
      </c>
      <c r="J2128" s="55">
        <v>0</v>
      </c>
    </row>
    <row r="2129" spans="1:10" ht="15" x14ac:dyDescent="0.4">
      <c r="A2129" s="54">
        <v>46230</v>
      </c>
      <c r="B2129" s="55" t="s">
        <v>59</v>
      </c>
      <c r="C2129" s="55" t="s">
        <v>60</v>
      </c>
      <c r="D2129" s="57">
        <v>25938</v>
      </c>
      <c r="E2129" s="55">
        <v>4988</v>
      </c>
      <c r="F2129" s="55">
        <v>35</v>
      </c>
      <c r="G2129" s="55">
        <v>3</v>
      </c>
      <c r="H2129" s="55">
        <v>0</v>
      </c>
      <c r="I2129" s="55">
        <v>0</v>
      </c>
      <c r="J2129" s="55">
        <v>0</v>
      </c>
    </row>
    <row r="2130" spans="1:10" ht="15" x14ac:dyDescent="0.4">
      <c r="A2130" s="54">
        <v>46230</v>
      </c>
      <c r="B2130" s="55" t="s">
        <v>55</v>
      </c>
      <c r="C2130" s="55" t="s">
        <v>56</v>
      </c>
      <c r="D2130" s="57">
        <v>41129</v>
      </c>
      <c r="E2130" s="55">
        <v>29377</v>
      </c>
      <c r="F2130" s="55">
        <v>353</v>
      </c>
      <c r="G2130" s="55">
        <v>11</v>
      </c>
      <c r="H2130" s="55">
        <v>4</v>
      </c>
      <c r="I2130" s="55">
        <v>2</v>
      </c>
      <c r="J2130" s="55">
        <v>1</v>
      </c>
    </row>
    <row r="2131" spans="1:10" ht="15" x14ac:dyDescent="0.4">
      <c r="A2131" s="54">
        <v>46230</v>
      </c>
      <c r="B2131" s="55" t="s">
        <v>62</v>
      </c>
      <c r="C2131" s="55" t="s">
        <v>56</v>
      </c>
      <c r="D2131" s="57">
        <v>10241</v>
      </c>
      <c r="E2131" s="55">
        <v>7314</v>
      </c>
      <c r="F2131" s="55">
        <v>81</v>
      </c>
      <c r="G2131" s="55">
        <v>1</v>
      </c>
      <c r="H2131" s="55">
        <v>4</v>
      </c>
      <c r="I2131" s="55">
        <v>0</v>
      </c>
      <c r="J2131" s="55">
        <v>0</v>
      </c>
    </row>
    <row r="2132" spans="1:10" ht="15" x14ac:dyDescent="0.4">
      <c r="A2132" s="54">
        <v>46231</v>
      </c>
      <c r="B2132" s="55" t="s">
        <v>63</v>
      </c>
      <c r="C2132" s="55" t="s">
        <v>58</v>
      </c>
      <c r="D2132" s="57">
        <v>7515</v>
      </c>
      <c r="E2132" s="55">
        <v>1565</v>
      </c>
      <c r="F2132" s="55">
        <v>73</v>
      </c>
      <c r="G2132" s="55">
        <v>3</v>
      </c>
      <c r="H2132" s="55">
        <v>0</v>
      </c>
      <c r="I2132" s="55">
        <v>2</v>
      </c>
      <c r="J2132" s="55">
        <v>0</v>
      </c>
    </row>
    <row r="2133" spans="1:10" ht="15" x14ac:dyDescent="0.4">
      <c r="A2133" s="54">
        <v>46231</v>
      </c>
      <c r="B2133" s="55" t="s">
        <v>57</v>
      </c>
      <c r="C2133" s="55" t="s">
        <v>58</v>
      </c>
      <c r="D2133" s="57">
        <v>20053</v>
      </c>
      <c r="E2133" s="55">
        <v>4177</v>
      </c>
      <c r="F2133" s="55">
        <v>203</v>
      </c>
      <c r="G2133" s="55">
        <v>2</v>
      </c>
      <c r="H2133" s="55">
        <v>2</v>
      </c>
      <c r="I2133" s="55">
        <v>1</v>
      </c>
      <c r="J2133" s="55">
        <v>0</v>
      </c>
    </row>
    <row r="2134" spans="1:10" ht="15" x14ac:dyDescent="0.4">
      <c r="A2134" s="54">
        <v>46231</v>
      </c>
      <c r="B2134" s="55" t="s">
        <v>59</v>
      </c>
      <c r="C2134" s="55" t="s">
        <v>60</v>
      </c>
      <c r="D2134" s="57">
        <v>24817</v>
      </c>
      <c r="E2134" s="55">
        <v>4772</v>
      </c>
      <c r="F2134" s="55">
        <v>32</v>
      </c>
      <c r="G2134" s="55">
        <v>0</v>
      </c>
      <c r="H2134" s="55">
        <v>2</v>
      </c>
      <c r="I2134" s="55">
        <v>0</v>
      </c>
      <c r="J2134" s="55">
        <v>0</v>
      </c>
    </row>
    <row r="2135" spans="1:10" ht="15" x14ac:dyDescent="0.4">
      <c r="A2135" s="54">
        <v>46231</v>
      </c>
      <c r="B2135" s="55" t="s">
        <v>55</v>
      </c>
      <c r="C2135" s="55" t="s">
        <v>56</v>
      </c>
      <c r="D2135" s="57">
        <v>41695</v>
      </c>
      <c r="E2135" s="55">
        <v>29782</v>
      </c>
      <c r="F2135" s="55">
        <v>306</v>
      </c>
      <c r="G2135" s="55">
        <v>10</v>
      </c>
      <c r="H2135" s="55">
        <v>1</v>
      </c>
      <c r="I2135" s="55">
        <v>3</v>
      </c>
      <c r="J2135" s="55">
        <v>0</v>
      </c>
    </row>
    <row r="2136" spans="1:10" ht="15" x14ac:dyDescent="0.4">
      <c r="A2136" s="54">
        <v>46231</v>
      </c>
      <c r="B2136" s="55" t="s">
        <v>62</v>
      </c>
      <c r="C2136" s="55" t="s">
        <v>56</v>
      </c>
      <c r="D2136" s="57">
        <v>9002</v>
      </c>
      <c r="E2136" s="55">
        <v>6430</v>
      </c>
      <c r="F2136" s="55">
        <v>80</v>
      </c>
      <c r="G2136" s="55">
        <v>2</v>
      </c>
      <c r="H2136" s="55">
        <v>0</v>
      </c>
      <c r="I2136" s="55">
        <v>1</v>
      </c>
      <c r="J2136" s="55">
        <v>0</v>
      </c>
    </row>
    <row r="2137" spans="1:10" ht="15" x14ac:dyDescent="0.4">
      <c r="A2137" s="54">
        <v>46232</v>
      </c>
      <c r="B2137" s="55" t="s">
        <v>63</v>
      </c>
      <c r="C2137" s="55" t="s">
        <v>58</v>
      </c>
      <c r="D2137" s="57">
        <v>6220</v>
      </c>
      <c r="E2137" s="55">
        <v>1295</v>
      </c>
      <c r="F2137" s="55">
        <v>75</v>
      </c>
      <c r="G2137" s="55">
        <v>2</v>
      </c>
      <c r="H2137" s="55">
        <v>2</v>
      </c>
      <c r="I2137" s="55">
        <v>1</v>
      </c>
      <c r="J2137" s="55">
        <v>0</v>
      </c>
    </row>
    <row r="2138" spans="1:10" ht="15" x14ac:dyDescent="0.4">
      <c r="A2138" s="54">
        <v>46232</v>
      </c>
      <c r="B2138" s="55" t="s">
        <v>57</v>
      </c>
      <c r="C2138" s="55" t="s">
        <v>58</v>
      </c>
      <c r="D2138" s="57">
        <v>20147</v>
      </c>
      <c r="E2138" s="55">
        <v>4197</v>
      </c>
      <c r="F2138" s="55">
        <v>242</v>
      </c>
      <c r="G2138" s="55">
        <v>2</v>
      </c>
      <c r="H2138" s="55">
        <v>1</v>
      </c>
      <c r="I2138" s="55">
        <v>0</v>
      </c>
      <c r="J2138" s="55">
        <v>0</v>
      </c>
    </row>
    <row r="2139" spans="1:10" ht="15" x14ac:dyDescent="0.4">
      <c r="A2139" s="54">
        <v>46232</v>
      </c>
      <c r="B2139" s="55" t="s">
        <v>59</v>
      </c>
      <c r="C2139" s="55" t="s">
        <v>60</v>
      </c>
      <c r="D2139" s="57">
        <v>27198</v>
      </c>
      <c r="E2139" s="55">
        <v>5230</v>
      </c>
      <c r="F2139" s="55">
        <v>30</v>
      </c>
      <c r="G2139" s="55">
        <v>2</v>
      </c>
      <c r="H2139" s="55">
        <v>0</v>
      </c>
      <c r="I2139" s="55">
        <v>2</v>
      </c>
      <c r="J2139" s="55">
        <v>0</v>
      </c>
    </row>
    <row r="2140" spans="1:10" ht="15" x14ac:dyDescent="0.4">
      <c r="A2140" s="54">
        <v>46232</v>
      </c>
      <c r="B2140" s="55" t="s">
        <v>55</v>
      </c>
      <c r="C2140" s="55" t="s">
        <v>56</v>
      </c>
      <c r="D2140" s="57">
        <v>42720</v>
      </c>
      <c r="E2140" s="55">
        <v>30514</v>
      </c>
      <c r="F2140" s="55">
        <v>310</v>
      </c>
      <c r="G2140" s="55">
        <v>9</v>
      </c>
      <c r="H2140" s="55">
        <v>0</v>
      </c>
      <c r="I2140" s="55">
        <v>0</v>
      </c>
      <c r="J2140" s="55">
        <v>0</v>
      </c>
    </row>
    <row r="2141" spans="1:10" ht="15" x14ac:dyDescent="0.4">
      <c r="A2141" s="54">
        <v>46232</v>
      </c>
      <c r="B2141" s="55" t="s">
        <v>62</v>
      </c>
      <c r="C2141" s="55" t="s">
        <v>56</v>
      </c>
      <c r="D2141" s="57">
        <v>8923</v>
      </c>
      <c r="E2141" s="55">
        <v>6373</v>
      </c>
      <c r="F2141" s="55">
        <v>70</v>
      </c>
      <c r="G2141" s="55">
        <v>3</v>
      </c>
      <c r="H2141" s="55">
        <v>1</v>
      </c>
      <c r="I2141" s="55">
        <v>1</v>
      </c>
      <c r="J2141" s="55">
        <v>0</v>
      </c>
    </row>
    <row r="2142" spans="1:10" ht="15" x14ac:dyDescent="0.4">
      <c r="A2142" s="54">
        <v>46233</v>
      </c>
      <c r="B2142" s="55" t="s">
        <v>63</v>
      </c>
      <c r="C2142" s="55" t="s">
        <v>58</v>
      </c>
      <c r="D2142" s="57">
        <v>6495</v>
      </c>
      <c r="E2142" s="55">
        <v>1353</v>
      </c>
      <c r="F2142" s="55">
        <v>67</v>
      </c>
      <c r="G2142" s="55">
        <v>7</v>
      </c>
      <c r="H2142" s="55">
        <v>1</v>
      </c>
      <c r="I2142" s="55">
        <v>0</v>
      </c>
      <c r="J2142" s="55">
        <v>0</v>
      </c>
    </row>
    <row r="2143" spans="1:10" ht="15" x14ac:dyDescent="0.4">
      <c r="A2143" s="54">
        <v>46233</v>
      </c>
      <c r="B2143" s="55" t="s">
        <v>57</v>
      </c>
      <c r="C2143" s="55" t="s">
        <v>58</v>
      </c>
      <c r="D2143" s="57">
        <v>18283</v>
      </c>
      <c r="E2143" s="55">
        <v>3808</v>
      </c>
      <c r="F2143" s="55">
        <v>174</v>
      </c>
      <c r="G2143" s="55">
        <v>3</v>
      </c>
      <c r="H2143" s="55">
        <v>0</v>
      </c>
      <c r="I2143" s="55">
        <v>0</v>
      </c>
      <c r="J2143" s="55">
        <v>0</v>
      </c>
    </row>
    <row r="2144" spans="1:10" ht="15" x14ac:dyDescent="0.4">
      <c r="A2144" s="54">
        <v>46233</v>
      </c>
      <c r="B2144" s="55" t="s">
        <v>59</v>
      </c>
      <c r="C2144" s="55" t="s">
        <v>60</v>
      </c>
      <c r="D2144" s="57">
        <v>27865</v>
      </c>
      <c r="E2144" s="55">
        <v>5358</v>
      </c>
      <c r="F2144" s="55">
        <v>39</v>
      </c>
      <c r="G2144" s="55">
        <v>3</v>
      </c>
      <c r="H2144" s="55">
        <v>2</v>
      </c>
      <c r="I2144" s="55">
        <v>0</v>
      </c>
      <c r="J2144" s="55">
        <v>0</v>
      </c>
    </row>
    <row r="2145" spans="1:10" ht="15" x14ac:dyDescent="0.4">
      <c r="A2145" s="54">
        <v>46233</v>
      </c>
      <c r="B2145" s="55" t="s">
        <v>55</v>
      </c>
      <c r="C2145" s="55" t="s">
        <v>56</v>
      </c>
      <c r="D2145" s="57">
        <v>42683</v>
      </c>
      <c r="E2145" s="55">
        <v>30487</v>
      </c>
      <c r="F2145" s="55">
        <v>355</v>
      </c>
      <c r="G2145" s="55">
        <v>11</v>
      </c>
      <c r="H2145" s="55">
        <v>3</v>
      </c>
      <c r="I2145" s="55">
        <v>1</v>
      </c>
      <c r="J2145" s="55">
        <v>0</v>
      </c>
    </row>
    <row r="2146" spans="1:10" ht="15" x14ac:dyDescent="0.4">
      <c r="A2146" s="54">
        <v>46233</v>
      </c>
      <c r="B2146" s="55" t="s">
        <v>62</v>
      </c>
      <c r="C2146" s="55" t="s">
        <v>56</v>
      </c>
      <c r="D2146" s="57">
        <v>9509</v>
      </c>
      <c r="E2146" s="55">
        <v>6792</v>
      </c>
      <c r="F2146" s="55">
        <v>66</v>
      </c>
      <c r="G2146" s="55">
        <v>4</v>
      </c>
      <c r="H2146" s="55">
        <v>0</v>
      </c>
      <c r="I2146" s="55">
        <v>0</v>
      </c>
      <c r="J2146" s="55">
        <v>0</v>
      </c>
    </row>
    <row r="2147" spans="1:10" ht="15" x14ac:dyDescent="0.4">
      <c r="A2147" s="54">
        <v>46234</v>
      </c>
      <c r="B2147" s="55" t="s">
        <v>63</v>
      </c>
      <c r="C2147" s="55" t="s">
        <v>58</v>
      </c>
      <c r="D2147" s="57">
        <v>7379</v>
      </c>
      <c r="E2147" s="55">
        <v>1537</v>
      </c>
      <c r="F2147" s="55">
        <v>71</v>
      </c>
      <c r="G2147" s="55">
        <v>4</v>
      </c>
      <c r="H2147" s="55">
        <v>2</v>
      </c>
      <c r="I2147" s="55">
        <v>1</v>
      </c>
      <c r="J2147" s="55">
        <v>0</v>
      </c>
    </row>
    <row r="2148" spans="1:10" ht="15" x14ac:dyDescent="0.4">
      <c r="A2148" s="54">
        <v>46234</v>
      </c>
      <c r="B2148" s="55" t="s">
        <v>57</v>
      </c>
      <c r="C2148" s="55" t="s">
        <v>58</v>
      </c>
      <c r="D2148" s="57">
        <v>18551</v>
      </c>
      <c r="E2148" s="55">
        <v>3864</v>
      </c>
      <c r="F2148" s="55">
        <v>212</v>
      </c>
      <c r="G2148" s="55">
        <v>4</v>
      </c>
      <c r="H2148" s="55">
        <v>1</v>
      </c>
      <c r="I2148" s="55">
        <v>1</v>
      </c>
      <c r="J2148" s="55">
        <v>0</v>
      </c>
    </row>
    <row r="2149" spans="1:10" ht="15" x14ac:dyDescent="0.4">
      <c r="A2149" s="54">
        <v>46234</v>
      </c>
      <c r="B2149" s="55" t="s">
        <v>59</v>
      </c>
      <c r="C2149" s="55" t="s">
        <v>60</v>
      </c>
      <c r="D2149" s="57">
        <v>24112</v>
      </c>
      <c r="E2149" s="55">
        <v>4636</v>
      </c>
      <c r="F2149" s="55">
        <v>32</v>
      </c>
      <c r="G2149" s="55">
        <v>3</v>
      </c>
      <c r="H2149" s="55">
        <v>1</v>
      </c>
      <c r="I2149" s="55">
        <v>1</v>
      </c>
      <c r="J2149" s="55">
        <v>0</v>
      </c>
    </row>
    <row r="2150" spans="1:10" ht="15" x14ac:dyDescent="0.4">
      <c r="A2150" s="54">
        <v>46234</v>
      </c>
      <c r="B2150" s="55" t="s">
        <v>55</v>
      </c>
      <c r="C2150" s="55" t="s">
        <v>56</v>
      </c>
      <c r="D2150" s="57">
        <v>41612</v>
      </c>
      <c r="E2150" s="55">
        <v>29722</v>
      </c>
      <c r="F2150" s="55">
        <v>291</v>
      </c>
      <c r="G2150" s="55">
        <v>16</v>
      </c>
      <c r="H2150" s="55">
        <v>1</v>
      </c>
      <c r="I2150" s="55">
        <v>1</v>
      </c>
      <c r="J2150" s="55">
        <v>0</v>
      </c>
    </row>
    <row r="2151" spans="1:10" ht="15" x14ac:dyDescent="0.4">
      <c r="A2151" s="54">
        <v>46234</v>
      </c>
      <c r="B2151" s="55" t="s">
        <v>62</v>
      </c>
      <c r="C2151" s="55" t="s">
        <v>56</v>
      </c>
      <c r="D2151" s="57">
        <v>9427</v>
      </c>
      <c r="E2151" s="55">
        <v>6733</v>
      </c>
      <c r="F2151" s="55">
        <v>68</v>
      </c>
      <c r="G2151" s="55">
        <v>5</v>
      </c>
      <c r="H2151" s="55">
        <v>1</v>
      </c>
      <c r="I2151" s="55">
        <v>2</v>
      </c>
      <c r="J2151" s="55">
        <v>0</v>
      </c>
    </row>
    <row r="2152" spans="1:10" ht="15" x14ac:dyDescent="0.4">
      <c r="A2152" s="54">
        <v>46235</v>
      </c>
      <c r="B2152" s="55" t="s">
        <v>63</v>
      </c>
      <c r="C2152" s="55" t="s">
        <v>58</v>
      </c>
      <c r="D2152" s="57">
        <v>6527</v>
      </c>
      <c r="E2152" s="55">
        <v>1359</v>
      </c>
      <c r="F2152" s="55">
        <v>79</v>
      </c>
      <c r="G2152" s="55">
        <v>2</v>
      </c>
      <c r="H2152" s="55">
        <v>3</v>
      </c>
      <c r="I2152" s="55">
        <v>1</v>
      </c>
      <c r="J2152" s="55">
        <v>0</v>
      </c>
    </row>
    <row r="2153" spans="1:10" ht="15" x14ac:dyDescent="0.4">
      <c r="A2153" s="54">
        <v>46235</v>
      </c>
      <c r="B2153" s="55" t="s">
        <v>57</v>
      </c>
      <c r="C2153" s="55" t="s">
        <v>58</v>
      </c>
      <c r="D2153" s="57">
        <v>20184</v>
      </c>
      <c r="E2153" s="55">
        <v>4205</v>
      </c>
      <c r="F2153" s="55">
        <v>205</v>
      </c>
      <c r="G2153" s="55">
        <v>4</v>
      </c>
      <c r="H2153" s="55">
        <v>1</v>
      </c>
      <c r="I2153" s="55">
        <v>0</v>
      </c>
      <c r="J2153" s="55">
        <v>0</v>
      </c>
    </row>
    <row r="2154" spans="1:10" ht="15" x14ac:dyDescent="0.4">
      <c r="A2154" s="54">
        <v>46235</v>
      </c>
      <c r="B2154" s="55" t="s">
        <v>59</v>
      </c>
      <c r="C2154" s="55" t="s">
        <v>60</v>
      </c>
      <c r="D2154" s="57">
        <v>23263</v>
      </c>
      <c r="E2154" s="55">
        <v>4473</v>
      </c>
      <c r="F2154" s="55">
        <v>29</v>
      </c>
      <c r="G2154" s="55">
        <v>1</v>
      </c>
      <c r="H2154" s="55">
        <v>1</v>
      </c>
      <c r="I2154" s="55">
        <v>0</v>
      </c>
      <c r="J2154" s="55">
        <v>1</v>
      </c>
    </row>
    <row r="2155" spans="1:10" ht="15" x14ac:dyDescent="0.4">
      <c r="A2155" s="54">
        <v>46235</v>
      </c>
      <c r="B2155" s="55" t="s">
        <v>55</v>
      </c>
      <c r="C2155" s="55" t="s">
        <v>56</v>
      </c>
      <c r="D2155" s="57">
        <v>37353</v>
      </c>
      <c r="E2155" s="55">
        <v>26680</v>
      </c>
      <c r="F2155" s="55">
        <v>317</v>
      </c>
      <c r="G2155" s="55">
        <v>7</v>
      </c>
      <c r="H2155" s="55">
        <v>4</v>
      </c>
      <c r="I2155" s="55">
        <v>1</v>
      </c>
      <c r="J2155" s="55">
        <v>0</v>
      </c>
    </row>
    <row r="2156" spans="1:10" ht="15" x14ac:dyDescent="0.4">
      <c r="A2156" s="54">
        <v>46235</v>
      </c>
      <c r="B2156" s="55" t="s">
        <v>62</v>
      </c>
      <c r="C2156" s="55" t="s">
        <v>56</v>
      </c>
      <c r="D2156" s="57">
        <v>10166</v>
      </c>
      <c r="E2156" s="55">
        <v>7261</v>
      </c>
      <c r="F2156" s="55">
        <v>83</v>
      </c>
      <c r="G2156" s="55">
        <v>2</v>
      </c>
      <c r="H2156" s="55">
        <v>0</v>
      </c>
      <c r="I2156" s="55">
        <v>0</v>
      </c>
      <c r="J2156" s="55">
        <v>0</v>
      </c>
    </row>
    <row r="2157" spans="1:10" ht="15" x14ac:dyDescent="0.4">
      <c r="A2157" s="54">
        <v>46236</v>
      </c>
      <c r="B2157" s="55" t="s">
        <v>63</v>
      </c>
      <c r="C2157" s="55" t="s">
        <v>58</v>
      </c>
      <c r="D2157" s="57">
        <v>6497</v>
      </c>
      <c r="E2157" s="55">
        <v>1353</v>
      </c>
      <c r="F2157" s="55">
        <v>77</v>
      </c>
      <c r="G2157" s="55">
        <v>3</v>
      </c>
      <c r="H2157" s="55">
        <v>1</v>
      </c>
      <c r="I2157" s="55">
        <v>1</v>
      </c>
      <c r="J2157" s="55">
        <v>0</v>
      </c>
    </row>
    <row r="2158" spans="1:10" ht="15" x14ac:dyDescent="0.4">
      <c r="A2158" s="54">
        <v>46236</v>
      </c>
      <c r="B2158" s="55" t="s">
        <v>57</v>
      </c>
      <c r="C2158" s="55" t="s">
        <v>58</v>
      </c>
      <c r="D2158" s="57">
        <v>17336</v>
      </c>
      <c r="E2158" s="55">
        <v>3611</v>
      </c>
      <c r="F2158" s="55">
        <v>206</v>
      </c>
      <c r="G2158" s="55">
        <v>1</v>
      </c>
      <c r="H2158" s="55">
        <v>2</v>
      </c>
      <c r="I2158" s="55">
        <v>0</v>
      </c>
      <c r="J2158" s="55">
        <v>0</v>
      </c>
    </row>
    <row r="2159" spans="1:10" ht="15" x14ac:dyDescent="0.4">
      <c r="A2159" s="54">
        <v>46236</v>
      </c>
      <c r="B2159" s="55" t="s">
        <v>59</v>
      </c>
      <c r="C2159" s="55" t="s">
        <v>60</v>
      </c>
      <c r="D2159" s="57">
        <v>25193</v>
      </c>
      <c r="E2159" s="55">
        <v>4844</v>
      </c>
      <c r="F2159" s="55">
        <v>27</v>
      </c>
      <c r="G2159" s="55">
        <v>2</v>
      </c>
      <c r="H2159" s="55">
        <v>0</v>
      </c>
      <c r="I2159" s="55">
        <v>1</v>
      </c>
      <c r="J2159" s="55">
        <v>0</v>
      </c>
    </row>
    <row r="2160" spans="1:10" ht="15" x14ac:dyDescent="0.4">
      <c r="A2160" s="54">
        <v>46236</v>
      </c>
      <c r="B2160" s="55" t="s">
        <v>55</v>
      </c>
      <c r="C2160" s="55" t="s">
        <v>56</v>
      </c>
      <c r="D2160" s="57">
        <v>41935</v>
      </c>
      <c r="E2160" s="55">
        <v>29953</v>
      </c>
      <c r="F2160" s="55">
        <v>364</v>
      </c>
      <c r="G2160" s="55">
        <v>7</v>
      </c>
      <c r="H2160" s="55">
        <v>8</v>
      </c>
      <c r="I2160" s="55">
        <v>1</v>
      </c>
      <c r="J2160" s="55">
        <v>1</v>
      </c>
    </row>
    <row r="2161" spans="1:10" ht="15" x14ac:dyDescent="0.4">
      <c r="A2161" s="54">
        <v>46236</v>
      </c>
      <c r="B2161" s="55" t="s">
        <v>62</v>
      </c>
      <c r="C2161" s="55" t="s">
        <v>56</v>
      </c>
      <c r="D2161" s="57">
        <v>8609</v>
      </c>
      <c r="E2161" s="55">
        <v>6149</v>
      </c>
      <c r="F2161" s="55">
        <v>57</v>
      </c>
      <c r="G2161" s="55">
        <v>2</v>
      </c>
      <c r="H2161" s="55">
        <v>1</v>
      </c>
      <c r="I2161" s="55">
        <v>0</v>
      </c>
      <c r="J2161" s="55">
        <v>0</v>
      </c>
    </row>
    <row r="2162" spans="1:10" ht="15" x14ac:dyDescent="0.4">
      <c r="A2162" s="54">
        <v>46237</v>
      </c>
      <c r="B2162" s="55" t="s">
        <v>63</v>
      </c>
      <c r="C2162" s="55" t="s">
        <v>58</v>
      </c>
      <c r="D2162" s="57">
        <v>6287</v>
      </c>
      <c r="E2162" s="55">
        <v>1309</v>
      </c>
      <c r="F2162" s="55">
        <v>65</v>
      </c>
      <c r="G2162" s="55">
        <v>2</v>
      </c>
      <c r="H2162" s="55">
        <v>1</v>
      </c>
      <c r="I2162" s="55">
        <v>2</v>
      </c>
      <c r="J2162" s="55">
        <v>0</v>
      </c>
    </row>
    <row r="2163" spans="1:10" ht="15" x14ac:dyDescent="0.4">
      <c r="A2163" s="54">
        <v>46237</v>
      </c>
      <c r="B2163" s="55" t="s">
        <v>57</v>
      </c>
      <c r="C2163" s="55" t="s">
        <v>58</v>
      </c>
      <c r="D2163" s="57">
        <v>18098</v>
      </c>
      <c r="E2163" s="55">
        <v>3770</v>
      </c>
      <c r="F2163" s="55">
        <v>195</v>
      </c>
      <c r="G2163" s="55">
        <v>2</v>
      </c>
      <c r="H2163" s="55">
        <v>1</v>
      </c>
      <c r="I2163" s="55">
        <v>0</v>
      </c>
      <c r="J2163" s="55">
        <v>0</v>
      </c>
    </row>
    <row r="2164" spans="1:10" ht="15" x14ac:dyDescent="0.4">
      <c r="A2164" s="54">
        <v>46237</v>
      </c>
      <c r="B2164" s="55" t="s">
        <v>59</v>
      </c>
      <c r="C2164" s="55" t="s">
        <v>60</v>
      </c>
      <c r="D2164" s="57">
        <v>26314</v>
      </c>
      <c r="E2164" s="55">
        <v>5060</v>
      </c>
      <c r="F2164" s="55">
        <v>28</v>
      </c>
      <c r="G2164" s="55">
        <v>1</v>
      </c>
      <c r="H2164" s="55">
        <v>1</v>
      </c>
      <c r="I2164" s="55">
        <v>0</v>
      </c>
      <c r="J2164" s="55">
        <v>0</v>
      </c>
    </row>
    <row r="2165" spans="1:10" ht="15" x14ac:dyDescent="0.4">
      <c r="A2165" s="54">
        <v>46237</v>
      </c>
      <c r="B2165" s="55" t="s">
        <v>55</v>
      </c>
      <c r="C2165" s="55" t="s">
        <v>56</v>
      </c>
      <c r="D2165" s="57">
        <v>36927</v>
      </c>
      <c r="E2165" s="55">
        <v>26376</v>
      </c>
      <c r="F2165" s="55">
        <v>291</v>
      </c>
      <c r="G2165" s="55">
        <v>13</v>
      </c>
      <c r="H2165" s="55">
        <v>1</v>
      </c>
      <c r="I2165" s="55">
        <v>2</v>
      </c>
      <c r="J2165" s="55">
        <v>0</v>
      </c>
    </row>
    <row r="2166" spans="1:10" ht="15" x14ac:dyDescent="0.4">
      <c r="A2166" s="54">
        <v>46237</v>
      </c>
      <c r="B2166" s="55" t="s">
        <v>62</v>
      </c>
      <c r="C2166" s="55" t="s">
        <v>56</v>
      </c>
      <c r="D2166" s="57">
        <v>9582</v>
      </c>
      <c r="E2166" s="55">
        <v>6844</v>
      </c>
      <c r="F2166" s="55">
        <v>71</v>
      </c>
      <c r="G2166" s="55">
        <v>3</v>
      </c>
      <c r="H2166" s="55">
        <v>1</v>
      </c>
      <c r="I2166" s="55">
        <v>0</v>
      </c>
      <c r="J2166" s="55">
        <v>1</v>
      </c>
    </row>
    <row r="2167" spans="1:10" ht="15" x14ac:dyDescent="0.4">
      <c r="A2167" s="54">
        <v>46238</v>
      </c>
      <c r="B2167" s="55" t="s">
        <v>63</v>
      </c>
      <c r="C2167" s="55" t="s">
        <v>58</v>
      </c>
      <c r="D2167" s="57">
        <v>6314</v>
      </c>
      <c r="E2167" s="55">
        <v>1315</v>
      </c>
      <c r="F2167" s="55">
        <v>76</v>
      </c>
      <c r="G2167" s="55">
        <v>0</v>
      </c>
      <c r="H2167" s="55">
        <v>2</v>
      </c>
      <c r="I2167" s="55">
        <v>0</v>
      </c>
      <c r="J2167" s="55">
        <v>0</v>
      </c>
    </row>
    <row r="2168" spans="1:10" ht="15" x14ac:dyDescent="0.4">
      <c r="A2168" s="54">
        <v>46238</v>
      </c>
      <c r="B2168" s="55" t="s">
        <v>57</v>
      </c>
      <c r="C2168" s="55" t="s">
        <v>58</v>
      </c>
      <c r="D2168" s="57">
        <v>17551</v>
      </c>
      <c r="E2168" s="55">
        <v>3656</v>
      </c>
      <c r="F2168" s="55">
        <v>175</v>
      </c>
      <c r="G2168" s="55">
        <v>3</v>
      </c>
      <c r="H2168" s="55">
        <v>1</v>
      </c>
      <c r="I2168" s="55">
        <v>1</v>
      </c>
      <c r="J2168" s="55">
        <v>1</v>
      </c>
    </row>
    <row r="2169" spans="1:10" ht="15" x14ac:dyDescent="0.4">
      <c r="A2169" s="54">
        <v>46238</v>
      </c>
      <c r="B2169" s="55" t="s">
        <v>59</v>
      </c>
      <c r="C2169" s="55" t="s">
        <v>60</v>
      </c>
      <c r="D2169" s="57">
        <v>24431</v>
      </c>
      <c r="E2169" s="55">
        <v>4698</v>
      </c>
      <c r="F2169" s="55">
        <v>32</v>
      </c>
      <c r="G2169" s="55">
        <v>2</v>
      </c>
      <c r="H2169" s="55">
        <v>0</v>
      </c>
      <c r="I2169" s="55">
        <v>0</v>
      </c>
      <c r="J2169" s="55">
        <v>0</v>
      </c>
    </row>
    <row r="2170" spans="1:10" ht="15" x14ac:dyDescent="0.4">
      <c r="A2170" s="54">
        <v>46238</v>
      </c>
      <c r="B2170" s="55" t="s">
        <v>55</v>
      </c>
      <c r="C2170" s="55" t="s">
        <v>56</v>
      </c>
      <c r="D2170" s="57">
        <v>37692</v>
      </c>
      <c r="E2170" s="55">
        <v>26922</v>
      </c>
      <c r="F2170" s="55">
        <v>290</v>
      </c>
      <c r="G2170" s="55">
        <v>12</v>
      </c>
      <c r="H2170" s="55">
        <v>0</v>
      </c>
      <c r="I2170" s="55">
        <v>0</v>
      </c>
      <c r="J2170" s="55">
        <v>0</v>
      </c>
    </row>
    <row r="2171" spans="1:10" ht="15" x14ac:dyDescent="0.4">
      <c r="A2171" s="54">
        <v>46238</v>
      </c>
      <c r="B2171" s="55" t="s">
        <v>62</v>
      </c>
      <c r="C2171" s="55" t="s">
        <v>56</v>
      </c>
      <c r="D2171" s="57">
        <v>10056</v>
      </c>
      <c r="E2171" s="55">
        <v>7182</v>
      </c>
      <c r="F2171" s="55">
        <v>86</v>
      </c>
      <c r="G2171" s="55">
        <v>3</v>
      </c>
      <c r="H2171" s="55">
        <v>3</v>
      </c>
      <c r="I2171" s="55">
        <v>0</v>
      </c>
      <c r="J2171" s="55">
        <v>0</v>
      </c>
    </row>
    <row r="2172" spans="1:10" ht="15" x14ac:dyDescent="0.4">
      <c r="A2172" s="54">
        <v>46239</v>
      </c>
      <c r="B2172" s="55" t="s">
        <v>63</v>
      </c>
      <c r="C2172" s="55" t="s">
        <v>58</v>
      </c>
      <c r="D2172" s="57">
        <v>6906</v>
      </c>
      <c r="E2172" s="55">
        <v>1438</v>
      </c>
      <c r="F2172" s="55">
        <v>69</v>
      </c>
      <c r="G2172" s="55">
        <v>2</v>
      </c>
      <c r="H2172" s="55">
        <v>1</v>
      </c>
      <c r="I2172" s="55">
        <v>0</v>
      </c>
      <c r="J2172" s="55">
        <v>0</v>
      </c>
    </row>
    <row r="2173" spans="1:10" ht="15" x14ac:dyDescent="0.4">
      <c r="A2173" s="54">
        <v>46239</v>
      </c>
      <c r="B2173" s="55" t="s">
        <v>57</v>
      </c>
      <c r="C2173" s="55" t="s">
        <v>58</v>
      </c>
      <c r="D2173" s="57">
        <v>19535</v>
      </c>
      <c r="E2173" s="55">
        <v>4069</v>
      </c>
      <c r="F2173" s="55">
        <v>193</v>
      </c>
      <c r="G2173" s="55">
        <v>4</v>
      </c>
      <c r="H2173" s="55">
        <v>1</v>
      </c>
      <c r="I2173" s="55">
        <v>1</v>
      </c>
      <c r="J2173" s="55">
        <v>0</v>
      </c>
    </row>
    <row r="2174" spans="1:10" ht="15" x14ac:dyDescent="0.4">
      <c r="A2174" s="54">
        <v>46239</v>
      </c>
      <c r="B2174" s="55" t="s">
        <v>59</v>
      </c>
      <c r="C2174" s="55" t="s">
        <v>60</v>
      </c>
      <c r="D2174" s="57">
        <v>27606</v>
      </c>
      <c r="E2174" s="55">
        <v>5308</v>
      </c>
      <c r="F2174" s="55">
        <v>37</v>
      </c>
      <c r="G2174" s="55">
        <v>2</v>
      </c>
      <c r="H2174" s="55">
        <v>1</v>
      </c>
      <c r="I2174" s="55">
        <v>1</v>
      </c>
      <c r="J2174" s="55">
        <v>0</v>
      </c>
    </row>
    <row r="2175" spans="1:10" ht="15" x14ac:dyDescent="0.4">
      <c r="A2175" s="54">
        <v>46239</v>
      </c>
      <c r="B2175" s="55" t="s">
        <v>55</v>
      </c>
      <c r="C2175" s="55" t="s">
        <v>56</v>
      </c>
      <c r="D2175" s="57">
        <v>41684</v>
      </c>
      <c r="E2175" s="55">
        <v>29774</v>
      </c>
      <c r="F2175" s="55">
        <v>309</v>
      </c>
      <c r="G2175" s="55">
        <v>16</v>
      </c>
      <c r="H2175" s="55">
        <v>2</v>
      </c>
      <c r="I2175" s="55">
        <v>0</v>
      </c>
      <c r="J2175" s="55">
        <v>0</v>
      </c>
    </row>
    <row r="2176" spans="1:10" ht="15" x14ac:dyDescent="0.4">
      <c r="A2176" s="54">
        <v>46239</v>
      </c>
      <c r="B2176" s="55" t="s">
        <v>62</v>
      </c>
      <c r="C2176" s="55" t="s">
        <v>56</v>
      </c>
      <c r="D2176" s="57">
        <v>9211</v>
      </c>
      <c r="E2176" s="55">
        <v>6579</v>
      </c>
      <c r="F2176" s="55">
        <v>82</v>
      </c>
      <c r="G2176" s="55">
        <v>7</v>
      </c>
      <c r="H2176" s="55">
        <v>2</v>
      </c>
      <c r="I2176" s="55">
        <v>1</v>
      </c>
      <c r="J2176" s="55">
        <v>0</v>
      </c>
    </row>
    <row r="2177" spans="1:10" ht="15" x14ac:dyDescent="0.4">
      <c r="A2177" s="54">
        <v>46240</v>
      </c>
      <c r="B2177" s="55" t="s">
        <v>63</v>
      </c>
      <c r="C2177" s="55" t="s">
        <v>58</v>
      </c>
      <c r="D2177" s="57">
        <v>6249</v>
      </c>
      <c r="E2177" s="55">
        <v>1301</v>
      </c>
      <c r="F2177" s="55">
        <v>77</v>
      </c>
      <c r="G2177" s="55">
        <v>2</v>
      </c>
      <c r="H2177" s="55">
        <v>0</v>
      </c>
      <c r="I2177" s="55">
        <v>0</v>
      </c>
      <c r="J2177" s="55">
        <v>1</v>
      </c>
    </row>
    <row r="2178" spans="1:10" ht="15" x14ac:dyDescent="0.4">
      <c r="A2178" s="54">
        <v>46240</v>
      </c>
      <c r="B2178" s="55" t="s">
        <v>57</v>
      </c>
      <c r="C2178" s="55" t="s">
        <v>58</v>
      </c>
      <c r="D2178" s="57">
        <v>19531</v>
      </c>
      <c r="E2178" s="55">
        <v>4068</v>
      </c>
      <c r="F2178" s="55">
        <v>227</v>
      </c>
      <c r="G2178" s="55">
        <v>2</v>
      </c>
      <c r="H2178" s="55">
        <v>0</v>
      </c>
      <c r="I2178" s="55">
        <v>1</v>
      </c>
      <c r="J2178" s="55">
        <v>0</v>
      </c>
    </row>
    <row r="2179" spans="1:10" ht="15" x14ac:dyDescent="0.4">
      <c r="A2179" s="54">
        <v>46240</v>
      </c>
      <c r="B2179" s="55" t="s">
        <v>59</v>
      </c>
      <c r="C2179" s="55" t="s">
        <v>60</v>
      </c>
      <c r="D2179" s="57">
        <v>24300</v>
      </c>
      <c r="E2179" s="55">
        <v>4673</v>
      </c>
      <c r="F2179" s="55">
        <v>29</v>
      </c>
      <c r="G2179" s="55">
        <v>3</v>
      </c>
      <c r="H2179" s="55">
        <v>1</v>
      </c>
      <c r="I2179" s="55">
        <v>0</v>
      </c>
      <c r="J2179" s="55">
        <v>0</v>
      </c>
    </row>
    <row r="2180" spans="1:10" ht="15" x14ac:dyDescent="0.4">
      <c r="A2180" s="54">
        <v>46240</v>
      </c>
      <c r="B2180" s="55" t="s">
        <v>55</v>
      </c>
      <c r="C2180" s="55" t="s">
        <v>56</v>
      </c>
      <c r="D2180" s="57">
        <v>38179</v>
      </c>
      <c r="E2180" s="55">
        <v>27270</v>
      </c>
      <c r="F2180" s="55">
        <v>282</v>
      </c>
      <c r="G2180" s="55">
        <v>10</v>
      </c>
      <c r="H2180" s="55">
        <v>3</v>
      </c>
      <c r="I2180" s="55">
        <v>1</v>
      </c>
      <c r="J2180" s="55">
        <v>0</v>
      </c>
    </row>
    <row r="2181" spans="1:10" ht="15" x14ac:dyDescent="0.4">
      <c r="A2181" s="54">
        <v>46240</v>
      </c>
      <c r="B2181" s="55" t="s">
        <v>62</v>
      </c>
      <c r="C2181" s="55" t="s">
        <v>56</v>
      </c>
      <c r="D2181" s="57">
        <v>8609</v>
      </c>
      <c r="E2181" s="55">
        <v>6149</v>
      </c>
      <c r="F2181" s="55">
        <v>58</v>
      </c>
      <c r="G2181" s="55">
        <v>3</v>
      </c>
      <c r="H2181" s="55">
        <v>3</v>
      </c>
      <c r="I2181" s="55">
        <v>0</v>
      </c>
      <c r="J2181" s="55">
        <v>0</v>
      </c>
    </row>
    <row r="2182" spans="1:10" ht="15" x14ac:dyDescent="0.4">
      <c r="A2182" s="54">
        <v>46241</v>
      </c>
      <c r="B2182" s="55" t="s">
        <v>63</v>
      </c>
      <c r="C2182" s="55" t="s">
        <v>58</v>
      </c>
      <c r="D2182" s="57">
        <v>7160</v>
      </c>
      <c r="E2182" s="55">
        <v>1491</v>
      </c>
      <c r="F2182" s="55">
        <v>67</v>
      </c>
      <c r="G2182" s="55">
        <v>1</v>
      </c>
      <c r="H2182" s="55">
        <v>2</v>
      </c>
      <c r="I2182" s="55">
        <v>1</v>
      </c>
      <c r="J2182" s="55">
        <v>0</v>
      </c>
    </row>
    <row r="2183" spans="1:10" ht="15" x14ac:dyDescent="0.4">
      <c r="A2183" s="54">
        <v>46241</v>
      </c>
      <c r="B2183" s="55" t="s">
        <v>57</v>
      </c>
      <c r="C2183" s="55" t="s">
        <v>58</v>
      </c>
      <c r="D2183" s="57">
        <v>17362</v>
      </c>
      <c r="E2183" s="55">
        <v>3617</v>
      </c>
      <c r="F2183" s="55">
        <v>163</v>
      </c>
      <c r="G2183" s="55">
        <v>5</v>
      </c>
      <c r="H2183" s="55">
        <v>0</v>
      </c>
      <c r="I2183" s="55">
        <v>0</v>
      </c>
      <c r="J2183" s="55">
        <v>0</v>
      </c>
    </row>
    <row r="2184" spans="1:10" ht="15" x14ac:dyDescent="0.4">
      <c r="A2184" s="54">
        <v>46241</v>
      </c>
      <c r="B2184" s="55" t="s">
        <v>59</v>
      </c>
      <c r="C2184" s="55" t="s">
        <v>60</v>
      </c>
      <c r="D2184" s="57">
        <v>27915</v>
      </c>
      <c r="E2184" s="55">
        <v>5368</v>
      </c>
      <c r="F2184" s="55">
        <v>33</v>
      </c>
      <c r="G2184" s="55">
        <v>1</v>
      </c>
      <c r="H2184" s="55">
        <v>0</v>
      </c>
      <c r="I2184" s="55">
        <v>1</v>
      </c>
      <c r="J2184" s="55">
        <v>0</v>
      </c>
    </row>
    <row r="2185" spans="1:10" ht="15" x14ac:dyDescent="0.4">
      <c r="A2185" s="54">
        <v>46241</v>
      </c>
      <c r="B2185" s="55" t="s">
        <v>55</v>
      </c>
      <c r="C2185" s="55" t="s">
        <v>56</v>
      </c>
      <c r="D2185" s="57">
        <v>37034</v>
      </c>
      <c r="E2185" s="55">
        <v>26452</v>
      </c>
      <c r="F2185" s="55">
        <v>284</v>
      </c>
      <c r="G2185" s="55">
        <v>7</v>
      </c>
      <c r="H2185" s="55">
        <v>1</v>
      </c>
      <c r="I2185" s="55">
        <v>0</v>
      </c>
      <c r="J2185" s="55">
        <v>0</v>
      </c>
    </row>
    <row r="2186" spans="1:10" ht="15" x14ac:dyDescent="0.4">
      <c r="A2186" s="54">
        <v>46241</v>
      </c>
      <c r="B2186" s="55" t="s">
        <v>62</v>
      </c>
      <c r="C2186" s="55" t="s">
        <v>56</v>
      </c>
      <c r="D2186" s="57">
        <v>10162</v>
      </c>
      <c r="E2186" s="55">
        <v>7258</v>
      </c>
      <c r="F2186" s="55">
        <v>90</v>
      </c>
      <c r="G2186" s="55">
        <v>2</v>
      </c>
      <c r="H2186" s="55">
        <v>0</v>
      </c>
      <c r="I2186" s="55">
        <v>2</v>
      </c>
      <c r="J2186" s="55">
        <v>0</v>
      </c>
    </row>
    <row r="2187" spans="1:10" ht="15" x14ac:dyDescent="0.4">
      <c r="A2187" s="54">
        <v>46242</v>
      </c>
      <c r="B2187" s="55" t="s">
        <v>63</v>
      </c>
      <c r="C2187" s="55" t="s">
        <v>58</v>
      </c>
      <c r="D2187" s="57">
        <v>6218</v>
      </c>
      <c r="E2187" s="55">
        <v>1295</v>
      </c>
      <c r="F2187" s="55">
        <v>66</v>
      </c>
      <c r="G2187" s="55">
        <v>2</v>
      </c>
      <c r="H2187" s="55">
        <v>0</v>
      </c>
      <c r="I2187" s="55">
        <v>1</v>
      </c>
      <c r="J2187" s="55">
        <v>0</v>
      </c>
    </row>
    <row r="2188" spans="1:10" ht="15" x14ac:dyDescent="0.4">
      <c r="A2188" s="54">
        <v>46242</v>
      </c>
      <c r="B2188" s="55" t="s">
        <v>57</v>
      </c>
      <c r="C2188" s="55" t="s">
        <v>58</v>
      </c>
      <c r="D2188" s="57">
        <v>19843</v>
      </c>
      <c r="E2188" s="55">
        <v>4133</v>
      </c>
      <c r="F2188" s="55">
        <v>237</v>
      </c>
      <c r="G2188" s="55">
        <v>1</v>
      </c>
      <c r="H2188" s="55">
        <v>0</v>
      </c>
      <c r="I2188" s="55">
        <v>0</v>
      </c>
      <c r="J2188" s="55">
        <v>0</v>
      </c>
    </row>
    <row r="2189" spans="1:10" ht="15" x14ac:dyDescent="0.4">
      <c r="A2189" s="54">
        <v>46242</v>
      </c>
      <c r="B2189" s="55" t="s">
        <v>59</v>
      </c>
      <c r="C2189" s="55" t="s">
        <v>60</v>
      </c>
      <c r="D2189" s="57">
        <v>28028</v>
      </c>
      <c r="E2189" s="55">
        <v>5390</v>
      </c>
      <c r="F2189" s="55">
        <v>38</v>
      </c>
      <c r="G2189" s="55">
        <v>2</v>
      </c>
      <c r="H2189" s="55">
        <v>0</v>
      </c>
      <c r="I2189" s="55">
        <v>1</v>
      </c>
      <c r="J2189" s="55">
        <v>0</v>
      </c>
    </row>
    <row r="2190" spans="1:10" ht="15" x14ac:dyDescent="0.4">
      <c r="A2190" s="54">
        <v>46242</v>
      </c>
      <c r="B2190" s="55" t="s">
        <v>55</v>
      </c>
      <c r="C2190" s="55" t="s">
        <v>56</v>
      </c>
      <c r="D2190" s="57">
        <v>41060</v>
      </c>
      <c r="E2190" s="55">
        <v>29328</v>
      </c>
      <c r="F2190" s="55">
        <v>311</v>
      </c>
      <c r="G2190" s="55">
        <v>6</v>
      </c>
      <c r="H2190" s="55">
        <v>3</v>
      </c>
      <c r="I2190" s="55">
        <v>2</v>
      </c>
      <c r="J2190" s="55">
        <v>0</v>
      </c>
    </row>
    <row r="2191" spans="1:10" ht="15" x14ac:dyDescent="0.4">
      <c r="A2191" s="54">
        <v>46242</v>
      </c>
      <c r="B2191" s="55" t="s">
        <v>62</v>
      </c>
      <c r="C2191" s="55" t="s">
        <v>56</v>
      </c>
      <c r="D2191" s="57">
        <v>8988</v>
      </c>
      <c r="E2191" s="55">
        <v>6420</v>
      </c>
      <c r="F2191" s="55">
        <v>71</v>
      </c>
      <c r="G2191" s="55">
        <v>1</v>
      </c>
      <c r="H2191" s="55">
        <v>0</v>
      </c>
      <c r="I2191" s="55">
        <v>3</v>
      </c>
      <c r="J2191" s="55">
        <v>1</v>
      </c>
    </row>
    <row r="2192" spans="1:10" ht="15" x14ac:dyDescent="0.4">
      <c r="A2192" s="54">
        <v>46243</v>
      </c>
      <c r="B2192" s="55" t="s">
        <v>63</v>
      </c>
      <c r="C2192" s="55" t="s">
        <v>58</v>
      </c>
      <c r="D2192" s="57">
        <v>6549</v>
      </c>
      <c r="E2192" s="55">
        <v>1364</v>
      </c>
      <c r="F2192" s="55">
        <v>74</v>
      </c>
      <c r="G2192" s="55">
        <v>3</v>
      </c>
      <c r="H2192" s="55">
        <v>2</v>
      </c>
      <c r="I2192" s="55">
        <v>0</v>
      </c>
      <c r="J2192" s="55">
        <v>0</v>
      </c>
    </row>
    <row r="2193" spans="1:10" ht="15" x14ac:dyDescent="0.4">
      <c r="A2193" s="54">
        <v>46243</v>
      </c>
      <c r="B2193" s="55" t="s">
        <v>57</v>
      </c>
      <c r="C2193" s="55" t="s">
        <v>58</v>
      </c>
      <c r="D2193" s="57">
        <v>17409</v>
      </c>
      <c r="E2193" s="55">
        <v>3626</v>
      </c>
      <c r="F2193" s="55">
        <v>207</v>
      </c>
      <c r="G2193" s="55">
        <v>3</v>
      </c>
      <c r="H2193" s="55">
        <v>1</v>
      </c>
      <c r="I2193" s="55">
        <v>0</v>
      </c>
      <c r="J2193" s="55">
        <v>0</v>
      </c>
    </row>
    <row r="2194" spans="1:10" ht="15" x14ac:dyDescent="0.4">
      <c r="A2194" s="54">
        <v>46243</v>
      </c>
      <c r="B2194" s="55" t="s">
        <v>59</v>
      </c>
      <c r="C2194" s="55" t="s">
        <v>60</v>
      </c>
      <c r="D2194" s="57">
        <v>26888</v>
      </c>
      <c r="E2194" s="55">
        <v>5170</v>
      </c>
      <c r="F2194" s="55">
        <v>32</v>
      </c>
      <c r="G2194" s="55">
        <v>0</v>
      </c>
      <c r="H2194" s="55">
        <v>3</v>
      </c>
      <c r="I2194" s="55">
        <v>0</v>
      </c>
      <c r="J2194" s="55">
        <v>0</v>
      </c>
    </row>
    <row r="2195" spans="1:10" ht="15" x14ac:dyDescent="0.4">
      <c r="A2195" s="54">
        <v>46243</v>
      </c>
      <c r="B2195" s="55" t="s">
        <v>55</v>
      </c>
      <c r="C2195" s="55" t="s">
        <v>56</v>
      </c>
      <c r="D2195" s="57">
        <v>36722</v>
      </c>
      <c r="E2195" s="55">
        <v>26230</v>
      </c>
      <c r="F2195" s="55">
        <v>257</v>
      </c>
      <c r="G2195" s="55">
        <v>6</v>
      </c>
      <c r="H2195" s="55">
        <v>3</v>
      </c>
      <c r="I2195" s="55">
        <v>1</v>
      </c>
      <c r="J2195" s="55">
        <v>1</v>
      </c>
    </row>
    <row r="2196" spans="1:10" ht="15" x14ac:dyDescent="0.4">
      <c r="A2196" s="54">
        <v>46243</v>
      </c>
      <c r="B2196" s="55" t="s">
        <v>62</v>
      </c>
      <c r="C2196" s="55" t="s">
        <v>56</v>
      </c>
      <c r="D2196" s="57">
        <v>8793</v>
      </c>
      <c r="E2196" s="55">
        <v>6280</v>
      </c>
      <c r="F2196" s="55">
        <v>64</v>
      </c>
      <c r="G2196" s="55">
        <v>2</v>
      </c>
      <c r="H2196" s="55">
        <v>1</v>
      </c>
      <c r="I2196" s="55">
        <v>0</v>
      </c>
      <c r="J2196" s="55">
        <v>0</v>
      </c>
    </row>
    <row r="2197" spans="1:10" ht="15" x14ac:dyDescent="0.4">
      <c r="A2197" s="54">
        <v>46244</v>
      </c>
      <c r="B2197" s="55" t="s">
        <v>63</v>
      </c>
      <c r="C2197" s="55" t="s">
        <v>58</v>
      </c>
      <c r="D2197" s="57">
        <v>7474</v>
      </c>
      <c r="E2197" s="55">
        <v>1557</v>
      </c>
      <c r="F2197" s="55">
        <v>76</v>
      </c>
      <c r="G2197" s="55">
        <v>6</v>
      </c>
      <c r="H2197" s="55">
        <v>1</v>
      </c>
      <c r="I2197" s="55">
        <v>0</v>
      </c>
      <c r="J2197" s="55">
        <v>0</v>
      </c>
    </row>
    <row r="2198" spans="1:10" ht="15" x14ac:dyDescent="0.4">
      <c r="A2198" s="54">
        <v>46244</v>
      </c>
      <c r="B2198" s="55" t="s">
        <v>57</v>
      </c>
      <c r="C2198" s="55" t="s">
        <v>58</v>
      </c>
      <c r="D2198" s="57">
        <v>21100</v>
      </c>
      <c r="E2198" s="55">
        <v>4395</v>
      </c>
      <c r="F2198" s="55">
        <v>196</v>
      </c>
      <c r="G2198" s="55">
        <v>5</v>
      </c>
      <c r="H2198" s="55">
        <v>0</v>
      </c>
      <c r="I2198" s="55">
        <v>0</v>
      </c>
      <c r="J2198" s="55">
        <v>0</v>
      </c>
    </row>
    <row r="2199" spans="1:10" ht="15" x14ac:dyDescent="0.4">
      <c r="A2199" s="54">
        <v>46244</v>
      </c>
      <c r="B2199" s="55" t="s">
        <v>59</v>
      </c>
      <c r="C2199" s="55" t="s">
        <v>60</v>
      </c>
      <c r="D2199" s="57">
        <v>26595</v>
      </c>
      <c r="E2199" s="55">
        <v>5114</v>
      </c>
      <c r="F2199" s="55">
        <v>34</v>
      </c>
      <c r="G2199" s="55">
        <v>4</v>
      </c>
      <c r="H2199" s="55">
        <v>0</v>
      </c>
      <c r="I2199" s="55">
        <v>0</v>
      </c>
      <c r="J2199" s="55">
        <v>1</v>
      </c>
    </row>
    <row r="2200" spans="1:10" ht="15" x14ac:dyDescent="0.4">
      <c r="A2200" s="54">
        <v>46244</v>
      </c>
      <c r="B2200" s="55" t="s">
        <v>64</v>
      </c>
      <c r="C2200" s="55" t="s">
        <v>56</v>
      </c>
      <c r="D2200" s="57">
        <v>47030</v>
      </c>
      <c r="E2200" s="55">
        <v>33592</v>
      </c>
      <c r="F2200" s="55">
        <v>394</v>
      </c>
      <c r="G2200" s="55">
        <v>22</v>
      </c>
      <c r="H2200" s="55">
        <v>1</v>
      </c>
      <c r="I2200" s="55">
        <v>0</v>
      </c>
      <c r="J2200" s="55">
        <v>0</v>
      </c>
    </row>
    <row r="2201" spans="1:10" ht="15" x14ac:dyDescent="0.4">
      <c r="A2201" s="54">
        <v>46244</v>
      </c>
      <c r="B2201" s="55" t="s">
        <v>55</v>
      </c>
      <c r="C2201" s="55" t="s">
        <v>56</v>
      </c>
      <c r="D2201" s="57">
        <v>40123</v>
      </c>
      <c r="E2201" s="55">
        <v>28659</v>
      </c>
      <c r="F2201" s="55">
        <v>357</v>
      </c>
      <c r="G2201" s="55">
        <v>11</v>
      </c>
      <c r="H2201" s="55">
        <v>2</v>
      </c>
      <c r="I2201" s="55">
        <v>1</v>
      </c>
      <c r="J2201" s="55">
        <v>0</v>
      </c>
    </row>
    <row r="2202" spans="1:10" ht="15" x14ac:dyDescent="0.4">
      <c r="A2202" s="54">
        <v>46244</v>
      </c>
      <c r="B2202" s="55" t="s">
        <v>62</v>
      </c>
      <c r="C2202" s="55" t="s">
        <v>56</v>
      </c>
      <c r="D2202" s="57">
        <v>9382</v>
      </c>
      <c r="E2202" s="55">
        <v>6701</v>
      </c>
      <c r="F2202" s="55">
        <v>73</v>
      </c>
      <c r="G2202" s="55">
        <v>2</v>
      </c>
      <c r="H2202" s="55">
        <v>1</v>
      </c>
      <c r="I2202" s="55">
        <v>0</v>
      </c>
      <c r="J2202" s="55">
        <v>0</v>
      </c>
    </row>
    <row r="2203" spans="1:10" ht="15" x14ac:dyDescent="0.4">
      <c r="A2203" s="54">
        <v>46245</v>
      </c>
      <c r="B2203" s="55" t="s">
        <v>63</v>
      </c>
      <c r="C2203" s="55" t="s">
        <v>58</v>
      </c>
      <c r="D2203" s="57">
        <v>6247</v>
      </c>
      <c r="E2203" s="55">
        <v>1301</v>
      </c>
      <c r="F2203" s="55">
        <v>59</v>
      </c>
      <c r="G2203" s="55">
        <v>2</v>
      </c>
      <c r="H2203" s="55">
        <v>0</v>
      </c>
      <c r="I2203" s="55">
        <v>0</v>
      </c>
      <c r="J2203" s="55">
        <v>0</v>
      </c>
    </row>
    <row r="2204" spans="1:10" ht="15" x14ac:dyDescent="0.4">
      <c r="A2204" s="54">
        <v>46245</v>
      </c>
      <c r="B2204" s="55" t="s">
        <v>57</v>
      </c>
      <c r="C2204" s="55" t="s">
        <v>58</v>
      </c>
      <c r="D2204" s="57">
        <v>18314</v>
      </c>
      <c r="E2204" s="55">
        <v>3815</v>
      </c>
      <c r="F2204" s="55">
        <v>190</v>
      </c>
      <c r="G2204" s="55">
        <v>1</v>
      </c>
      <c r="H2204" s="55">
        <v>2</v>
      </c>
      <c r="I2204" s="55">
        <v>1</v>
      </c>
      <c r="J2204" s="55">
        <v>0</v>
      </c>
    </row>
    <row r="2205" spans="1:10" ht="15" x14ac:dyDescent="0.4">
      <c r="A2205" s="54">
        <v>46245</v>
      </c>
      <c r="B2205" s="55" t="s">
        <v>59</v>
      </c>
      <c r="C2205" s="55" t="s">
        <v>60</v>
      </c>
      <c r="D2205" s="57">
        <v>25782</v>
      </c>
      <c r="E2205" s="55">
        <v>4958</v>
      </c>
      <c r="F2205" s="55">
        <v>33</v>
      </c>
      <c r="G2205" s="55">
        <v>2</v>
      </c>
      <c r="H2205" s="55">
        <v>2</v>
      </c>
      <c r="I2205" s="55">
        <v>2</v>
      </c>
      <c r="J2205" s="55">
        <v>1</v>
      </c>
    </row>
    <row r="2206" spans="1:10" ht="15" x14ac:dyDescent="0.4">
      <c r="A2206" s="54">
        <v>46245</v>
      </c>
      <c r="B2206" s="55" t="s">
        <v>64</v>
      </c>
      <c r="C2206" s="55" t="s">
        <v>56</v>
      </c>
      <c r="D2206" s="57">
        <v>42985</v>
      </c>
      <c r="E2206" s="55">
        <v>30703</v>
      </c>
      <c r="F2206" s="55">
        <v>307</v>
      </c>
      <c r="G2206" s="55">
        <v>28</v>
      </c>
      <c r="H2206" s="55">
        <v>1</v>
      </c>
      <c r="I2206" s="55">
        <v>0</v>
      </c>
      <c r="J2206" s="55">
        <v>0</v>
      </c>
    </row>
    <row r="2207" spans="1:10" ht="15" x14ac:dyDescent="0.4">
      <c r="A2207" s="54">
        <v>46245</v>
      </c>
      <c r="B2207" s="55" t="s">
        <v>55</v>
      </c>
      <c r="C2207" s="55" t="s">
        <v>56</v>
      </c>
      <c r="D2207" s="57">
        <v>41969</v>
      </c>
      <c r="E2207" s="55">
        <v>29977</v>
      </c>
      <c r="F2207" s="55">
        <v>377</v>
      </c>
      <c r="G2207" s="55">
        <v>10</v>
      </c>
      <c r="H2207" s="55">
        <v>1</v>
      </c>
      <c r="I2207" s="55">
        <v>1</v>
      </c>
      <c r="J2207" s="55">
        <v>0</v>
      </c>
    </row>
    <row r="2208" spans="1:10" ht="15" x14ac:dyDescent="0.4">
      <c r="A2208" s="54">
        <v>46245</v>
      </c>
      <c r="B2208" s="55" t="s">
        <v>62</v>
      </c>
      <c r="C2208" s="55" t="s">
        <v>56</v>
      </c>
      <c r="D2208" s="57">
        <v>8702</v>
      </c>
      <c r="E2208" s="55">
        <v>6215</v>
      </c>
      <c r="F2208" s="55">
        <v>73</v>
      </c>
      <c r="G2208" s="55">
        <v>1</v>
      </c>
      <c r="H2208" s="55">
        <v>1</v>
      </c>
      <c r="I2208" s="55">
        <v>0</v>
      </c>
      <c r="J2208" s="55">
        <v>0</v>
      </c>
    </row>
    <row r="2209" spans="1:10" ht="15" x14ac:dyDescent="0.4">
      <c r="A2209" s="54">
        <v>46246</v>
      </c>
      <c r="B2209" s="55" t="s">
        <v>63</v>
      </c>
      <c r="C2209" s="55" t="s">
        <v>58</v>
      </c>
      <c r="D2209" s="57">
        <v>6858</v>
      </c>
      <c r="E2209" s="55">
        <v>1428</v>
      </c>
      <c r="F2209" s="55">
        <v>84</v>
      </c>
      <c r="G2209" s="55">
        <v>1</v>
      </c>
      <c r="H2209" s="55">
        <v>2</v>
      </c>
      <c r="I2209" s="55">
        <v>1</v>
      </c>
      <c r="J2209" s="55">
        <v>0</v>
      </c>
    </row>
    <row r="2210" spans="1:10" ht="15" x14ac:dyDescent="0.4">
      <c r="A2210" s="54">
        <v>46246</v>
      </c>
      <c r="B2210" s="55" t="s">
        <v>57</v>
      </c>
      <c r="C2210" s="55" t="s">
        <v>58</v>
      </c>
      <c r="D2210" s="57">
        <v>18275</v>
      </c>
      <c r="E2210" s="55">
        <v>3807</v>
      </c>
      <c r="F2210" s="55">
        <v>213</v>
      </c>
      <c r="G2210" s="55">
        <v>2</v>
      </c>
      <c r="H2210" s="55">
        <v>2</v>
      </c>
      <c r="I2210" s="55">
        <v>2</v>
      </c>
      <c r="J2210" s="55">
        <v>0</v>
      </c>
    </row>
    <row r="2211" spans="1:10" ht="15" x14ac:dyDescent="0.4">
      <c r="A2211" s="54">
        <v>46246</v>
      </c>
      <c r="B2211" s="55" t="s">
        <v>59</v>
      </c>
      <c r="C2211" s="55" t="s">
        <v>60</v>
      </c>
      <c r="D2211" s="57">
        <v>24596</v>
      </c>
      <c r="E2211" s="55">
        <v>4730</v>
      </c>
      <c r="F2211" s="55">
        <v>32</v>
      </c>
      <c r="G2211" s="55">
        <v>0</v>
      </c>
      <c r="H2211" s="55">
        <v>1</v>
      </c>
      <c r="I2211" s="55">
        <v>1</v>
      </c>
      <c r="J2211" s="55">
        <v>0</v>
      </c>
    </row>
    <row r="2212" spans="1:10" ht="15" x14ac:dyDescent="0.4">
      <c r="A2212" s="54">
        <v>46246</v>
      </c>
      <c r="B2212" s="55" t="s">
        <v>64</v>
      </c>
      <c r="C2212" s="55" t="s">
        <v>56</v>
      </c>
      <c r="D2212" s="57">
        <v>49420</v>
      </c>
      <c r="E2212" s="55">
        <v>35300</v>
      </c>
      <c r="F2212" s="55">
        <v>383</v>
      </c>
      <c r="G2212" s="55">
        <v>38</v>
      </c>
      <c r="H2212" s="55">
        <v>1</v>
      </c>
      <c r="I2212" s="55">
        <v>0</v>
      </c>
      <c r="J2212" s="55">
        <v>0</v>
      </c>
    </row>
    <row r="2213" spans="1:10" ht="15" x14ac:dyDescent="0.4">
      <c r="A2213" s="54">
        <v>46246</v>
      </c>
      <c r="B2213" s="55" t="s">
        <v>55</v>
      </c>
      <c r="C2213" s="55" t="s">
        <v>56</v>
      </c>
      <c r="D2213" s="57">
        <v>38389</v>
      </c>
      <c r="E2213" s="55">
        <v>27420</v>
      </c>
      <c r="F2213" s="55">
        <v>289</v>
      </c>
      <c r="G2213" s="55">
        <v>12</v>
      </c>
      <c r="H2213" s="55">
        <v>5</v>
      </c>
      <c r="I2213" s="55">
        <v>1</v>
      </c>
      <c r="J2213" s="55">
        <v>1</v>
      </c>
    </row>
    <row r="2214" spans="1:10" ht="15" x14ac:dyDescent="0.4">
      <c r="A2214" s="54">
        <v>46246</v>
      </c>
      <c r="B2214" s="55" t="s">
        <v>62</v>
      </c>
      <c r="C2214" s="55" t="s">
        <v>56</v>
      </c>
      <c r="D2214" s="57">
        <v>9086</v>
      </c>
      <c r="E2214" s="55">
        <v>6490</v>
      </c>
      <c r="F2214" s="55">
        <v>79</v>
      </c>
      <c r="G2214" s="55">
        <v>4</v>
      </c>
      <c r="H2214" s="55">
        <v>1</v>
      </c>
      <c r="I2214" s="55">
        <v>1</v>
      </c>
      <c r="J2214" s="55">
        <v>0</v>
      </c>
    </row>
    <row r="2215" spans="1:10" ht="15" x14ac:dyDescent="0.4">
      <c r="A2215" s="54">
        <v>46247</v>
      </c>
      <c r="B2215" s="55" t="s">
        <v>63</v>
      </c>
      <c r="C2215" s="55" t="s">
        <v>58</v>
      </c>
      <c r="D2215" s="57">
        <v>6298</v>
      </c>
      <c r="E2215" s="55">
        <v>1312</v>
      </c>
      <c r="F2215" s="55">
        <v>73</v>
      </c>
      <c r="G2215" s="55">
        <v>0</v>
      </c>
      <c r="H2215" s="55">
        <v>1</v>
      </c>
      <c r="I2215" s="55">
        <v>2</v>
      </c>
      <c r="J2215" s="55">
        <v>0</v>
      </c>
    </row>
    <row r="2216" spans="1:10" ht="15" x14ac:dyDescent="0.4">
      <c r="A2216" s="54">
        <v>46247</v>
      </c>
      <c r="B2216" s="55" t="s">
        <v>57</v>
      </c>
      <c r="C2216" s="55" t="s">
        <v>58</v>
      </c>
      <c r="D2216" s="57">
        <v>20127</v>
      </c>
      <c r="E2216" s="55">
        <v>4193</v>
      </c>
      <c r="F2216" s="55">
        <v>217</v>
      </c>
      <c r="G2216" s="55">
        <v>4</v>
      </c>
      <c r="H2216" s="55">
        <v>0</v>
      </c>
      <c r="I2216" s="55">
        <v>0</v>
      </c>
      <c r="J2216" s="55">
        <v>0</v>
      </c>
    </row>
    <row r="2217" spans="1:10" ht="15" x14ac:dyDescent="0.4">
      <c r="A2217" s="54">
        <v>46247</v>
      </c>
      <c r="B2217" s="55" t="s">
        <v>59</v>
      </c>
      <c r="C2217" s="55" t="s">
        <v>60</v>
      </c>
      <c r="D2217" s="57">
        <v>27652</v>
      </c>
      <c r="E2217" s="55">
        <v>5317</v>
      </c>
      <c r="F2217" s="55">
        <v>39</v>
      </c>
      <c r="G2217" s="55">
        <v>2</v>
      </c>
      <c r="H2217" s="55">
        <v>2</v>
      </c>
      <c r="I2217" s="55">
        <v>0</v>
      </c>
      <c r="J2217" s="55">
        <v>0</v>
      </c>
    </row>
    <row r="2218" spans="1:10" ht="15" x14ac:dyDescent="0.4">
      <c r="A2218" s="54">
        <v>46247</v>
      </c>
      <c r="B2218" s="55" t="s">
        <v>64</v>
      </c>
      <c r="C2218" s="55" t="s">
        <v>56</v>
      </c>
      <c r="D2218" s="57">
        <v>46732</v>
      </c>
      <c r="E2218" s="55">
        <v>33380</v>
      </c>
      <c r="F2218" s="55">
        <v>316</v>
      </c>
      <c r="G2218" s="55">
        <v>28</v>
      </c>
      <c r="H2218" s="55">
        <v>2</v>
      </c>
      <c r="I2218" s="55">
        <v>0</v>
      </c>
      <c r="J2218" s="55">
        <v>0</v>
      </c>
    </row>
    <row r="2219" spans="1:10" ht="15" x14ac:dyDescent="0.4">
      <c r="A2219" s="54">
        <v>46247</v>
      </c>
      <c r="B2219" s="55" t="s">
        <v>55</v>
      </c>
      <c r="C2219" s="55" t="s">
        <v>56</v>
      </c>
      <c r="D2219" s="57">
        <v>36498</v>
      </c>
      <c r="E2219" s="55">
        <v>26070</v>
      </c>
      <c r="F2219" s="55">
        <v>256</v>
      </c>
      <c r="G2219" s="55">
        <v>9</v>
      </c>
      <c r="H2219" s="55">
        <v>2</v>
      </c>
      <c r="I2219" s="55">
        <v>1</v>
      </c>
      <c r="J2219" s="55">
        <v>0</v>
      </c>
    </row>
    <row r="2220" spans="1:10" ht="15" x14ac:dyDescent="0.4">
      <c r="A2220" s="54">
        <v>46247</v>
      </c>
      <c r="B2220" s="55" t="s">
        <v>62</v>
      </c>
      <c r="C2220" s="55" t="s">
        <v>56</v>
      </c>
      <c r="D2220" s="57">
        <v>9715</v>
      </c>
      <c r="E2220" s="55">
        <v>6939</v>
      </c>
      <c r="F2220" s="55">
        <v>84</v>
      </c>
      <c r="G2220" s="55">
        <v>5</v>
      </c>
      <c r="H2220" s="55">
        <v>0</v>
      </c>
      <c r="I2220" s="55">
        <v>0</v>
      </c>
      <c r="J2220" s="55">
        <v>0</v>
      </c>
    </row>
    <row r="2221" spans="1:10" ht="15" x14ac:dyDescent="0.4">
      <c r="A2221" s="54">
        <v>46248</v>
      </c>
      <c r="B2221" s="55" t="s">
        <v>63</v>
      </c>
      <c r="C2221" s="55" t="s">
        <v>58</v>
      </c>
      <c r="D2221" s="57">
        <v>7455</v>
      </c>
      <c r="E2221" s="55">
        <v>1553</v>
      </c>
      <c r="F2221" s="55">
        <v>78</v>
      </c>
      <c r="G2221" s="55">
        <v>5</v>
      </c>
      <c r="H2221" s="55">
        <v>1</v>
      </c>
      <c r="I2221" s="55">
        <v>1</v>
      </c>
      <c r="J2221" s="55">
        <v>0</v>
      </c>
    </row>
    <row r="2222" spans="1:10" ht="15" x14ac:dyDescent="0.4">
      <c r="A2222" s="54">
        <v>46248</v>
      </c>
      <c r="B2222" s="55" t="s">
        <v>57</v>
      </c>
      <c r="C2222" s="55" t="s">
        <v>58</v>
      </c>
      <c r="D2222" s="57">
        <v>18987</v>
      </c>
      <c r="E2222" s="55">
        <v>3955</v>
      </c>
      <c r="F2222" s="55">
        <v>210</v>
      </c>
      <c r="G2222" s="55">
        <v>3</v>
      </c>
      <c r="H2222" s="55">
        <v>0</v>
      </c>
      <c r="I2222" s="55">
        <v>2</v>
      </c>
      <c r="J2222" s="55">
        <v>0</v>
      </c>
    </row>
    <row r="2223" spans="1:10" ht="15" x14ac:dyDescent="0.4">
      <c r="A2223" s="54">
        <v>46248</v>
      </c>
      <c r="B2223" s="55" t="s">
        <v>59</v>
      </c>
      <c r="C2223" s="55" t="s">
        <v>60</v>
      </c>
      <c r="D2223" s="57">
        <v>25477</v>
      </c>
      <c r="E2223" s="55">
        <v>4899</v>
      </c>
      <c r="F2223" s="55">
        <v>29</v>
      </c>
      <c r="G2223" s="55">
        <v>1</v>
      </c>
      <c r="H2223" s="55">
        <v>1</v>
      </c>
      <c r="I2223" s="55">
        <v>1</v>
      </c>
      <c r="J2223" s="55">
        <v>0</v>
      </c>
    </row>
    <row r="2224" spans="1:10" ht="15" x14ac:dyDescent="0.4">
      <c r="A2224" s="54">
        <v>46248</v>
      </c>
      <c r="B2224" s="55" t="s">
        <v>64</v>
      </c>
      <c r="C2224" s="55" t="s">
        <v>56</v>
      </c>
      <c r="D2224" s="57">
        <v>42606</v>
      </c>
      <c r="E2224" s="55">
        <v>30432</v>
      </c>
      <c r="F2224" s="55">
        <v>315</v>
      </c>
      <c r="G2224" s="55">
        <v>18</v>
      </c>
      <c r="H2224" s="55">
        <v>1</v>
      </c>
      <c r="I2224" s="55">
        <v>0</v>
      </c>
      <c r="J2224" s="55">
        <v>0</v>
      </c>
    </row>
    <row r="2225" spans="1:10" ht="15" x14ac:dyDescent="0.4">
      <c r="A2225" s="54">
        <v>46248</v>
      </c>
      <c r="B2225" s="55" t="s">
        <v>55</v>
      </c>
      <c r="C2225" s="55" t="s">
        <v>56</v>
      </c>
      <c r="D2225" s="57">
        <v>41742</v>
      </c>
      <c r="E2225" s="55">
        <v>29815</v>
      </c>
      <c r="F2225" s="55">
        <v>336</v>
      </c>
      <c r="G2225" s="55">
        <v>10</v>
      </c>
      <c r="H2225" s="55">
        <v>2</v>
      </c>
      <c r="I2225" s="55">
        <v>0</v>
      </c>
      <c r="J2225" s="55">
        <v>2</v>
      </c>
    </row>
    <row r="2226" spans="1:10" ht="15" x14ac:dyDescent="0.4">
      <c r="A2226" s="54">
        <v>46248</v>
      </c>
      <c r="B2226" s="55" t="s">
        <v>62</v>
      </c>
      <c r="C2226" s="55" t="s">
        <v>56</v>
      </c>
      <c r="D2226" s="57">
        <v>9645</v>
      </c>
      <c r="E2226" s="55">
        <v>6889</v>
      </c>
      <c r="F2226" s="55">
        <v>69</v>
      </c>
      <c r="G2226" s="55">
        <v>4</v>
      </c>
      <c r="H2226" s="55">
        <v>0</v>
      </c>
      <c r="I2226" s="55">
        <v>1</v>
      </c>
      <c r="J2226" s="55">
        <v>0</v>
      </c>
    </row>
    <row r="2227" spans="1:10" ht="15" x14ac:dyDescent="0.4">
      <c r="A2227" s="54">
        <v>46249</v>
      </c>
      <c r="B2227" s="55" t="s">
        <v>63</v>
      </c>
      <c r="C2227" s="55" t="s">
        <v>58</v>
      </c>
      <c r="D2227" s="57">
        <v>6307</v>
      </c>
      <c r="E2227" s="55">
        <v>1313</v>
      </c>
      <c r="F2227" s="55">
        <v>62</v>
      </c>
      <c r="G2227" s="55">
        <v>1</v>
      </c>
      <c r="H2227" s="55">
        <v>3</v>
      </c>
      <c r="I2227" s="55">
        <v>1</v>
      </c>
      <c r="J2227" s="55">
        <v>0</v>
      </c>
    </row>
    <row r="2228" spans="1:10" ht="15" x14ac:dyDescent="0.4">
      <c r="A2228" s="54">
        <v>46249</v>
      </c>
      <c r="B2228" s="55" t="s">
        <v>57</v>
      </c>
      <c r="C2228" s="55" t="s">
        <v>58</v>
      </c>
      <c r="D2228" s="57">
        <v>17479</v>
      </c>
      <c r="E2228" s="55">
        <v>3641</v>
      </c>
      <c r="F2228" s="55">
        <v>176</v>
      </c>
      <c r="G2228" s="55">
        <v>5</v>
      </c>
      <c r="H2228" s="55">
        <v>0</v>
      </c>
      <c r="I2228" s="55">
        <v>2</v>
      </c>
      <c r="J2228" s="55">
        <v>0</v>
      </c>
    </row>
    <row r="2229" spans="1:10" ht="15" x14ac:dyDescent="0.4">
      <c r="A2229" s="54">
        <v>46249</v>
      </c>
      <c r="B2229" s="55" t="s">
        <v>59</v>
      </c>
      <c r="C2229" s="55" t="s">
        <v>60</v>
      </c>
      <c r="D2229" s="57">
        <v>23340</v>
      </c>
      <c r="E2229" s="55">
        <v>4488</v>
      </c>
      <c r="F2229" s="55">
        <v>30</v>
      </c>
      <c r="G2229" s="55">
        <v>1</v>
      </c>
      <c r="H2229" s="55">
        <v>3</v>
      </c>
      <c r="I2229" s="55">
        <v>3</v>
      </c>
      <c r="J2229" s="55">
        <v>0</v>
      </c>
    </row>
    <row r="2230" spans="1:10" ht="15" x14ac:dyDescent="0.4">
      <c r="A2230" s="54">
        <v>46249</v>
      </c>
      <c r="B2230" s="55" t="s">
        <v>64</v>
      </c>
      <c r="C2230" s="55" t="s">
        <v>56</v>
      </c>
      <c r="D2230" s="57">
        <v>44052</v>
      </c>
      <c r="E2230" s="55">
        <v>31465</v>
      </c>
      <c r="F2230" s="55">
        <v>341</v>
      </c>
      <c r="G2230" s="55">
        <v>22</v>
      </c>
      <c r="H2230" s="55">
        <v>2</v>
      </c>
      <c r="I2230" s="55">
        <v>1</v>
      </c>
      <c r="J2230" s="55">
        <v>0</v>
      </c>
    </row>
    <row r="2231" spans="1:10" ht="15" x14ac:dyDescent="0.4">
      <c r="A2231" s="54">
        <v>46249</v>
      </c>
      <c r="B2231" s="55" t="s">
        <v>55</v>
      </c>
      <c r="C2231" s="55" t="s">
        <v>56</v>
      </c>
      <c r="D2231" s="57">
        <v>40881</v>
      </c>
      <c r="E2231" s="55">
        <v>29200</v>
      </c>
      <c r="F2231" s="55">
        <v>293</v>
      </c>
      <c r="G2231" s="55">
        <v>6</v>
      </c>
      <c r="H2231" s="55">
        <v>2</v>
      </c>
      <c r="I2231" s="55">
        <v>1</v>
      </c>
      <c r="J2231" s="55">
        <v>0</v>
      </c>
    </row>
    <row r="2232" spans="1:10" ht="15" x14ac:dyDescent="0.4">
      <c r="A2232" s="54">
        <v>46249</v>
      </c>
      <c r="B2232" s="55" t="s">
        <v>62</v>
      </c>
      <c r="C2232" s="55" t="s">
        <v>56</v>
      </c>
      <c r="D2232" s="57">
        <v>9944</v>
      </c>
      <c r="E2232" s="55">
        <v>7102</v>
      </c>
      <c r="F2232" s="55">
        <v>76</v>
      </c>
      <c r="G2232" s="55">
        <v>1</v>
      </c>
      <c r="H2232" s="55">
        <v>1</v>
      </c>
      <c r="I2232" s="55">
        <v>0</v>
      </c>
      <c r="J2232" s="55">
        <v>0</v>
      </c>
    </row>
    <row r="2233" spans="1:10" ht="15" x14ac:dyDescent="0.4">
      <c r="A2233" s="54">
        <v>46250</v>
      </c>
      <c r="B2233" s="55" t="s">
        <v>63</v>
      </c>
      <c r="C2233" s="55" t="s">
        <v>58</v>
      </c>
      <c r="D2233" s="57">
        <v>6387</v>
      </c>
      <c r="E2233" s="55">
        <v>1330</v>
      </c>
      <c r="F2233" s="55">
        <v>78</v>
      </c>
      <c r="G2233" s="55">
        <v>1</v>
      </c>
      <c r="H2233" s="55">
        <v>0</v>
      </c>
      <c r="I2233" s="55">
        <v>0</v>
      </c>
      <c r="J2233" s="55">
        <v>0</v>
      </c>
    </row>
    <row r="2234" spans="1:10" ht="15" x14ac:dyDescent="0.4">
      <c r="A2234" s="54">
        <v>46250</v>
      </c>
      <c r="B2234" s="55" t="s">
        <v>57</v>
      </c>
      <c r="C2234" s="55" t="s">
        <v>58</v>
      </c>
      <c r="D2234" s="57">
        <v>19462</v>
      </c>
      <c r="E2234" s="55">
        <v>4054</v>
      </c>
      <c r="F2234" s="55">
        <v>226</v>
      </c>
      <c r="G2234" s="55">
        <v>1</v>
      </c>
      <c r="H2234" s="55">
        <v>0</v>
      </c>
      <c r="I2234" s="55">
        <v>0</v>
      </c>
      <c r="J2234" s="55">
        <v>0</v>
      </c>
    </row>
    <row r="2235" spans="1:10" ht="15" x14ac:dyDescent="0.4">
      <c r="A2235" s="54">
        <v>46250</v>
      </c>
      <c r="B2235" s="55" t="s">
        <v>59</v>
      </c>
      <c r="C2235" s="55" t="s">
        <v>60</v>
      </c>
      <c r="D2235" s="57">
        <v>26834</v>
      </c>
      <c r="E2235" s="55">
        <v>5160</v>
      </c>
      <c r="F2235" s="55">
        <v>28</v>
      </c>
      <c r="G2235" s="55">
        <v>1</v>
      </c>
      <c r="H2235" s="55">
        <v>0</v>
      </c>
      <c r="I2235" s="55">
        <v>0</v>
      </c>
      <c r="J2235" s="55">
        <v>0</v>
      </c>
    </row>
    <row r="2236" spans="1:10" ht="15" x14ac:dyDescent="0.4">
      <c r="A2236" s="54">
        <v>46250</v>
      </c>
      <c r="B2236" s="55" t="s">
        <v>64</v>
      </c>
      <c r="C2236" s="55" t="s">
        <v>56</v>
      </c>
      <c r="D2236" s="57">
        <v>51787</v>
      </c>
      <c r="E2236" s="55">
        <v>36990</v>
      </c>
      <c r="F2236" s="55">
        <v>386</v>
      </c>
      <c r="G2236" s="55">
        <v>21</v>
      </c>
      <c r="H2236" s="55">
        <v>0</v>
      </c>
      <c r="I2236" s="55">
        <v>1</v>
      </c>
      <c r="J2236" s="55">
        <v>0</v>
      </c>
    </row>
    <row r="2237" spans="1:10" ht="15" x14ac:dyDescent="0.4">
      <c r="A2237" s="54">
        <v>46250</v>
      </c>
      <c r="B2237" s="55" t="s">
        <v>55</v>
      </c>
      <c r="C2237" s="55" t="s">
        <v>56</v>
      </c>
      <c r="D2237" s="57">
        <v>38801</v>
      </c>
      <c r="E2237" s="55">
        <v>27715</v>
      </c>
      <c r="F2237" s="55">
        <v>330</v>
      </c>
      <c r="G2237" s="55">
        <v>6</v>
      </c>
      <c r="H2237" s="55">
        <v>0</v>
      </c>
      <c r="I2237" s="55">
        <v>2</v>
      </c>
      <c r="J2237" s="55">
        <v>0</v>
      </c>
    </row>
    <row r="2238" spans="1:10" ht="15" x14ac:dyDescent="0.4">
      <c r="A2238" s="54">
        <v>46250</v>
      </c>
      <c r="B2238" s="55" t="s">
        <v>62</v>
      </c>
      <c r="C2238" s="55" t="s">
        <v>56</v>
      </c>
      <c r="D2238" s="57">
        <v>8736</v>
      </c>
      <c r="E2238" s="55">
        <v>6240</v>
      </c>
      <c r="F2238" s="55">
        <v>68</v>
      </c>
      <c r="G2238" s="55">
        <v>3</v>
      </c>
      <c r="H2238" s="55">
        <v>1</v>
      </c>
      <c r="I2238" s="55">
        <v>0</v>
      </c>
      <c r="J2238" s="55">
        <v>0</v>
      </c>
    </row>
    <row r="2239" spans="1:10" ht="15" x14ac:dyDescent="0.4">
      <c r="A2239" s="54">
        <v>46251</v>
      </c>
      <c r="B2239" s="55" t="s">
        <v>63</v>
      </c>
      <c r="C2239" s="55" t="s">
        <v>58</v>
      </c>
      <c r="D2239" s="57">
        <v>7250</v>
      </c>
      <c r="E2239" s="55">
        <v>1510</v>
      </c>
      <c r="F2239" s="55">
        <v>80</v>
      </c>
      <c r="G2239" s="55">
        <v>4</v>
      </c>
      <c r="H2239" s="55">
        <v>1</v>
      </c>
      <c r="I2239" s="55">
        <v>1</v>
      </c>
      <c r="J2239" s="55">
        <v>0</v>
      </c>
    </row>
    <row r="2240" spans="1:10" ht="15" x14ac:dyDescent="0.4">
      <c r="A2240" s="54">
        <v>46251</v>
      </c>
      <c r="B2240" s="55" t="s">
        <v>57</v>
      </c>
      <c r="C2240" s="55" t="s">
        <v>58</v>
      </c>
      <c r="D2240" s="57">
        <v>20315</v>
      </c>
      <c r="E2240" s="55">
        <v>4232</v>
      </c>
      <c r="F2240" s="55">
        <v>216</v>
      </c>
      <c r="G2240" s="55">
        <v>5</v>
      </c>
      <c r="H2240" s="55">
        <v>0</v>
      </c>
      <c r="I2240" s="55">
        <v>0</v>
      </c>
      <c r="J2240" s="55">
        <v>0</v>
      </c>
    </row>
    <row r="2241" spans="1:10" ht="15" x14ac:dyDescent="0.4">
      <c r="A2241" s="54">
        <v>46251</v>
      </c>
      <c r="B2241" s="55" t="s">
        <v>59</v>
      </c>
      <c r="C2241" s="55" t="s">
        <v>60</v>
      </c>
      <c r="D2241" s="57">
        <v>25777</v>
      </c>
      <c r="E2241" s="55">
        <v>4957</v>
      </c>
      <c r="F2241" s="55">
        <v>35</v>
      </c>
      <c r="G2241" s="55">
        <v>1</v>
      </c>
      <c r="H2241" s="55">
        <v>2</v>
      </c>
      <c r="I2241" s="55">
        <v>1</v>
      </c>
      <c r="J2241" s="55">
        <v>0</v>
      </c>
    </row>
    <row r="2242" spans="1:10" ht="15" x14ac:dyDescent="0.4">
      <c r="A2242" s="54">
        <v>46251</v>
      </c>
      <c r="B2242" s="55" t="s">
        <v>64</v>
      </c>
      <c r="C2242" s="55" t="s">
        <v>56</v>
      </c>
      <c r="D2242" s="57">
        <v>48346</v>
      </c>
      <c r="E2242" s="55">
        <v>34532</v>
      </c>
      <c r="F2242" s="55">
        <v>381</v>
      </c>
      <c r="G2242" s="55">
        <v>24</v>
      </c>
      <c r="H2242" s="55">
        <v>1</v>
      </c>
      <c r="I2242" s="55">
        <v>0</v>
      </c>
      <c r="J2242" s="55">
        <v>0</v>
      </c>
    </row>
    <row r="2243" spans="1:10" ht="15" x14ac:dyDescent="0.4">
      <c r="A2243" s="54">
        <v>46251</v>
      </c>
      <c r="B2243" s="55" t="s">
        <v>55</v>
      </c>
      <c r="C2243" s="55" t="s">
        <v>56</v>
      </c>
      <c r="D2243" s="57">
        <v>39392</v>
      </c>
      <c r="E2243" s="55">
        <v>28137</v>
      </c>
      <c r="F2243" s="55">
        <v>322</v>
      </c>
      <c r="G2243" s="55">
        <v>11</v>
      </c>
      <c r="H2243" s="55">
        <v>1</v>
      </c>
      <c r="I2243" s="55">
        <v>0</v>
      </c>
      <c r="J2243" s="55">
        <v>1</v>
      </c>
    </row>
    <row r="2244" spans="1:10" ht="15" x14ac:dyDescent="0.4">
      <c r="A2244" s="54">
        <v>46251</v>
      </c>
      <c r="B2244" s="55" t="s">
        <v>62</v>
      </c>
      <c r="C2244" s="55" t="s">
        <v>56</v>
      </c>
      <c r="D2244" s="57">
        <v>8526</v>
      </c>
      <c r="E2244" s="55">
        <v>6090</v>
      </c>
      <c r="F2244" s="55">
        <v>61</v>
      </c>
      <c r="G2244" s="55">
        <v>5</v>
      </c>
      <c r="H2244" s="55">
        <v>0</v>
      </c>
      <c r="I2244" s="55">
        <v>0</v>
      </c>
      <c r="J2244" s="55">
        <v>0</v>
      </c>
    </row>
    <row r="2245" spans="1:10" ht="15" x14ac:dyDescent="0.4">
      <c r="A2245" s="54">
        <v>46252</v>
      </c>
      <c r="B2245" s="55" t="s">
        <v>63</v>
      </c>
      <c r="C2245" s="55" t="s">
        <v>58</v>
      </c>
      <c r="D2245" s="57">
        <v>6586</v>
      </c>
      <c r="E2245" s="55">
        <v>1372</v>
      </c>
      <c r="F2245" s="55">
        <v>79</v>
      </c>
      <c r="G2245" s="55">
        <v>8</v>
      </c>
      <c r="H2245" s="55">
        <v>0</v>
      </c>
      <c r="I2245" s="55">
        <v>0</v>
      </c>
      <c r="J2245" s="55">
        <v>0</v>
      </c>
    </row>
    <row r="2246" spans="1:10" ht="15" x14ac:dyDescent="0.4">
      <c r="A2246" s="54">
        <v>46252</v>
      </c>
      <c r="B2246" s="55" t="s">
        <v>57</v>
      </c>
      <c r="C2246" s="55" t="s">
        <v>58</v>
      </c>
      <c r="D2246" s="57">
        <v>17362</v>
      </c>
      <c r="E2246" s="55">
        <v>3617</v>
      </c>
      <c r="F2246" s="55">
        <v>162</v>
      </c>
      <c r="G2246" s="55">
        <v>1</v>
      </c>
      <c r="H2246" s="55">
        <v>2</v>
      </c>
      <c r="I2246" s="55">
        <v>0</v>
      </c>
      <c r="J2246" s="55">
        <v>0</v>
      </c>
    </row>
    <row r="2247" spans="1:10" ht="15" x14ac:dyDescent="0.4">
      <c r="A2247" s="54">
        <v>46252</v>
      </c>
      <c r="B2247" s="55" t="s">
        <v>59</v>
      </c>
      <c r="C2247" s="55" t="s">
        <v>60</v>
      </c>
      <c r="D2247" s="57">
        <v>27643</v>
      </c>
      <c r="E2247" s="55">
        <v>5315</v>
      </c>
      <c r="F2247" s="55">
        <v>31</v>
      </c>
      <c r="G2247" s="55">
        <v>4</v>
      </c>
      <c r="H2247" s="55">
        <v>1</v>
      </c>
      <c r="I2247" s="55">
        <v>0</v>
      </c>
      <c r="J2247" s="55">
        <v>0</v>
      </c>
    </row>
    <row r="2248" spans="1:10" ht="15" x14ac:dyDescent="0.4">
      <c r="A2248" s="54">
        <v>46252</v>
      </c>
      <c r="B2248" s="55" t="s">
        <v>64</v>
      </c>
      <c r="C2248" s="55" t="s">
        <v>56</v>
      </c>
      <c r="D2248" s="57">
        <v>50973</v>
      </c>
      <c r="E2248" s="55">
        <v>36409</v>
      </c>
      <c r="F2248" s="55">
        <v>406</v>
      </c>
      <c r="G2248" s="55">
        <v>28</v>
      </c>
      <c r="H2248" s="55">
        <v>1</v>
      </c>
      <c r="I2248" s="55">
        <v>1</v>
      </c>
      <c r="J2248" s="55">
        <v>0</v>
      </c>
    </row>
    <row r="2249" spans="1:10" ht="15" x14ac:dyDescent="0.4">
      <c r="A2249" s="54">
        <v>46252</v>
      </c>
      <c r="B2249" s="55" t="s">
        <v>55</v>
      </c>
      <c r="C2249" s="55" t="s">
        <v>56</v>
      </c>
      <c r="D2249" s="57">
        <v>40294</v>
      </c>
      <c r="E2249" s="55">
        <v>28781</v>
      </c>
      <c r="F2249" s="55">
        <v>350</v>
      </c>
      <c r="G2249" s="55">
        <v>11</v>
      </c>
      <c r="H2249" s="55">
        <v>4</v>
      </c>
      <c r="I2249" s="55">
        <v>0</v>
      </c>
      <c r="J2249" s="55">
        <v>0</v>
      </c>
    </row>
    <row r="2250" spans="1:10" ht="15" x14ac:dyDescent="0.4">
      <c r="A2250" s="54">
        <v>46252</v>
      </c>
      <c r="B2250" s="55" t="s">
        <v>62</v>
      </c>
      <c r="C2250" s="55" t="s">
        <v>56</v>
      </c>
      <c r="D2250" s="57">
        <v>9010</v>
      </c>
      <c r="E2250" s="55">
        <v>6435</v>
      </c>
      <c r="F2250" s="55">
        <v>63</v>
      </c>
      <c r="G2250" s="55">
        <v>5</v>
      </c>
      <c r="H2250" s="55">
        <v>3</v>
      </c>
      <c r="I2250" s="55">
        <v>0</v>
      </c>
      <c r="J2250" s="55">
        <v>0</v>
      </c>
    </row>
    <row r="2251" spans="1:10" ht="15" x14ac:dyDescent="0.4">
      <c r="A2251" s="54">
        <v>46253</v>
      </c>
      <c r="B2251" s="55" t="s">
        <v>63</v>
      </c>
      <c r="C2251" s="55" t="s">
        <v>58</v>
      </c>
      <c r="D2251" s="57">
        <v>7463</v>
      </c>
      <c r="E2251" s="55">
        <v>1554</v>
      </c>
      <c r="F2251" s="55">
        <v>74</v>
      </c>
      <c r="G2251" s="55">
        <v>4</v>
      </c>
      <c r="H2251" s="55">
        <v>2</v>
      </c>
      <c r="I2251" s="55">
        <v>0</v>
      </c>
      <c r="J2251" s="55">
        <v>0</v>
      </c>
    </row>
    <row r="2252" spans="1:10" ht="15" x14ac:dyDescent="0.4">
      <c r="A2252" s="54">
        <v>46253</v>
      </c>
      <c r="B2252" s="55" t="s">
        <v>57</v>
      </c>
      <c r="C2252" s="55" t="s">
        <v>58</v>
      </c>
      <c r="D2252" s="57">
        <v>18908</v>
      </c>
      <c r="E2252" s="55">
        <v>3939</v>
      </c>
      <c r="F2252" s="55">
        <v>226</v>
      </c>
      <c r="G2252" s="55">
        <v>1</v>
      </c>
      <c r="H2252" s="55">
        <v>1</v>
      </c>
      <c r="I2252" s="55">
        <v>1</v>
      </c>
      <c r="J2252" s="55">
        <v>1</v>
      </c>
    </row>
    <row r="2253" spans="1:10" ht="15" x14ac:dyDescent="0.4">
      <c r="A2253" s="54">
        <v>46253</v>
      </c>
      <c r="B2253" s="55" t="s">
        <v>59</v>
      </c>
      <c r="C2253" s="55" t="s">
        <v>60</v>
      </c>
      <c r="D2253" s="57">
        <v>23675</v>
      </c>
      <c r="E2253" s="55">
        <v>4552</v>
      </c>
      <c r="F2253" s="55">
        <v>28</v>
      </c>
      <c r="G2253" s="55">
        <v>1</v>
      </c>
      <c r="H2253" s="55">
        <v>0</v>
      </c>
      <c r="I2253" s="55">
        <v>1</v>
      </c>
      <c r="J2253" s="55">
        <v>0</v>
      </c>
    </row>
    <row r="2254" spans="1:10" ht="15" x14ac:dyDescent="0.4">
      <c r="A2254" s="54">
        <v>46253</v>
      </c>
      <c r="B2254" s="55" t="s">
        <v>64</v>
      </c>
      <c r="C2254" s="55" t="s">
        <v>56</v>
      </c>
      <c r="D2254" s="57">
        <v>46727</v>
      </c>
      <c r="E2254" s="55">
        <v>33376</v>
      </c>
      <c r="F2254" s="55">
        <v>387</v>
      </c>
      <c r="G2254" s="55">
        <v>36</v>
      </c>
      <c r="H2254" s="55">
        <v>4</v>
      </c>
      <c r="I2254" s="55">
        <v>1</v>
      </c>
      <c r="J2254" s="55">
        <v>0</v>
      </c>
    </row>
    <row r="2255" spans="1:10" ht="15" x14ac:dyDescent="0.4">
      <c r="A2255" s="54">
        <v>46253</v>
      </c>
      <c r="B2255" s="55" t="s">
        <v>55</v>
      </c>
      <c r="C2255" s="55" t="s">
        <v>56</v>
      </c>
      <c r="D2255" s="57">
        <v>35291</v>
      </c>
      <c r="E2255" s="55">
        <v>25207</v>
      </c>
      <c r="F2255" s="55">
        <v>299</v>
      </c>
      <c r="G2255" s="55">
        <v>6</v>
      </c>
      <c r="H2255" s="55">
        <v>1</v>
      </c>
      <c r="I2255" s="55">
        <v>1</v>
      </c>
      <c r="J2255" s="55">
        <v>0</v>
      </c>
    </row>
    <row r="2256" spans="1:10" ht="15" x14ac:dyDescent="0.4">
      <c r="A2256" s="54">
        <v>46253</v>
      </c>
      <c r="B2256" s="55" t="s">
        <v>62</v>
      </c>
      <c r="C2256" s="55" t="s">
        <v>56</v>
      </c>
      <c r="D2256" s="57">
        <v>9093</v>
      </c>
      <c r="E2256" s="55">
        <v>6495</v>
      </c>
      <c r="F2256" s="55">
        <v>72</v>
      </c>
      <c r="G2256" s="55">
        <v>8</v>
      </c>
      <c r="H2256" s="55">
        <v>0</v>
      </c>
      <c r="I2256" s="55">
        <v>1</v>
      </c>
      <c r="J2256" s="55">
        <v>1</v>
      </c>
    </row>
    <row r="2257" spans="1:10" ht="15" x14ac:dyDescent="0.4">
      <c r="A2257" s="54">
        <v>46254</v>
      </c>
      <c r="B2257" s="55" t="s">
        <v>63</v>
      </c>
      <c r="C2257" s="55" t="s">
        <v>58</v>
      </c>
      <c r="D2257" s="57">
        <v>6855</v>
      </c>
      <c r="E2257" s="55">
        <v>1428</v>
      </c>
      <c r="F2257" s="55">
        <v>65</v>
      </c>
      <c r="G2257" s="55">
        <v>7</v>
      </c>
      <c r="H2257" s="55">
        <v>3</v>
      </c>
      <c r="I2257" s="55">
        <v>0</v>
      </c>
      <c r="J2257" s="55">
        <v>0</v>
      </c>
    </row>
    <row r="2258" spans="1:10" ht="15" x14ac:dyDescent="0.4">
      <c r="A2258" s="54">
        <v>46254</v>
      </c>
      <c r="B2258" s="55" t="s">
        <v>57</v>
      </c>
      <c r="C2258" s="55" t="s">
        <v>58</v>
      </c>
      <c r="D2258" s="57">
        <v>17481</v>
      </c>
      <c r="E2258" s="55">
        <v>3641</v>
      </c>
      <c r="F2258" s="55">
        <v>176</v>
      </c>
      <c r="G2258" s="55">
        <v>0</v>
      </c>
      <c r="H2258" s="55">
        <v>1</v>
      </c>
      <c r="I2258" s="55">
        <v>0</v>
      </c>
      <c r="J2258" s="55">
        <v>0</v>
      </c>
    </row>
    <row r="2259" spans="1:10" ht="15" x14ac:dyDescent="0.4">
      <c r="A2259" s="54">
        <v>46254</v>
      </c>
      <c r="B2259" s="55" t="s">
        <v>59</v>
      </c>
      <c r="C2259" s="55" t="s">
        <v>60</v>
      </c>
      <c r="D2259" s="57">
        <v>26989</v>
      </c>
      <c r="E2259" s="55">
        <v>5190</v>
      </c>
      <c r="F2259" s="55">
        <v>38</v>
      </c>
      <c r="G2259" s="55">
        <v>3</v>
      </c>
      <c r="H2259" s="55">
        <v>2</v>
      </c>
      <c r="I2259" s="55">
        <v>0</v>
      </c>
      <c r="J2259" s="55">
        <v>0</v>
      </c>
    </row>
    <row r="2260" spans="1:10" ht="15" x14ac:dyDescent="0.4">
      <c r="A2260" s="54">
        <v>46254</v>
      </c>
      <c r="B2260" s="55" t="s">
        <v>64</v>
      </c>
      <c r="C2260" s="55" t="s">
        <v>56</v>
      </c>
      <c r="D2260" s="57">
        <v>48929</v>
      </c>
      <c r="E2260" s="55">
        <v>34949</v>
      </c>
      <c r="F2260" s="55">
        <v>418</v>
      </c>
      <c r="G2260" s="55">
        <v>15</v>
      </c>
      <c r="H2260" s="55">
        <v>4</v>
      </c>
      <c r="I2260" s="55">
        <v>1</v>
      </c>
      <c r="J2260" s="55">
        <v>0</v>
      </c>
    </row>
    <row r="2261" spans="1:10" ht="15" x14ac:dyDescent="0.4">
      <c r="A2261" s="54">
        <v>46254</v>
      </c>
      <c r="B2261" s="55" t="s">
        <v>55</v>
      </c>
      <c r="C2261" s="55" t="s">
        <v>56</v>
      </c>
      <c r="D2261" s="57">
        <v>41916</v>
      </c>
      <c r="E2261" s="55">
        <v>29940</v>
      </c>
      <c r="F2261" s="55">
        <v>327</v>
      </c>
      <c r="G2261" s="55">
        <v>15</v>
      </c>
      <c r="H2261" s="55">
        <v>1</v>
      </c>
      <c r="I2261" s="55">
        <v>0</v>
      </c>
      <c r="J2261" s="55">
        <v>0</v>
      </c>
    </row>
    <row r="2262" spans="1:10" ht="15" x14ac:dyDescent="0.4">
      <c r="A2262" s="54">
        <v>46254</v>
      </c>
      <c r="B2262" s="55" t="s">
        <v>62</v>
      </c>
      <c r="C2262" s="55" t="s">
        <v>56</v>
      </c>
      <c r="D2262" s="57">
        <v>9880</v>
      </c>
      <c r="E2262" s="55">
        <v>7057</v>
      </c>
      <c r="F2262" s="55">
        <v>80</v>
      </c>
      <c r="G2262" s="55">
        <v>3</v>
      </c>
      <c r="H2262" s="55">
        <v>2</v>
      </c>
      <c r="I2262" s="55">
        <v>0</v>
      </c>
      <c r="J2262" s="55">
        <v>0</v>
      </c>
    </row>
    <row r="2263" spans="1:10" ht="15" x14ac:dyDescent="0.4">
      <c r="A2263" s="54">
        <v>46255</v>
      </c>
      <c r="B2263" s="55" t="s">
        <v>63</v>
      </c>
      <c r="C2263" s="55" t="s">
        <v>58</v>
      </c>
      <c r="D2263" s="57">
        <v>6666</v>
      </c>
      <c r="E2263" s="55">
        <v>1388</v>
      </c>
      <c r="F2263" s="55">
        <v>82</v>
      </c>
      <c r="G2263" s="55">
        <v>1</v>
      </c>
      <c r="H2263" s="55">
        <v>2</v>
      </c>
      <c r="I2263" s="55">
        <v>0</v>
      </c>
      <c r="J2263" s="55">
        <v>1</v>
      </c>
    </row>
    <row r="2264" spans="1:10" ht="15" x14ac:dyDescent="0.4">
      <c r="A2264" s="54">
        <v>46255</v>
      </c>
      <c r="B2264" s="55" t="s">
        <v>57</v>
      </c>
      <c r="C2264" s="55" t="s">
        <v>58</v>
      </c>
      <c r="D2264" s="57">
        <v>19978</v>
      </c>
      <c r="E2264" s="55">
        <v>4162</v>
      </c>
      <c r="F2264" s="55">
        <v>221</v>
      </c>
      <c r="G2264" s="55">
        <v>6</v>
      </c>
      <c r="H2264" s="55">
        <v>0</v>
      </c>
      <c r="I2264" s="55">
        <v>1</v>
      </c>
      <c r="J2264" s="55">
        <v>0</v>
      </c>
    </row>
    <row r="2265" spans="1:10" ht="15" x14ac:dyDescent="0.4">
      <c r="A2265" s="54">
        <v>46255</v>
      </c>
      <c r="B2265" s="55" t="s">
        <v>59</v>
      </c>
      <c r="C2265" s="55" t="s">
        <v>60</v>
      </c>
      <c r="D2265" s="57">
        <v>23596</v>
      </c>
      <c r="E2265" s="55">
        <v>4537</v>
      </c>
      <c r="F2265" s="55">
        <v>30</v>
      </c>
      <c r="G2265" s="55">
        <v>0</v>
      </c>
      <c r="H2265" s="55">
        <v>0</v>
      </c>
      <c r="I2265" s="55">
        <v>1</v>
      </c>
      <c r="J2265" s="55">
        <v>1</v>
      </c>
    </row>
    <row r="2266" spans="1:10" ht="15" x14ac:dyDescent="0.4">
      <c r="A2266" s="54">
        <v>46255</v>
      </c>
      <c r="B2266" s="55" t="s">
        <v>64</v>
      </c>
      <c r="C2266" s="55" t="s">
        <v>56</v>
      </c>
      <c r="D2266" s="57">
        <v>45773</v>
      </c>
      <c r="E2266" s="55">
        <v>32695</v>
      </c>
      <c r="F2266" s="55">
        <v>333</v>
      </c>
      <c r="G2266" s="55">
        <v>22</v>
      </c>
      <c r="H2266" s="55">
        <v>4</v>
      </c>
      <c r="I2266" s="55">
        <v>0</v>
      </c>
      <c r="J2266" s="55">
        <v>0</v>
      </c>
    </row>
    <row r="2267" spans="1:10" ht="15" x14ac:dyDescent="0.4">
      <c r="A2267" s="54">
        <v>46255</v>
      </c>
      <c r="B2267" s="55" t="s">
        <v>55</v>
      </c>
      <c r="C2267" s="55" t="s">
        <v>56</v>
      </c>
      <c r="D2267" s="57">
        <v>36050</v>
      </c>
      <c r="E2267" s="55">
        <v>25750</v>
      </c>
      <c r="F2267" s="55">
        <v>283</v>
      </c>
      <c r="G2267" s="55">
        <v>9</v>
      </c>
      <c r="H2267" s="55">
        <v>3</v>
      </c>
      <c r="I2267" s="55">
        <v>1</v>
      </c>
      <c r="J2267" s="55">
        <v>1</v>
      </c>
    </row>
    <row r="2268" spans="1:10" ht="15" x14ac:dyDescent="0.4">
      <c r="A2268" s="54">
        <v>46255</v>
      </c>
      <c r="B2268" s="55" t="s">
        <v>62</v>
      </c>
      <c r="C2268" s="55" t="s">
        <v>56</v>
      </c>
      <c r="D2268" s="57">
        <v>9194</v>
      </c>
      <c r="E2268" s="55">
        <v>6567</v>
      </c>
      <c r="F2268" s="55">
        <v>61</v>
      </c>
      <c r="G2268" s="55">
        <v>3</v>
      </c>
      <c r="H2268" s="55">
        <v>2</v>
      </c>
      <c r="I2268" s="55">
        <v>0</v>
      </c>
      <c r="J2268" s="55">
        <v>0</v>
      </c>
    </row>
    <row r="2269" spans="1:10" ht="15" x14ac:dyDescent="0.4">
      <c r="A2269" s="54">
        <v>46256</v>
      </c>
      <c r="B2269" s="55" t="s">
        <v>63</v>
      </c>
      <c r="C2269" s="55" t="s">
        <v>58</v>
      </c>
      <c r="D2269" s="57">
        <v>7082</v>
      </c>
      <c r="E2269" s="55">
        <v>1475</v>
      </c>
      <c r="F2269" s="55">
        <v>75</v>
      </c>
      <c r="G2269" s="55">
        <v>2</v>
      </c>
      <c r="H2269" s="55">
        <v>1</v>
      </c>
      <c r="I2269" s="55">
        <v>1</v>
      </c>
      <c r="J2269" s="55">
        <v>0</v>
      </c>
    </row>
    <row r="2270" spans="1:10" ht="15" x14ac:dyDescent="0.4">
      <c r="A2270" s="54">
        <v>46256</v>
      </c>
      <c r="B2270" s="55" t="s">
        <v>57</v>
      </c>
      <c r="C2270" s="55" t="s">
        <v>58</v>
      </c>
      <c r="D2270" s="57">
        <v>19120</v>
      </c>
      <c r="E2270" s="55">
        <v>3983</v>
      </c>
      <c r="F2270" s="55">
        <v>201</v>
      </c>
      <c r="G2270" s="55">
        <v>0</v>
      </c>
      <c r="H2270" s="55">
        <v>0</v>
      </c>
      <c r="I2270" s="55">
        <v>0</v>
      </c>
      <c r="J2270" s="55">
        <v>0</v>
      </c>
    </row>
    <row r="2271" spans="1:10" ht="15" x14ac:dyDescent="0.4">
      <c r="A2271" s="54">
        <v>46256</v>
      </c>
      <c r="B2271" s="55" t="s">
        <v>59</v>
      </c>
      <c r="C2271" s="55" t="s">
        <v>60</v>
      </c>
      <c r="D2271" s="57">
        <v>25549</v>
      </c>
      <c r="E2271" s="55">
        <v>4913</v>
      </c>
      <c r="F2271" s="55">
        <v>30</v>
      </c>
      <c r="G2271" s="55">
        <v>1</v>
      </c>
      <c r="H2271" s="55">
        <v>0</v>
      </c>
      <c r="I2271" s="55">
        <v>2</v>
      </c>
      <c r="J2271" s="55">
        <v>0</v>
      </c>
    </row>
    <row r="2272" spans="1:10" ht="15" x14ac:dyDescent="0.4">
      <c r="A2272" s="54">
        <v>46256</v>
      </c>
      <c r="B2272" s="55" t="s">
        <v>64</v>
      </c>
      <c r="C2272" s="55" t="s">
        <v>56</v>
      </c>
      <c r="D2272" s="57">
        <v>45900</v>
      </c>
      <c r="E2272" s="55">
        <v>32785</v>
      </c>
      <c r="F2272" s="55">
        <v>345</v>
      </c>
      <c r="G2272" s="55">
        <v>13</v>
      </c>
      <c r="H2272" s="55">
        <v>2</v>
      </c>
      <c r="I2272" s="55">
        <v>2</v>
      </c>
      <c r="J2272" s="55">
        <v>0</v>
      </c>
    </row>
    <row r="2273" spans="1:10" ht="15" x14ac:dyDescent="0.4">
      <c r="A2273" s="54">
        <v>46256</v>
      </c>
      <c r="B2273" s="55" t="s">
        <v>55</v>
      </c>
      <c r="C2273" s="55" t="s">
        <v>56</v>
      </c>
      <c r="D2273" s="57">
        <v>37137</v>
      </c>
      <c r="E2273" s="55">
        <v>26526</v>
      </c>
      <c r="F2273" s="55">
        <v>251</v>
      </c>
      <c r="G2273" s="55">
        <v>11</v>
      </c>
      <c r="H2273" s="55">
        <v>4</v>
      </c>
      <c r="I2273" s="55">
        <v>2</v>
      </c>
      <c r="J2273" s="55">
        <v>0</v>
      </c>
    </row>
    <row r="2274" spans="1:10" ht="15" x14ac:dyDescent="0.4">
      <c r="A2274" s="54">
        <v>46256</v>
      </c>
      <c r="B2274" s="55" t="s">
        <v>62</v>
      </c>
      <c r="C2274" s="55" t="s">
        <v>56</v>
      </c>
      <c r="D2274" s="57">
        <v>8640</v>
      </c>
      <c r="E2274" s="55">
        <v>6171</v>
      </c>
      <c r="F2274" s="55">
        <v>74</v>
      </c>
      <c r="G2274" s="55">
        <v>3</v>
      </c>
      <c r="H2274" s="55">
        <v>0</v>
      </c>
      <c r="I2274" s="55">
        <v>0</v>
      </c>
      <c r="J2274" s="55">
        <v>0</v>
      </c>
    </row>
    <row r="2275" spans="1:10" ht="15" x14ac:dyDescent="0.4">
      <c r="A2275" s="54">
        <v>46257</v>
      </c>
      <c r="B2275" s="55" t="s">
        <v>63</v>
      </c>
      <c r="C2275" s="55" t="s">
        <v>58</v>
      </c>
      <c r="D2275" s="57">
        <v>7280</v>
      </c>
      <c r="E2275" s="55">
        <v>1516</v>
      </c>
      <c r="F2275" s="55">
        <v>88</v>
      </c>
      <c r="G2275" s="55">
        <v>2</v>
      </c>
      <c r="H2275" s="55">
        <v>1</v>
      </c>
      <c r="I2275" s="55">
        <v>0</v>
      </c>
      <c r="J2275" s="55">
        <v>0</v>
      </c>
    </row>
    <row r="2276" spans="1:10" ht="15" x14ac:dyDescent="0.4">
      <c r="A2276" s="54">
        <v>46257</v>
      </c>
      <c r="B2276" s="55" t="s">
        <v>57</v>
      </c>
      <c r="C2276" s="55" t="s">
        <v>58</v>
      </c>
      <c r="D2276" s="57">
        <v>18262</v>
      </c>
      <c r="E2276" s="55">
        <v>3804</v>
      </c>
      <c r="F2276" s="55">
        <v>192</v>
      </c>
      <c r="G2276" s="55">
        <v>0</v>
      </c>
      <c r="H2276" s="55">
        <v>0</v>
      </c>
      <c r="I2276" s="55">
        <v>0</v>
      </c>
      <c r="J2276" s="55">
        <v>1</v>
      </c>
    </row>
    <row r="2277" spans="1:10" ht="15" x14ac:dyDescent="0.4">
      <c r="A2277" s="54">
        <v>46257</v>
      </c>
      <c r="B2277" s="55" t="s">
        <v>59</v>
      </c>
      <c r="C2277" s="55" t="s">
        <v>60</v>
      </c>
      <c r="D2277" s="57">
        <v>27846</v>
      </c>
      <c r="E2277" s="55">
        <v>5354</v>
      </c>
      <c r="F2277" s="55">
        <v>38</v>
      </c>
      <c r="G2277" s="55">
        <v>0</v>
      </c>
      <c r="H2277" s="55">
        <v>1</v>
      </c>
      <c r="I2277" s="55">
        <v>2</v>
      </c>
      <c r="J2277" s="55">
        <v>0</v>
      </c>
    </row>
    <row r="2278" spans="1:10" ht="15" x14ac:dyDescent="0.4">
      <c r="A2278" s="54">
        <v>46257</v>
      </c>
      <c r="B2278" s="55" t="s">
        <v>64</v>
      </c>
      <c r="C2278" s="55" t="s">
        <v>56</v>
      </c>
      <c r="D2278" s="57">
        <v>49651</v>
      </c>
      <c r="E2278" s="55">
        <v>35464</v>
      </c>
      <c r="F2278" s="55">
        <v>435</v>
      </c>
      <c r="G2278" s="55">
        <v>19</v>
      </c>
      <c r="H2278" s="55">
        <v>1</v>
      </c>
      <c r="I2278" s="55">
        <v>0</v>
      </c>
      <c r="J2278" s="55">
        <v>0</v>
      </c>
    </row>
    <row r="2279" spans="1:10" ht="15" x14ac:dyDescent="0.4">
      <c r="A2279" s="54">
        <v>46257</v>
      </c>
      <c r="B2279" s="55" t="s">
        <v>55</v>
      </c>
      <c r="C2279" s="55" t="s">
        <v>56</v>
      </c>
      <c r="D2279" s="57">
        <v>40395</v>
      </c>
      <c r="E2279" s="55">
        <v>28853</v>
      </c>
      <c r="F2279" s="55">
        <v>360</v>
      </c>
      <c r="G2279" s="55">
        <v>7</v>
      </c>
      <c r="H2279" s="55">
        <v>4</v>
      </c>
      <c r="I2279" s="55">
        <v>1</v>
      </c>
      <c r="J2279" s="55">
        <v>0</v>
      </c>
    </row>
    <row r="2280" spans="1:10" ht="15" x14ac:dyDescent="0.4">
      <c r="A2280" s="54">
        <v>46257</v>
      </c>
      <c r="B2280" s="55" t="s">
        <v>62</v>
      </c>
      <c r="C2280" s="55" t="s">
        <v>56</v>
      </c>
      <c r="D2280" s="57">
        <v>9410</v>
      </c>
      <c r="E2280" s="55">
        <v>6721</v>
      </c>
      <c r="F2280" s="55">
        <v>62</v>
      </c>
      <c r="G2280" s="55">
        <v>3</v>
      </c>
      <c r="H2280" s="55">
        <v>1</v>
      </c>
      <c r="I2280" s="55">
        <v>0</v>
      </c>
      <c r="J2280" s="55">
        <v>0</v>
      </c>
    </row>
    <row r="2281" spans="1:10" ht="15" x14ac:dyDescent="0.4">
      <c r="A2281" s="54">
        <v>46258</v>
      </c>
      <c r="B2281" s="55" t="s">
        <v>63</v>
      </c>
      <c r="C2281" s="55" t="s">
        <v>58</v>
      </c>
      <c r="D2281" s="57">
        <v>6584</v>
      </c>
      <c r="E2281" s="55">
        <v>1371</v>
      </c>
      <c r="F2281" s="55">
        <v>75</v>
      </c>
      <c r="G2281" s="55">
        <v>5</v>
      </c>
      <c r="H2281" s="55">
        <v>1</v>
      </c>
      <c r="I2281" s="55">
        <v>3</v>
      </c>
      <c r="J2281" s="55">
        <v>0</v>
      </c>
    </row>
    <row r="2282" spans="1:10" ht="15" x14ac:dyDescent="0.4">
      <c r="A2282" s="54">
        <v>46258</v>
      </c>
      <c r="B2282" s="55" t="s">
        <v>57</v>
      </c>
      <c r="C2282" s="55" t="s">
        <v>58</v>
      </c>
      <c r="D2282" s="57">
        <v>19047</v>
      </c>
      <c r="E2282" s="55">
        <v>3968</v>
      </c>
      <c r="F2282" s="55">
        <v>207</v>
      </c>
      <c r="G2282" s="55">
        <v>6</v>
      </c>
      <c r="H2282" s="55">
        <v>2</v>
      </c>
      <c r="I2282" s="55">
        <v>0</v>
      </c>
      <c r="J2282" s="55">
        <v>0</v>
      </c>
    </row>
    <row r="2283" spans="1:10" ht="15" x14ac:dyDescent="0.4">
      <c r="A2283" s="54">
        <v>46258</v>
      </c>
      <c r="B2283" s="55" t="s">
        <v>59</v>
      </c>
      <c r="C2283" s="55" t="s">
        <v>60</v>
      </c>
      <c r="D2283" s="57">
        <v>27341</v>
      </c>
      <c r="E2283" s="55">
        <v>5257</v>
      </c>
      <c r="F2283" s="55">
        <v>37</v>
      </c>
      <c r="G2283" s="55">
        <v>0</v>
      </c>
      <c r="H2283" s="55">
        <v>0</v>
      </c>
      <c r="I2283" s="55">
        <v>0</v>
      </c>
      <c r="J2283" s="55">
        <v>1</v>
      </c>
    </row>
    <row r="2284" spans="1:10" ht="15" x14ac:dyDescent="0.4">
      <c r="A2284" s="54">
        <v>46258</v>
      </c>
      <c r="B2284" s="55" t="s">
        <v>64</v>
      </c>
      <c r="C2284" s="55" t="s">
        <v>56</v>
      </c>
      <c r="D2284" s="57">
        <v>44548</v>
      </c>
      <c r="E2284" s="55">
        <v>31820</v>
      </c>
      <c r="F2284" s="55">
        <v>339</v>
      </c>
      <c r="G2284" s="55">
        <v>26</v>
      </c>
      <c r="H2284" s="55">
        <v>1</v>
      </c>
      <c r="I2284" s="55">
        <v>0</v>
      </c>
      <c r="J2284" s="55">
        <v>0</v>
      </c>
    </row>
    <row r="2285" spans="1:10" ht="15" x14ac:dyDescent="0.4">
      <c r="A2285" s="54">
        <v>46258</v>
      </c>
      <c r="B2285" s="55" t="s">
        <v>55</v>
      </c>
      <c r="C2285" s="55" t="s">
        <v>56</v>
      </c>
      <c r="D2285" s="57">
        <v>41222</v>
      </c>
      <c r="E2285" s="55">
        <v>29444</v>
      </c>
      <c r="F2285" s="55">
        <v>346</v>
      </c>
      <c r="G2285" s="55">
        <v>10</v>
      </c>
      <c r="H2285" s="55">
        <v>1</v>
      </c>
      <c r="I2285" s="55">
        <v>1</v>
      </c>
      <c r="J2285" s="55">
        <v>0</v>
      </c>
    </row>
    <row r="2286" spans="1:10" ht="15" x14ac:dyDescent="0.4">
      <c r="A2286" s="54">
        <v>46258</v>
      </c>
      <c r="B2286" s="55" t="s">
        <v>62</v>
      </c>
      <c r="C2286" s="55" t="s">
        <v>56</v>
      </c>
      <c r="D2286" s="57">
        <v>9747</v>
      </c>
      <c r="E2286" s="55">
        <v>6962</v>
      </c>
      <c r="F2286" s="55">
        <v>75</v>
      </c>
      <c r="G2286" s="55">
        <v>3</v>
      </c>
      <c r="H2286" s="55">
        <v>0</v>
      </c>
      <c r="I2286" s="55">
        <v>1</v>
      </c>
      <c r="J2286" s="55">
        <v>0</v>
      </c>
    </row>
    <row r="2287" spans="1:10" ht="15" x14ac:dyDescent="0.4">
      <c r="A2287" s="54">
        <v>46259</v>
      </c>
      <c r="B2287" s="55" t="s">
        <v>63</v>
      </c>
      <c r="C2287" s="55" t="s">
        <v>58</v>
      </c>
      <c r="D2287" s="57">
        <v>7137</v>
      </c>
      <c r="E2287" s="55">
        <v>1486</v>
      </c>
      <c r="F2287" s="55">
        <v>67</v>
      </c>
      <c r="G2287" s="55">
        <v>1</v>
      </c>
      <c r="H2287" s="55">
        <v>1</v>
      </c>
      <c r="I2287" s="55">
        <v>1</v>
      </c>
      <c r="J2287" s="55">
        <v>0</v>
      </c>
    </row>
    <row r="2288" spans="1:10" ht="15" x14ac:dyDescent="0.4">
      <c r="A2288" s="54">
        <v>46259</v>
      </c>
      <c r="B2288" s="55" t="s">
        <v>57</v>
      </c>
      <c r="C2288" s="55" t="s">
        <v>58</v>
      </c>
      <c r="D2288" s="57">
        <v>19268</v>
      </c>
      <c r="E2288" s="55">
        <v>4014</v>
      </c>
      <c r="F2288" s="55">
        <v>191</v>
      </c>
      <c r="G2288" s="55">
        <v>3</v>
      </c>
      <c r="H2288" s="55">
        <v>0</v>
      </c>
      <c r="I2288" s="55">
        <v>0</v>
      </c>
      <c r="J2288" s="55">
        <v>0</v>
      </c>
    </row>
    <row r="2289" spans="1:10" ht="15" x14ac:dyDescent="0.4">
      <c r="A2289" s="54">
        <v>46259</v>
      </c>
      <c r="B2289" s="55" t="s">
        <v>59</v>
      </c>
      <c r="C2289" s="55" t="s">
        <v>60</v>
      </c>
      <c r="D2289" s="57">
        <v>24226</v>
      </c>
      <c r="E2289" s="55">
        <v>4658</v>
      </c>
      <c r="F2289" s="55">
        <v>26</v>
      </c>
      <c r="G2289" s="55">
        <v>3</v>
      </c>
      <c r="H2289" s="55">
        <v>0</v>
      </c>
      <c r="I2289" s="55">
        <v>0</v>
      </c>
      <c r="J2289" s="55">
        <v>0</v>
      </c>
    </row>
    <row r="2290" spans="1:10" ht="15" x14ac:dyDescent="0.4">
      <c r="A2290" s="54">
        <v>46259</v>
      </c>
      <c r="B2290" s="55" t="s">
        <v>64</v>
      </c>
      <c r="C2290" s="55" t="s">
        <v>56</v>
      </c>
      <c r="D2290" s="57">
        <v>49169</v>
      </c>
      <c r="E2290" s="55">
        <v>35120</v>
      </c>
      <c r="F2290" s="55">
        <v>332</v>
      </c>
      <c r="G2290" s="55">
        <v>13</v>
      </c>
      <c r="H2290" s="55">
        <v>3</v>
      </c>
      <c r="I2290" s="55">
        <v>2</v>
      </c>
      <c r="J2290" s="55">
        <v>0</v>
      </c>
    </row>
    <row r="2291" spans="1:10" ht="15" x14ac:dyDescent="0.4">
      <c r="A2291" s="54">
        <v>46259</v>
      </c>
      <c r="B2291" s="55" t="s">
        <v>55</v>
      </c>
      <c r="C2291" s="55" t="s">
        <v>56</v>
      </c>
      <c r="D2291" s="57">
        <v>38280</v>
      </c>
      <c r="E2291" s="55">
        <v>27342</v>
      </c>
      <c r="F2291" s="55">
        <v>255</v>
      </c>
      <c r="G2291" s="55">
        <v>8</v>
      </c>
      <c r="H2291" s="55">
        <v>4</v>
      </c>
      <c r="I2291" s="55">
        <v>0</v>
      </c>
      <c r="J2291" s="55">
        <v>0</v>
      </c>
    </row>
    <row r="2292" spans="1:10" ht="15" x14ac:dyDescent="0.4">
      <c r="A2292" s="54">
        <v>46259</v>
      </c>
      <c r="B2292" s="55" t="s">
        <v>62</v>
      </c>
      <c r="C2292" s="55" t="s">
        <v>56</v>
      </c>
      <c r="D2292" s="57">
        <v>8566</v>
      </c>
      <c r="E2292" s="55">
        <v>6118</v>
      </c>
      <c r="F2292" s="55">
        <v>72</v>
      </c>
      <c r="G2292" s="55">
        <v>2</v>
      </c>
      <c r="H2292" s="55">
        <v>0</v>
      </c>
      <c r="I2292" s="55">
        <v>0</v>
      </c>
      <c r="J2292" s="55">
        <v>0</v>
      </c>
    </row>
    <row r="2293" spans="1:10" ht="15" x14ac:dyDescent="0.4">
      <c r="A2293" s="54">
        <v>46260</v>
      </c>
      <c r="B2293" s="55" t="s">
        <v>61</v>
      </c>
      <c r="C2293" s="55" t="s">
        <v>56</v>
      </c>
      <c r="D2293" s="57">
        <v>0</v>
      </c>
      <c r="E2293" s="55">
        <v>0</v>
      </c>
      <c r="F2293" s="55">
        <v>0</v>
      </c>
      <c r="G2293" s="55">
        <v>0</v>
      </c>
      <c r="H2293" s="55">
        <v>0</v>
      </c>
      <c r="I2293" s="55">
        <v>0</v>
      </c>
      <c r="J2293" s="55">
        <v>0</v>
      </c>
    </row>
    <row r="2294" spans="1:10" ht="15" x14ac:dyDescent="0.4">
      <c r="A2294" s="54">
        <v>46260</v>
      </c>
      <c r="B2294" s="55" t="s">
        <v>63</v>
      </c>
      <c r="C2294" s="55" t="s">
        <v>58</v>
      </c>
      <c r="D2294" s="57">
        <v>7244</v>
      </c>
      <c r="E2294" s="55">
        <v>1509</v>
      </c>
      <c r="F2294" s="55">
        <v>74</v>
      </c>
      <c r="G2294" s="55">
        <v>5</v>
      </c>
      <c r="H2294" s="55">
        <v>0</v>
      </c>
      <c r="I2294" s="55">
        <v>1</v>
      </c>
      <c r="J2294" s="55">
        <v>0</v>
      </c>
    </row>
    <row r="2295" spans="1:10" ht="15" x14ac:dyDescent="0.4">
      <c r="A2295" s="54">
        <v>46260</v>
      </c>
      <c r="B2295" s="55" t="s">
        <v>57</v>
      </c>
      <c r="C2295" s="55" t="s">
        <v>58</v>
      </c>
      <c r="D2295" s="57">
        <v>21039</v>
      </c>
      <c r="E2295" s="55">
        <v>4383</v>
      </c>
      <c r="F2295" s="55">
        <v>215</v>
      </c>
      <c r="G2295" s="55">
        <v>4</v>
      </c>
      <c r="H2295" s="55">
        <v>0</v>
      </c>
      <c r="I2295" s="55">
        <v>1</v>
      </c>
      <c r="J2295" s="55">
        <v>0</v>
      </c>
    </row>
    <row r="2296" spans="1:10" ht="15" x14ac:dyDescent="0.4">
      <c r="A2296" s="54">
        <v>46260</v>
      </c>
      <c r="B2296" s="55" t="s">
        <v>59</v>
      </c>
      <c r="C2296" s="55" t="s">
        <v>60</v>
      </c>
      <c r="D2296" s="57">
        <v>25048</v>
      </c>
      <c r="E2296" s="55">
        <v>4816</v>
      </c>
      <c r="F2296" s="55">
        <v>33</v>
      </c>
      <c r="G2296" s="55">
        <v>2</v>
      </c>
      <c r="H2296" s="55">
        <v>1</v>
      </c>
      <c r="I2296" s="55">
        <v>0</v>
      </c>
      <c r="J2296" s="55">
        <v>0</v>
      </c>
    </row>
    <row r="2297" spans="1:10" ht="15" x14ac:dyDescent="0.4">
      <c r="A2297" s="54">
        <v>46260</v>
      </c>
      <c r="B2297" s="55" t="s">
        <v>64</v>
      </c>
      <c r="C2297" s="55" t="s">
        <v>56</v>
      </c>
      <c r="D2297" s="57">
        <v>48733</v>
      </c>
      <c r="E2297" s="55">
        <v>34809</v>
      </c>
      <c r="F2297" s="55">
        <v>401</v>
      </c>
      <c r="G2297" s="55">
        <v>31</v>
      </c>
      <c r="H2297" s="55">
        <v>2</v>
      </c>
      <c r="I2297" s="55">
        <v>0</v>
      </c>
      <c r="J2297" s="55">
        <v>0</v>
      </c>
    </row>
    <row r="2298" spans="1:10" ht="15" x14ac:dyDescent="0.4">
      <c r="A2298" s="54">
        <v>46260</v>
      </c>
      <c r="B2298" s="55" t="s">
        <v>55</v>
      </c>
      <c r="C2298" s="55" t="s">
        <v>56</v>
      </c>
      <c r="D2298" s="57">
        <v>42372</v>
      </c>
      <c r="E2298" s="55">
        <v>30265</v>
      </c>
      <c r="F2298" s="55">
        <v>378</v>
      </c>
      <c r="G2298" s="55">
        <v>4</v>
      </c>
      <c r="H2298" s="55">
        <v>1</v>
      </c>
      <c r="I2298" s="55">
        <v>0</v>
      </c>
      <c r="J2298" s="55">
        <v>0</v>
      </c>
    </row>
    <row r="2299" spans="1:10" ht="15" x14ac:dyDescent="0.4">
      <c r="A2299" s="54">
        <v>46260</v>
      </c>
      <c r="B2299" s="55" t="s">
        <v>62</v>
      </c>
      <c r="C2299" s="55" t="s">
        <v>56</v>
      </c>
      <c r="D2299" s="57">
        <v>9134</v>
      </c>
      <c r="E2299" s="55">
        <v>6524</v>
      </c>
      <c r="F2299" s="55">
        <v>80</v>
      </c>
      <c r="G2299" s="55">
        <v>4</v>
      </c>
      <c r="H2299" s="55">
        <v>4</v>
      </c>
      <c r="I2299" s="55">
        <v>2</v>
      </c>
      <c r="J2299" s="55">
        <v>0</v>
      </c>
    </row>
    <row r="2300" spans="1:10" ht="15" x14ac:dyDescent="0.4">
      <c r="A2300" s="54">
        <v>46261</v>
      </c>
      <c r="B2300" s="55" t="s">
        <v>63</v>
      </c>
      <c r="C2300" s="55" t="s">
        <v>58</v>
      </c>
      <c r="D2300" s="57">
        <v>6852</v>
      </c>
      <c r="E2300" s="55">
        <v>1427</v>
      </c>
      <c r="F2300" s="55">
        <v>70</v>
      </c>
      <c r="G2300" s="55">
        <v>3</v>
      </c>
      <c r="H2300" s="55">
        <v>2</v>
      </c>
      <c r="I2300" s="55">
        <v>1</v>
      </c>
      <c r="J2300" s="55">
        <v>0</v>
      </c>
    </row>
    <row r="2301" spans="1:10" ht="15" x14ac:dyDescent="0.4">
      <c r="A2301" s="54">
        <v>46261</v>
      </c>
      <c r="B2301" s="55" t="s">
        <v>57</v>
      </c>
      <c r="C2301" s="55" t="s">
        <v>58</v>
      </c>
      <c r="D2301" s="57">
        <v>20501</v>
      </c>
      <c r="E2301" s="55">
        <v>4271</v>
      </c>
      <c r="F2301" s="55">
        <v>249</v>
      </c>
      <c r="G2301" s="55">
        <v>3</v>
      </c>
      <c r="H2301" s="55">
        <v>1</v>
      </c>
      <c r="I2301" s="55">
        <v>0</v>
      </c>
      <c r="J2301" s="55">
        <v>0</v>
      </c>
    </row>
    <row r="2302" spans="1:10" ht="15" x14ac:dyDescent="0.4">
      <c r="A2302" s="54">
        <v>46261</v>
      </c>
      <c r="B2302" s="55" t="s">
        <v>59</v>
      </c>
      <c r="C2302" s="55" t="s">
        <v>60</v>
      </c>
      <c r="D2302" s="57">
        <v>27193</v>
      </c>
      <c r="E2302" s="55">
        <v>5229</v>
      </c>
      <c r="F2302" s="55">
        <v>36</v>
      </c>
      <c r="G2302" s="55">
        <v>1</v>
      </c>
      <c r="H2302" s="55">
        <v>0</v>
      </c>
      <c r="I2302" s="55">
        <v>1</v>
      </c>
      <c r="J2302" s="55">
        <v>0</v>
      </c>
    </row>
    <row r="2303" spans="1:10" ht="15" x14ac:dyDescent="0.4">
      <c r="A2303" s="54">
        <v>46261</v>
      </c>
      <c r="B2303" s="55" t="s">
        <v>64</v>
      </c>
      <c r="C2303" s="55" t="s">
        <v>56</v>
      </c>
      <c r="D2303" s="57">
        <v>50468</v>
      </c>
      <c r="E2303" s="55">
        <v>36048</v>
      </c>
      <c r="F2303" s="55">
        <v>382</v>
      </c>
      <c r="G2303" s="55">
        <v>23</v>
      </c>
      <c r="H2303" s="55">
        <v>2</v>
      </c>
      <c r="I2303" s="55">
        <v>0</v>
      </c>
      <c r="J2303" s="55">
        <v>0</v>
      </c>
    </row>
    <row r="2304" spans="1:10" ht="15" x14ac:dyDescent="0.4">
      <c r="A2304" s="54">
        <v>46261</v>
      </c>
      <c r="B2304" s="55" t="s">
        <v>55</v>
      </c>
      <c r="C2304" s="55" t="s">
        <v>56</v>
      </c>
      <c r="D2304" s="57">
        <v>37632</v>
      </c>
      <c r="E2304" s="55">
        <v>26880</v>
      </c>
      <c r="F2304" s="55">
        <v>306</v>
      </c>
      <c r="G2304" s="55">
        <v>8</v>
      </c>
      <c r="H2304" s="55">
        <v>1</v>
      </c>
      <c r="I2304" s="55">
        <v>1</v>
      </c>
      <c r="J2304" s="55">
        <v>0</v>
      </c>
    </row>
    <row r="2305" spans="1:10" ht="15" x14ac:dyDescent="0.4">
      <c r="A2305" s="54">
        <v>46261</v>
      </c>
      <c r="B2305" s="55" t="s">
        <v>62</v>
      </c>
      <c r="C2305" s="55" t="s">
        <v>56</v>
      </c>
      <c r="D2305" s="57">
        <v>9253</v>
      </c>
      <c r="E2305" s="55">
        <v>6609</v>
      </c>
      <c r="F2305" s="55">
        <v>64</v>
      </c>
      <c r="G2305" s="55">
        <v>3</v>
      </c>
      <c r="H2305" s="55">
        <v>2</v>
      </c>
      <c r="I2305" s="55">
        <v>0</v>
      </c>
      <c r="J2305" s="55">
        <v>0</v>
      </c>
    </row>
    <row r="2306" spans="1:10" ht="15" x14ac:dyDescent="0.4">
      <c r="A2306" s="54">
        <v>46262</v>
      </c>
      <c r="B2306" s="55" t="s">
        <v>63</v>
      </c>
      <c r="C2306" s="55" t="s">
        <v>58</v>
      </c>
      <c r="D2306" s="57">
        <v>7144</v>
      </c>
      <c r="E2306" s="55">
        <v>1488</v>
      </c>
      <c r="F2306" s="55">
        <v>85</v>
      </c>
      <c r="G2306" s="55">
        <v>4</v>
      </c>
      <c r="H2306" s="55">
        <v>2</v>
      </c>
      <c r="I2306" s="55">
        <v>0</v>
      </c>
      <c r="J2306" s="55">
        <v>0</v>
      </c>
    </row>
    <row r="2307" spans="1:10" ht="15" x14ac:dyDescent="0.4">
      <c r="A2307" s="54">
        <v>46262</v>
      </c>
      <c r="B2307" s="55" t="s">
        <v>57</v>
      </c>
      <c r="C2307" s="55" t="s">
        <v>58</v>
      </c>
      <c r="D2307" s="57">
        <v>20490</v>
      </c>
      <c r="E2307" s="55">
        <v>4268</v>
      </c>
      <c r="F2307" s="55">
        <v>227</v>
      </c>
      <c r="G2307" s="55">
        <v>3</v>
      </c>
      <c r="H2307" s="55">
        <v>2</v>
      </c>
      <c r="I2307" s="55">
        <v>0</v>
      </c>
      <c r="J2307" s="55">
        <v>0</v>
      </c>
    </row>
    <row r="2308" spans="1:10" ht="15" x14ac:dyDescent="0.4">
      <c r="A2308" s="54">
        <v>46262</v>
      </c>
      <c r="B2308" s="55" t="s">
        <v>59</v>
      </c>
      <c r="C2308" s="55" t="s">
        <v>60</v>
      </c>
      <c r="D2308" s="57">
        <v>26227</v>
      </c>
      <c r="E2308" s="55">
        <v>5043</v>
      </c>
      <c r="F2308" s="55">
        <v>33</v>
      </c>
      <c r="G2308" s="55">
        <v>5</v>
      </c>
      <c r="H2308" s="55">
        <v>0</v>
      </c>
      <c r="I2308" s="55">
        <v>0</v>
      </c>
      <c r="J2308" s="55">
        <v>0</v>
      </c>
    </row>
    <row r="2309" spans="1:10" ht="15" x14ac:dyDescent="0.4">
      <c r="A2309" s="54">
        <v>46262</v>
      </c>
      <c r="B2309" s="55" t="s">
        <v>64</v>
      </c>
      <c r="C2309" s="55" t="s">
        <v>56</v>
      </c>
      <c r="D2309" s="57">
        <v>49306</v>
      </c>
      <c r="E2309" s="55">
        <v>35218</v>
      </c>
      <c r="F2309" s="55">
        <v>422</v>
      </c>
      <c r="G2309" s="55">
        <v>20</v>
      </c>
      <c r="H2309" s="55">
        <v>1</v>
      </c>
      <c r="I2309" s="55">
        <v>1</v>
      </c>
      <c r="J2309" s="55">
        <v>0</v>
      </c>
    </row>
    <row r="2310" spans="1:10" ht="15" x14ac:dyDescent="0.4">
      <c r="A2310" s="54">
        <v>46262</v>
      </c>
      <c r="B2310" s="55" t="s">
        <v>55</v>
      </c>
      <c r="C2310" s="55" t="s">
        <v>56</v>
      </c>
      <c r="D2310" s="57">
        <v>38962</v>
      </c>
      <c r="E2310" s="55">
        <v>27830</v>
      </c>
      <c r="F2310" s="55">
        <v>274</v>
      </c>
      <c r="G2310" s="55">
        <v>15</v>
      </c>
      <c r="H2310" s="55">
        <v>3</v>
      </c>
      <c r="I2310" s="55">
        <v>4</v>
      </c>
      <c r="J2310" s="55">
        <v>0</v>
      </c>
    </row>
    <row r="2311" spans="1:10" ht="15" x14ac:dyDescent="0.4">
      <c r="A2311" s="54">
        <v>46262</v>
      </c>
      <c r="B2311" s="55" t="s">
        <v>62</v>
      </c>
      <c r="C2311" s="55" t="s">
        <v>56</v>
      </c>
      <c r="D2311" s="57">
        <v>9841</v>
      </c>
      <c r="E2311" s="55">
        <v>7029</v>
      </c>
      <c r="F2311" s="55">
        <v>67</v>
      </c>
      <c r="G2311" s="55">
        <v>3</v>
      </c>
      <c r="H2311" s="55">
        <v>0</v>
      </c>
      <c r="I2311" s="55">
        <v>3</v>
      </c>
      <c r="J2311" s="55">
        <v>0</v>
      </c>
    </row>
    <row r="2312" spans="1:10" ht="15" x14ac:dyDescent="0.4">
      <c r="A2312" s="54">
        <v>46263</v>
      </c>
      <c r="B2312" s="55" t="s">
        <v>63</v>
      </c>
      <c r="C2312" s="55" t="s">
        <v>58</v>
      </c>
      <c r="D2312" s="57">
        <v>7140</v>
      </c>
      <c r="E2312" s="55">
        <v>1487</v>
      </c>
      <c r="F2312" s="55">
        <v>66</v>
      </c>
      <c r="G2312" s="55">
        <v>3</v>
      </c>
      <c r="H2312" s="55">
        <v>1</v>
      </c>
      <c r="I2312" s="55">
        <v>0</v>
      </c>
      <c r="J2312" s="55">
        <v>0</v>
      </c>
    </row>
    <row r="2313" spans="1:10" ht="15" x14ac:dyDescent="0.4">
      <c r="A2313" s="54">
        <v>46263</v>
      </c>
      <c r="B2313" s="55" t="s">
        <v>57</v>
      </c>
      <c r="C2313" s="55" t="s">
        <v>58</v>
      </c>
      <c r="D2313" s="57">
        <v>18911</v>
      </c>
      <c r="E2313" s="55">
        <v>3939</v>
      </c>
      <c r="F2313" s="55">
        <v>177</v>
      </c>
      <c r="G2313" s="55">
        <v>3</v>
      </c>
      <c r="H2313" s="55">
        <v>1</v>
      </c>
      <c r="I2313" s="55">
        <v>1</v>
      </c>
      <c r="J2313" s="55">
        <v>0</v>
      </c>
    </row>
    <row r="2314" spans="1:10" ht="15" x14ac:dyDescent="0.4">
      <c r="A2314" s="54">
        <v>46263</v>
      </c>
      <c r="B2314" s="55" t="s">
        <v>59</v>
      </c>
      <c r="C2314" s="55" t="s">
        <v>60</v>
      </c>
      <c r="D2314" s="57">
        <v>24784</v>
      </c>
      <c r="E2314" s="55">
        <v>4766</v>
      </c>
      <c r="F2314" s="55">
        <v>30</v>
      </c>
      <c r="G2314" s="55">
        <v>2</v>
      </c>
      <c r="H2314" s="55">
        <v>2</v>
      </c>
      <c r="I2314" s="55">
        <v>0</v>
      </c>
      <c r="J2314" s="55">
        <v>1</v>
      </c>
    </row>
    <row r="2315" spans="1:10" ht="15" x14ac:dyDescent="0.4">
      <c r="A2315" s="54">
        <v>46263</v>
      </c>
      <c r="B2315" s="55" t="s">
        <v>64</v>
      </c>
      <c r="C2315" s="55" t="s">
        <v>56</v>
      </c>
      <c r="D2315" s="57">
        <v>45619</v>
      </c>
      <c r="E2315" s="55">
        <v>32585</v>
      </c>
      <c r="F2315" s="55">
        <v>399</v>
      </c>
      <c r="G2315" s="55">
        <v>18</v>
      </c>
      <c r="H2315" s="55">
        <v>3</v>
      </c>
      <c r="I2315" s="55">
        <v>0</v>
      </c>
      <c r="J2315" s="55">
        <v>0</v>
      </c>
    </row>
    <row r="2316" spans="1:10" ht="15" x14ac:dyDescent="0.4">
      <c r="A2316" s="54">
        <v>46263</v>
      </c>
      <c r="B2316" s="55" t="s">
        <v>55</v>
      </c>
      <c r="C2316" s="55" t="s">
        <v>56</v>
      </c>
      <c r="D2316" s="57">
        <v>37447</v>
      </c>
      <c r="E2316" s="55">
        <v>26747</v>
      </c>
      <c r="F2316" s="55">
        <v>308</v>
      </c>
      <c r="G2316" s="55">
        <v>3</v>
      </c>
      <c r="H2316" s="55">
        <v>2</v>
      </c>
      <c r="I2316" s="55">
        <v>2</v>
      </c>
      <c r="J2316" s="55">
        <v>0</v>
      </c>
    </row>
    <row r="2317" spans="1:10" ht="15" x14ac:dyDescent="0.4">
      <c r="A2317" s="54">
        <v>46263</v>
      </c>
      <c r="B2317" s="55" t="s">
        <v>62</v>
      </c>
      <c r="C2317" s="55" t="s">
        <v>56</v>
      </c>
      <c r="D2317" s="57">
        <v>9876</v>
      </c>
      <c r="E2317" s="55">
        <v>7054</v>
      </c>
      <c r="F2317" s="55">
        <v>72</v>
      </c>
      <c r="G2317" s="55">
        <v>3</v>
      </c>
      <c r="H2317" s="55">
        <v>1</v>
      </c>
      <c r="I2317" s="55">
        <v>0</v>
      </c>
      <c r="J2317" s="55">
        <v>0</v>
      </c>
    </row>
    <row r="2318" spans="1:10" ht="15" x14ac:dyDescent="0.4">
      <c r="A2318" s="54">
        <v>46264</v>
      </c>
      <c r="B2318" s="55" t="s">
        <v>63</v>
      </c>
      <c r="C2318" s="55" t="s">
        <v>58</v>
      </c>
      <c r="D2318" s="57">
        <v>7368</v>
      </c>
      <c r="E2318" s="55">
        <v>1535</v>
      </c>
      <c r="F2318" s="55">
        <v>71</v>
      </c>
      <c r="G2318" s="55">
        <v>2</v>
      </c>
      <c r="H2318" s="55">
        <v>3</v>
      </c>
      <c r="I2318" s="55">
        <v>1</v>
      </c>
      <c r="J2318" s="55">
        <v>0</v>
      </c>
    </row>
    <row r="2319" spans="1:10" ht="15" x14ac:dyDescent="0.4">
      <c r="A2319" s="54">
        <v>46264</v>
      </c>
      <c r="B2319" s="55" t="s">
        <v>57</v>
      </c>
      <c r="C2319" s="55" t="s">
        <v>58</v>
      </c>
      <c r="D2319" s="57">
        <v>20348</v>
      </c>
      <c r="E2319" s="55">
        <v>4239</v>
      </c>
      <c r="F2319" s="55">
        <v>198</v>
      </c>
      <c r="G2319" s="55">
        <v>1</v>
      </c>
      <c r="H2319" s="55">
        <v>1</v>
      </c>
      <c r="I2319" s="55">
        <v>1</v>
      </c>
      <c r="J2319" s="55">
        <v>1</v>
      </c>
    </row>
    <row r="2320" spans="1:10" ht="15" x14ac:dyDescent="0.4">
      <c r="A2320" s="54">
        <v>46264</v>
      </c>
      <c r="B2320" s="55" t="s">
        <v>59</v>
      </c>
      <c r="C2320" s="55" t="s">
        <v>60</v>
      </c>
      <c r="D2320" s="57">
        <v>24697</v>
      </c>
      <c r="E2320" s="55">
        <v>4749</v>
      </c>
      <c r="F2320" s="55">
        <v>26</v>
      </c>
      <c r="G2320" s="55">
        <v>3</v>
      </c>
      <c r="H2320" s="55">
        <v>1</v>
      </c>
      <c r="I2320" s="55">
        <v>0</v>
      </c>
      <c r="J2320" s="55">
        <v>0</v>
      </c>
    </row>
    <row r="2321" spans="1:10" ht="15" x14ac:dyDescent="0.4">
      <c r="A2321" s="54">
        <v>46264</v>
      </c>
      <c r="B2321" s="55" t="s">
        <v>64</v>
      </c>
      <c r="C2321" s="55" t="s">
        <v>56</v>
      </c>
      <c r="D2321" s="57">
        <v>43933</v>
      </c>
      <c r="E2321" s="55">
        <v>31380</v>
      </c>
      <c r="F2321" s="55">
        <v>313</v>
      </c>
      <c r="G2321" s="55">
        <v>17</v>
      </c>
      <c r="H2321" s="55">
        <v>1</v>
      </c>
      <c r="I2321" s="55">
        <v>1</v>
      </c>
      <c r="J2321" s="55">
        <v>0</v>
      </c>
    </row>
    <row r="2322" spans="1:10" ht="15" x14ac:dyDescent="0.4">
      <c r="A2322" s="54">
        <v>46264</v>
      </c>
      <c r="B2322" s="55" t="s">
        <v>55</v>
      </c>
      <c r="C2322" s="55" t="s">
        <v>56</v>
      </c>
      <c r="D2322" s="57">
        <v>38434</v>
      </c>
      <c r="E2322" s="55">
        <v>27452</v>
      </c>
      <c r="F2322" s="55">
        <v>280</v>
      </c>
      <c r="G2322" s="55">
        <v>7</v>
      </c>
      <c r="H2322" s="55">
        <v>3</v>
      </c>
      <c r="I2322" s="55">
        <v>1</v>
      </c>
      <c r="J2322" s="55">
        <v>0</v>
      </c>
    </row>
    <row r="2323" spans="1:10" ht="15" x14ac:dyDescent="0.4">
      <c r="A2323" s="54">
        <v>46264</v>
      </c>
      <c r="B2323" s="55" t="s">
        <v>62</v>
      </c>
      <c r="C2323" s="55" t="s">
        <v>56</v>
      </c>
      <c r="D2323" s="57">
        <v>8777</v>
      </c>
      <c r="E2323" s="55">
        <v>6269</v>
      </c>
      <c r="F2323" s="55">
        <v>72</v>
      </c>
      <c r="G2323" s="55">
        <v>2</v>
      </c>
      <c r="H2323" s="55">
        <v>2</v>
      </c>
      <c r="I2323" s="55">
        <v>0</v>
      </c>
      <c r="J2323" s="55">
        <v>0</v>
      </c>
    </row>
    <row r="2324" spans="1:10" ht="15" x14ac:dyDescent="0.4">
      <c r="A2324" s="54">
        <v>46265</v>
      </c>
      <c r="B2324" s="55" t="s">
        <v>63</v>
      </c>
      <c r="C2324" s="55" t="s">
        <v>58</v>
      </c>
      <c r="D2324" s="57">
        <v>6173</v>
      </c>
      <c r="E2324" s="55">
        <v>1286</v>
      </c>
      <c r="F2324" s="55">
        <v>69</v>
      </c>
      <c r="G2324" s="55">
        <v>3</v>
      </c>
      <c r="H2324" s="55">
        <v>1</v>
      </c>
      <c r="I2324" s="55">
        <v>1</v>
      </c>
      <c r="J2324" s="55">
        <v>0</v>
      </c>
    </row>
    <row r="2325" spans="1:10" ht="15" x14ac:dyDescent="0.4">
      <c r="A2325" s="54">
        <v>46265</v>
      </c>
      <c r="B2325" s="55" t="s">
        <v>57</v>
      </c>
      <c r="C2325" s="55" t="s">
        <v>58</v>
      </c>
      <c r="D2325" s="57">
        <v>17739</v>
      </c>
      <c r="E2325" s="55">
        <v>3695</v>
      </c>
      <c r="F2325" s="55">
        <v>208</v>
      </c>
      <c r="G2325" s="55">
        <v>2</v>
      </c>
      <c r="H2325" s="55">
        <v>1</v>
      </c>
      <c r="I2325" s="55">
        <v>0</v>
      </c>
      <c r="J2325" s="55">
        <v>0</v>
      </c>
    </row>
    <row r="2326" spans="1:10" ht="15" x14ac:dyDescent="0.4">
      <c r="A2326" s="54">
        <v>46265</v>
      </c>
      <c r="B2326" s="55" t="s">
        <v>59</v>
      </c>
      <c r="C2326" s="55" t="s">
        <v>60</v>
      </c>
      <c r="D2326" s="57">
        <v>23475</v>
      </c>
      <c r="E2326" s="55">
        <v>4514</v>
      </c>
      <c r="F2326" s="55">
        <v>32</v>
      </c>
      <c r="G2326" s="55">
        <v>3</v>
      </c>
      <c r="H2326" s="55">
        <v>1</v>
      </c>
      <c r="I2326" s="55">
        <v>0</v>
      </c>
      <c r="J2326" s="55">
        <v>0</v>
      </c>
    </row>
    <row r="2327" spans="1:10" ht="15" x14ac:dyDescent="0.4">
      <c r="A2327" s="54">
        <v>46265</v>
      </c>
      <c r="B2327" s="55" t="s">
        <v>64</v>
      </c>
      <c r="C2327" s="55" t="s">
        <v>56</v>
      </c>
      <c r="D2327" s="57">
        <v>50374</v>
      </c>
      <c r="E2327" s="55">
        <v>35981</v>
      </c>
      <c r="F2327" s="55">
        <v>384</v>
      </c>
      <c r="G2327" s="55">
        <v>26</v>
      </c>
      <c r="H2327" s="55">
        <v>1</v>
      </c>
      <c r="I2327" s="55">
        <v>0</v>
      </c>
      <c r="J2327" s="55">
        <v>1</v>
      </c>
    </row>
    <row r="2328" spans="1:10" ht="15" x14ac:dyDescent="0.4">
      <c r="A2328" s="54">
        <v>46265</v>
      </c>
      <c r="B2328" s="55" t="s">
        <v>55</v>
      </c>
      <c r="C2328" s="55" t="s">
        <v>56</v>
      </c>
      <c r="D2328" s="57">
        <v>38399</v>
      </c>
      <c r="E2328" s="55">
        <v>27427</v>
      </c>
      <c r="F2328" s="55">
        <v>292</v>
      </c>
      <c r="G2328" s="55">
        <v>14</v>
      </c>
      <c r="H2328" s="55">
        <v>2</v>
      </c>
      <c r="I2328" s="55">
        <v>0</v>
      </c>
      <c r="J2328" s="55">
        <v>0</v>
      </c>
    </row>
    <row r="2329" spans="1:10" ht="15" x14ac:dyDescent="0.4">
      <c r="A2329" s="54">
        <v>46265</v>
      </c>
      <c r="B2329" s="55" t="s">
        <v>62</v>
      </c>
      <c r="C2329" s="55" t="s">
        <v>56</v>
      </c>
      <c r="D2329" s="57">
        <v>9317</v>
      </c>
      <c r="E2329" s="55">
        <v>6655</v>
      </c>
      <c r="F2329" s="55">
        <v>74</v>
      </c>
      <c r="G2329" s="55">
        <v>4</v>
      </c>
      <c r="H2329" s="55">
        <v>1</v>
      </c>
      <c r="I2329" s="55">
        <v>1</v>
      </c>
      <c r="J2329" s="55">
        <v>0</v>
      </c>
    </row>
    <row r="2330" spans="1:10" ht="15" x14ac:dyDescent="0.4">
      <c r="A2330" s="54">
        <v>46266</v>
      </c>
      <c r="B2330" s="55" t="s">
        <v>63</v>
      </c>
      <c r="C2330" s="55" t="s">
        <v>58</v>
      </c>
      <c r="D2330" s="57">
        <v>7167</v>
      </c>
      <c r="E2330" s="55">
        <v>1493</v>
      </c>
      <c r="F2330" s="55">
        <v>81</v>
      </c>
      <c r="G2330" s="55">
        <v>4</v>
      </c>
      <c r="H2330" s="55">
        <v>1</v>
      </c>
      <c r="I2330" s="55">
        <v>1</v>
      </c>
      <c r="J2330" s="55">
        <v>0</v>
      </c>
    </row>
    <row r="2331" spans="1:10" ht="15" x14ac:dyDescent="0.4">
      <c r="A2331" s="54">
        <v>46266</v>
      </c>
      <c r="B2331" s="55" t="s">
        <v>57</v>
      </c>
      <c r="C2331" s="55" t="s">
        <v>58</v>
      </c>
      <c r="D2331" s="57">
        <v>20534</v>
      </c>
      <c r="E2331" s="55">
        <v>4277</v>
      </c>
      <c r="F2331" s="55">
        <v>250</v>
      </c>
      <c r="G2331" s="55">
        <v>2</v>
      </c>
      <c r="H2331" s="55">
        <v>0</v>
      </c>
      <c r="I2331" s="55">
        <v>1</v>
      </c>
      <c r="J2331" s="55">
        <v>0</v>
      </c>
    </row>
    <row r="2332" spans="1:10" ht="15" x14ac:dyDescent="0.4">
      <c r="A2332" s="54">
        <v>46266</v>
      </c>
      <c r="B2332" s="55" t="s">
        <v>59</v>
      </c>
      <c r="C2332" s="55" t="s">
        <v>60</v>
      </c>
      <c r="D2332" s="57">
        <v>25218</v>
      </c>
      <c r="E2332" s="55">
        <v>4849</v>
      </c>
      <c r="F2332" s="55">
        <v>35</v>
      </c>
      <c r="G2332" s="55">
        <v>6</v>
      </c>
      <c r="H2332" s="55">
        <v>1</v>
      </c>
      <c r="I2332" s="55">
        <v>0</v>
      </c>
      <c r="J2332" s="55">
        <v>0</v>
      </c>
    </row>
    <row r="2333" spans="1:10" ht="15" x14ac:dyDescent="0.4">
      <c r="A2333" s="54">
        <v>46266</v>
      </c>
      <c r="B2333" s="55" t="s">
        <v>64</v>
      </c>
      <c r="C2333" s="55" t="s">
        <v>56</v>
      </c>
      <c r="D2333" s="57">
        <v>47060</v>
      </c>
      <c r="E2333" s="55">
        <v>33614</v>
      </c>
      <c r="F2333" s="55">
        <v>344</v>
      </c>
      <c r="G2333" s="55">
        <v>27</v>
      </c>
      <c r="H2333" s="55">
        <v>1</v>
      </c>
      <c r="I2333" s="55">
        <v>0</v>
      </c>
      <c r="J2333" s="55">
        <v>0</v>
      </c>
    </row>
    <row r="2334" spans="1:10" ht="15" x14ac:dyDescent="0.4">
      <c r="A2334" s="54">
        <v>46266</v>
      </c>
      <c r="B2334" s="55" t="s">
        <v>55</v>
      </c>
      <c r="C2334" s="55" t="s">
        <v>56</v>
      </c>
      <c r="D2334" s="57">
        <v>41504</v>
      </c>
      <c r="E2334" s="55">
        <v>29645</v>
      </c>
      <c r="F2334" s="55">
        <v>364</v>
      </c>
      <c r="G2334" s="55">
        <v>13</v>
      </c>
      <c r="H2334" s="55">
        <v>4</v>
      </c>
      <c r="I2334" s="55">
        <v>2</v>
      </c>
      <c r="J2334" s="55">
        <v>0</v>
      </c>
    </row>
    <row r="2335" spans="1:10" ht="15" x14ac:dyDescent="0.4">
      <c r="A2335" s="54">
        <v>46266</v>
      </c>
      <c r="B2335" s="55" t="s">
        <v>62</v>
      </c>
      <c r="C2335" s="55" t="s">
        <v>56</v>
      </c>
      <c r="D2335" s="57">
        <v>8427</v>
      </c>
      <c r="E2335" s="55">
        <v>6019</v>
      </c>
      <c r="F2335" s="55">
        <v>60</v>
      </c>
      <c r="G2335" s="55">
        <v>3</v>
      </c>
      <c r="H2335" s="55">
        <v>1</v>
      </c>
      <c r="I2335" s="55">
        <v>1</v>
      </c>
      <c r="J2335" s="55">
        <v>0</v>
      </c>
    </row>
    <row r="2336" spans="1:10" ht="15" x14ac:dyDescent="0.4">
      <c r="A2336" s="54">
        <v>46267</v>
      </c>
      <c r="B2336" s="55" t="s">
        <v>63</v>
      </c>
      <c r="C2336" s="55" t="s">
        <v>58</v>
      </c>
      <c r="D2336" s="57">
        <v>7432</v>
      </c>
      <c r="E2336" s="55">
        <v>1548</v>
      </c>
      <c r="F2336" s="55">
        <v>84</v>
      </c>
      <c r="G2336" s="55">
        <v>2</v>
      </c>
      <c r="H2336" s="55">
        <v>2</v>
      </c>
      <c r="I2336" s="55">
        <v>1</v>
      </c>
      <c r="J2336" s="55">
        <v>1</v>
      </c>
    </row>
    <row r="2337" spans="1:10" ht="15" x14ac:dyDescent="0.4">
      <c r="A2337" s="54">
        <v>46267</v>
      </c>
      <c r="B2337" s="55" t="s">
        <v>57</v>
      </c>
      <c r="C2337" s="55" t="s">
        <v>58</v>
      </c>
      <c r="D2337" s="57">
        <v>17657</v>
      </c>
      <c r="E2337" s="55">
        <v>3678</v>
      </c>
      <c r="F2337" s="55">
        <v>201</v>
      </c>
      <c r="G2337" s="55">
        <v>5</v>
      </c>
      <c r="H2337" s="55">
        <v>0</v>
      </c>
      <c r="I2337" s="55">
        <v>1</v>
      </c>
      <c r="J2337" s="55">
        <v>0</v>
      </c>
    </row>
    <row r="2338" spans="1:10" ht="15" x14ac:dyDescent="0.4">
      <c r="A2338" s="54">
        <v>46267</v>
      </c>
      <c r="B2338" s="55" t="s">
        <v>59</v>
      </c>
      <c r="C2338" s="55" t="s">
        <v>60</v>
      </c>
      <c r="D2338" s="57">
        <v>25290</v>
      </c>
      <c r="E2338" s="55">
        <v>4863</v>
      </c>
      <c r="F2338" s="55">
        <v>32</v>
      </c>
      <c r="G2338" s="55">
        <v>1</v>
      </c>
      <c r="H2338" s="55">
        <v>3</v>
      </c>
      <c r="I2338" s="55">
        <v>1</v>
      </c>
      <c r="J2338" s="55">
        <v>0</v>
      </c>
    </row>
    <row r="2339" spans="1:10" ht="15" x14ac:dyDescent="0.4">
      <c r="A2339" s="54">
        <v>46267</v>
      </c>
      <c r="B2339" s="55" t="s">
        <v>64</v>
      </c>
      <c r="C2339" s="55" t="s">
        <v>56</v>
      </c>
      <c r="D2339" s="57">
        <v>48406</v>
      </c>
      <c r="E2339" s="55">
        <v>34575</v>
      </c>
      <c r="F2339" s="55">
        <v>419</v>
      </c>
      <c r="G2339" s="55">
        <v>22</v>
      </c>
      <c r="H2339" s="55">
        <v>2</v>
      </c>
      <c r="I2339" s="55">
        <v>0</v>
      </c>
      <c r="J2339" s="55">
        <v>0</v>
      </c>
    </row>
    <row r="2340" spans="1:10" ht="15" x14ac:dyDescent="0.4">
      <c r="A2340" s="54">
        <v>46267</v>
      </c>
      <c r="B2340" s="55" t="s">
        <v>55</v>
      </c>
      <c r="C2340" s="55" t="s">
        <v>56</v>
      </c>
      <c r="D2340" s="57">
        <v>38405</v>
      </c>
      <c r="E2340" s="55">
        <v>27432</v>
      </c>
      <c r="F2340" s="55">
        <v>282</v>
      </c>
      <c r="G2340" s="55">
        <v>10</v>
      </c>
      <c r="H2340" s="55">
        <v>0</v>
      </c>
      <c r="I2340" s="55">
        <v>1</v>
      </c>
      <c r="J2340" s="55">
        <v>0</v>
      </c>
    </row>
    <row r="2341" spans="1:10" ht="15" x14ac:dyDescent="0.4">
      <c r="A2341" s="54">
        <v>46267</v>
      </c>
      <c r="B2341" s="55" t="s">
        <v>62</v>
      </c>
      <c r="C2341" s="55" t="s">
        <v>56</v>
      </c>
      <c r="D2341" s="57">
        <v>9987</v>
      </c>
      <c r="E2341" s="55">
        <v>7133</v>
      </c>
      <c r="F2341" s="55">
        <v>88</v>
      </c>
      <c r="G2341" s="55">
        <v>4</v>
      </c>
      <c r="H2341" s="55">
        <v>1</v>
      </c>
      <c r="I2341" s="55">
        <v>2</v>
      </c>
      <c r="J2341" s="55">
        <v>0</v>
      </c>
    </row>
    <row r="2342" spans="1:10" ht="15" x14ac:dyDescent="0.4">
      <c r="A2342" s="54">
        <v>46268</v>
      </c>
      <c r="B2342" s="55" t="s">
        <v>63</v>
      </c>
      <c r="C2342" s="55" t="s">
        <v>58</v>
      </c>
      <c r="D2342" s="57">
        <v>6885</v>
      </c>
      <c r="E2342" s="55">
        <v>1434</v>
      </c>
      <c r="F2342" s="55">
        <v>65</v>
      </c>
      <c r="G2342" s="55">
        <v>3</v>
      </c>
      <c r="H2342" s="55">
        <v>2</v>
      </c>
      <c r="I2342" s="55">
        <v>3</v>
      </c>
      <c r="J2342" s="55">
        <v>0</v>
      </c>
    </row>
    <row r="2343" spans="1:10" ht="15" x14ac:dyDescent="0.4">
      <c r="A2343" s="54">
        <v>46268</v>
      </c>
      <c r="B2343" s="55" t="s">
        <v>57</v>
      </c>
      <c r="C2343" s="55" t="s">
        <v>58</v>
      </c>
      <c r="D2343" s="57">
        <v>18083</v>
      </c>
      <c r="E2343" s="55">
        <v>3767</v>
      </c>
      <c r="F2343" s="55">
        <v>176</v>
      </c>
      <c r="G2343" s="55">
        <v>3</v>
      </c>
      <c r="H2343" s="55">
        <v>0</v>
      </c>
      <c r="I2343" s="55">
        <v>0</v>
      </c>
      <c r="J2343" s="55">
        <v>0</v>
      </c>
    </row>
    <row r="2344" spans="1:10" ht="15" x14ac:dyDescent="0.4">
      <c r="A2344" s="54">
        <v>46268</v>
      </c>
      <c r="B2344" s="55" t="s">
        <v>59</v>
      </c>
      <c r="C2344" s="55" t="s">
        <v>60</v>
      </c>
      <c r="D2344" s="57">
        <v>27935</v>
      </c>
      <c r="E2344" s="55">
        <v>5372</v>
      </c>
      <c r="F2344" s="55">
        <v>32</v>
      </c>
      <c r="G2344" s="55">
        <v>0</v>
      </c>
      <c r="H2344" s="55">
        <v>1</v>
      </c>
      <c r="I2344" s="55">
        <v>0</v>
      </c>
      <c r="J2344" s="55">
        <v>0</v>
      </c>
    </row>
    <row r="2345" spans="1:10" ht="15" x14ac:dyDescent="0.4">
      <c r="A2345" s="54">
        <v>46268</v>
      </c>
      <c r="B2345" s="55" t="s">
        <v>64</v>
      </c>
      <c r="C2345" s="55" t="s">
        <v>56</v>
      </c>
      <c r="D2345" s="57">
        <v>51234</v>
      </c>
      <c r="E2345" s="55">
        <v>36595</v>
      </c>
      <c r="F2345" s="55">
        <v>441</v>
      </c>
      <c r="G2345" s="55">
        <v>18</v>
      </c>
      <c r="H2345" s="55">
        <v>5</v>
      </c>
      <c r="I2345" s="55">
        <v>1</v>
      </c>
      <c r="J2345" s="55">
        <v>0</v>
      </c>
    </row>
    <row r="2346" spans="1:10" ht="15" x14ac:dyDescent="0.4">
      <c r="A2346" s="54">
        <v>46268</v>
      </c>
      <c r="B2346" s="55" t="s">
        <v>55</v>
      </c>
      <c r="C2346" s="55" t="s">
        <v>56</v>
      </c>
      <c r="D2346" s="57">
        <v>42667</v>
      </c>
      <c r="E2346" s="55">
        <v>30476</v>
      </c>
      <c r="F2346" s="55">
        <v>290</v>
      </c>
      <c r="G2346" s="55">
        <v>11</v>
      </c>
      <c r="H2346" s="55">
        <v>1</v>
      </c>
      <c r="I2346" s="55">
        <v>0</v>
      </c>
      <c r="J2346" s="55">
        <v>0</v>
      </c>
    </row>
    <row r="2347" spans="1:10" ht="15" x14ac:dyDescent="0.4">
      <c r="A2347" s="54">
        <v>46268</v>
      </c>
      <c r="B2347" s="55" t="s">
        <v>62</v>
      </c>
      <c r="C2347" s="55" t="s">
        <v>56</v>
      </c>
      <c r="D2347" s="57">
        <v>9082</v>
      </c>
      <c r="E2347" s="55">
        <v>6487</v>
      </c>
      <c r="F2347" s="55">
        <v>80</v>
      </c>
      <c r="G2347" s="55">
        <v>0</v>
      </c>
      <c r="H2347" s="55">
        <v>2</v>
      </c>
      <c r="I2347" s="55">
        <v>1</v>
      </c>
      <c r="J2347" s="55">
        <v>0</v>
      </c>
    </row>
    <row r="2348" spans="1:10" ht="15" x14ac:dyDescent="0.4">
      <c r="A2348" s="54">
        <v>46269</v>
      </c>
      <c r="B2348" s="55" t="s">
        <v>63</v>
      </c>
      <c r="C2348" s="55" t="s">
        <v>58</v>
      </c>
      <c r="D2348" s="57">
        <v>6896</v>
      </c>
      <c r="E2348" s="55">
        <v>1436</v>
      </c>
      <c r="F2348" s="55">
        <v>71</v>
      </c>
      <c r="G2348" s="55">
        <v>2</v>
      </c>
      <c r="H2348" s="55">
        <v>1</v>
      </c>
      <c r="I2348" s="55">
        <v>0</v>
      </c>
      <c r="J2348" s="55">
        <v>0</v>
      </c>
    </row>
    <row r="2349" spans="1:10" ht="15" x14ac:dyDescent="0.4">
      <c r="A2349" s="54">
        <v>46269</v>
      </c>
      <c r="B2349" s="55" t="s">
        <v>57</v>
      </c>
      <c r="C2349" s="55" t="s">
        <v>58</v>
      </c>
      <c r="D2349" s="57">
        <v>18274</v>
      </c>
      <c r="E2349" s="55">
        <v>3807</v>
      </c>
      <c r="F2349" s="55">
        <v>172</v>
      </c>
      <c r="G2349" s="55">
        <v>2</v>
      </c>
      <c r="H2349" s="55">
        <v>0</v>
      </c>
      <c r="I2349" s="55">
        <v>0</v>
      </c>
      <c r="J2349" s="55">
        <v>0</v>
      </c>
    </row>
    <row r="2350" spans="1:10" ht="15" x14ac:dyDescent="0.4">
      <c r="A2350" s="54">
        <v>46269</v>
      </c>
      <c r="B2350" s="55" t="s">
        <v>59</v>
      </c>
      <c r="C2350" s="55" t="s">
        <v>60</v>
      </c>
      <c r="D2350" s="57">
        <v>23273</v>
      </c>
      <c r="E2350" s="55">
        <v>4475</v>
      </c>
      <c r="F2350" s="55">
        <v>26</v>
      </c>
      <c r="G2350" s="55">
        <v>1</v>
      </c>
      <c r="H2350" s="55">
        <v>0</v>
      </c>
      <c r="I2350" s="55">
        <v>1</v>
      </c>
      <c r="J2350" s="55">
        <v>1</v>
      </c>
    </row>
    <row r="2351" spans="1:10" ht="15" x14ac:dyDescent="0.4">
      <c r="A2351" s="54">
        <v>46269</v>
      </c>
      <c r="B2351" s="55" t="s">
        <v>64</v>
      </c>
      <c r="C2351" s="55" t="s">
        <v>56</v>
      </c>
      <c r="D2351" s="57">
        <v>51648</v>
      </c>
      <c r="E2351" s="55">
        <v>36891</v>
      </c>
      <c r="F2351" s="55">
        <v>427</v>
      </c>
      <c r="G2351" s="55">
        <v>27</v>
      </c>
      <c r="H2351" s="55">
        <v>1</v>
      </c>
      <c r="I2351" s="55">
        <v>1</v>
      </c>
      <c r="J2351" s="55">
        <v>0</v>
      </c>
    </row>
    <row r="2352" spans="1:10" ht="15" x14ac:dyDescent="0.4">
      <c r="A2352" s="54">
        <v>46269</v>
      </c>
      <c r="B2352" s="55" t="s">
        <v>55</v>
      </c>
      <c r="C2352" s="55" t="s">
        <v>56</v>
      </c>
      <c r="D2352" s="57">
        <v>39576</v>
      </c>
      <c r="E2352" s="55">
        <v>28268</v>
      </c>
      <c r="F2352" s="55">
        <v>300</v>
      </c>
      <c r="G2352" s="55">
        <v>10</v>
      </c>
      <c r="H2352" s="55">
        <v>1</v>
      </c>
      <c r="I2352" s="55">
        <v>0</v>
      </c>
      <c r="J2352" s="55">
        <v>0</v>
      </c>
    </row>
    <row r="2353" spans="1:10" ht="15" x14ac:dyDescent="0.4">
      <c r="A2353" s="54">
        <v>46269</v>
      </c>
      <c r="B2353" s="55" t="s">
        <v>62</v>
      </c>
      <c r="C2353" s="55" t="s">
        <v>56</v>
      </c>
      <c r="D2353" s="57">
        <v>8397</v>
      </c>
      <c r="E2353" s="55">
        <v>5997</v>
      </c>
      <c r="F2353" s="55">
        <v>57</v>
      </c>
      <c r="G2353" s="55">
        <v>0</v>
      </c>
      <c r="H2353" s="55">
        <v>1</v>
      </c>
      <c r="I2353" s="55">
        <v>0</v>
      </c>
      <c r="J2353" s="55">
        <v>0</v>
      </c>
    </row>
    <row r="2354" spans="1:10" ht="15" x14ac:dyDescent="0.4">
      <c r="A2354" s="54">
        <v>46270</v>
      </c>
      <c r="B2354" s="55" t="s">
        <v>63</v>
      </c>
      <c r="C2354" s="55" t="s">
        <v>58</v>
      </c>
      <c r="D2354" s="57">
        <v>6972</v>
      </c>
      <c r="E2354" s="55">
        <v>1452</v>
      </c>
      <c r="F2354" s="55">
        <v>84</v>
      </c>
      <c r="G2354" s="55">
        <v>4</v>
      </c>
      <c r="H2354" s="55">
        <v>1</v>
      </c>
      <c r="I2354" s="55">
        <v>1</v>
      </c>
      <c r="J2354" s="55">
        <v>0</v>
      </c>
    </row>
    <row r="2355" spans="1:10" ht="15" x14ac:dyDescent="0.4">
      <c r="A2355" s="54">
        <v>46270</v>
      </c>
      <c r="B2355" s="55" t="s">
        <v>57</v>
      </c>
      <c r="C2355" s="55" t="s">
        <v>58</v>
      </c>
      <c r="D2355" s="57">
        <v>17785</v>
      </c>
      <c r="E2355" s="55">
        <v>3705</v>
      </c>
      <c r="F2355" s="55">
        <v>219</v>
      </c>
      <c r="G2355" s="55">
        <v>6</v>
      </c>
      <c r="H2355" s="55">
        <v>2</v>
      </c>
      <c r="I2355" s="55">
        <v>1</v>
      </c>
      <c r="J2355" s="55">
        <v>0</v>
      </c>
    </row>
    <row r="2356" spans="1:10" ht="15" x14ac:dyDescent="0.4">
      <c r="A2356" s="54">
        <v>46270</v>
      </c>
      <c r="B2356" s="55" t="s">
        <v>59</v>
      </c>
      <c r="C2356" s="55" t="s">
        <v>60</v>
      </c>
      <c r="D2356" s="57">
        <v>23923</v>
      </c>
      <c r="E2356" s="55">
        <v>4600</v>
      </c>
      <c r="F2356" s="55">
        <v>28</v>
      </c>
      <c r="G2356" s="55">
        <v>3</v>
      </c>
      <c r="H2356" s="55">
        <v>0</v>
      </c>
      <c r="I2356" s="55">
        <v>1</v>
      </c>
      <c r="J2356" s="55">
        <v>0</v>
      </c>
    </row>
    <row r="2357" spans="1:10" ht="15" x14ac:dyDescent="0.4">
      <c r="A2357" s="54">
        <v>46270</v>
      </c>
      <c r="B2357" s="55" t="s">
        <v>64</v>
      </c>
      <c r="C2357" s="55" t="s">
        <v>56</v>
      </c>
      <c r="D2357" s="57">
        <v>47368</v>
      </c>
      <c r="E2357" s="55">
        <v>33834</v>
      </c>
      <c r="F2357" s="55">
        <v>323</v>
      </c>
      <c r="G2357" s="55">
        <v>21</v>
      </c>
      <c r="H2357" s="55">
        <v>1</v>
      </c>
      <c r="I2357" s="55">
        <v>0</v>
      </c>
      <c r="J2357" s="55">
        <v>0</v>
      </c>
    </row>
    <row r="2358" spans="1:10" ht="15" x14ac:dyDescent="0.4">
      <c r="A2358" s="54">
        <v>46270</v>
      </c>
      <c r="B2358" s="55" t="s">
        <v>55</v>
      </c>
      <c r="C2358" s="55" t="s">
        <v>56</v>
      </c>
      <c r="D2358" s="57">
        <v>41876</v>
      </c>
      <c r="E2358" s="55">
        <v>29911</v>
      </c>
      <c r="F2358" s="55">
        <v>351</v>
      </c>
      <c r="G2358" s="55">
        <v>5</v>
      </c>
      <c r="H2358" s="55">
        <v>0</v>
      </c>
      <c r="I2358" s="55">
        <v>2</v>
      </c>
      <c r="J2358" s="55">
        <v>1</v>
      </c>
    </row>
    <row r="2359" spans="1:10" ht="15" x14ac:dyDescent="0.4">
      <c r="A2359" s="54">
        <v>46270</v>
      </c>
      <c r="B2359" s="55" t="s">
        <v>62</v>
      </c>
      <c r="C2359" s="55" t="s">
        <v>56</v>
      </c>
      <c r="D2359" s="57">
        <v>9184</v>
      </c>
      <c r="E2359" s="55">
        <v>6560</v>
      </c>
      <c r="F2359" s="55">
        <v>67</v>
      </c>
      <c r="G2359" s="55">
        <v>0</v>
      </c>
      <c r="H2359" s="55">
        <v>1</v>
      </c>
      <c r="I2359" s="55">
        <v>0</v>
      </c>
      <c r="J2359" s="55">
        <v>0</v>
      </c>
    </row>
    <row r="2360" spans="1:10" ht="15" x14ac:dyDescent="0.4">
      <c r="A2360" s="54">
        <v>46271</v>
      </c>
      <c r="B2360" s="55" t="s">
        <v>63</v>
      </c>
      <c r="C2360" s="55" t="s">
        <v>58</v>
      </c>
      <c r="D2360" s="57">
        <v>6958</v>
      </c>
      <c r="E2360" s="55">
        <v>1449</v>
      </c>
      <c r="F2360" s="55">
        <v>64</v>
      </c>
      <c r="G2360" s="55">
        <v>2</v>
      </c>
      <c r="H2360" s="55">
        <v>1</v>
      </c>
      <c r="I2360" s="55">
        <v>0</v>
      </c>
      <c r="J2360" s="55">
        <v>0</v>
      </c>
    </row>
    <row r="2361" spans="1:10" ht="15" x14ac:dyDescent="0.4">
      <c r="A2361" s="54">
        <v>46271</v>
      </c>
      <c r="B2361" s="55" t="s">
        <v>57</v>
      </c>
      <c r="C2361" s="55" t="s">
        <v>58</v>
      </c>
      <c r="D2361" s="57">
        <v>19936</v>
      </c>
      <c r="E2361" s="55">
        <v>4153</v>
      </c>
      <c r="F2361" s="55">
        <v>206</v>
      </c>
      <c r="G2361" s="55">
        <v>2</v>
      </c>
      <c r="H2361" s="55">
        <v>2</v>
      </c>
      <c r="I2361" s="55">
        <v>0</v>
      </c>
      <c r="J2361" s="55">
        <v>1</v>
      </c>
    </row>
    <row r="2362" spans="1:10" ht="15" x14ac:dyDescent="0.4">
      <c r="A2362" s="54">
        <v>46271</v>
      </c>
      <c r="B2362" s="55" t="s">
        <v>59</v>
      </c>
      <c r="C2362" s="55" t="s">
        <v>60</v>
      </c>
      <c r="D2362" s="57">
        <v>27056</v>
      </c>
      <c r="E2362" s="55">
        <v>5203</v>
      </c>
      <c r="F2362" s="55">
        <v>32</v>
      </c>
      <c r="G2362" s="55">
        <v>1</v>
      </c>
      <c r="H2362" s="55">
        <v>0</v>
      </c>
      <c r="I2362" s="55">
        <v>2</v>
      </c>
      <c r="J2362" s="55">
        <v>0</v>
      </c>
    </row>
    <row r="2363" spans="1:10" ht="15" x14ac:dyDescent="0.4">
      <c r="A2363" s="54">
        <v>46271</v>
      </c>
      <c r="B2363" s="55" t="s">
        <v>64</v>
      </c>
      <c r="C2363" s="55" t="s">
        <v>56</v>
      </c>
      <c r="D2363" s="57">
        <v>43357</v>
      </c>
      <c r="E2363" s="55">
        <v>30969</v>
      </c>
      <c r="F2363" s="55">
        <v>351</v>
      </c>
      <c r="G2363" s="55">
        <v>11</v>
      </c>
      <c r="H2363" s="55">
        <v>1</v>
      </c>
      <c r="I2363" s="55">
        <v>0</v>
      </c>
      <c r="J2363" s="55">
        <v>0</v>
      </c>
    </row>
    <row r="2364" spans="1:10" ht="15" x14ac:dyDescent="0.4">
      <c r="A2364" s="54">
        <v>46271</v>
      </c>
      <c r="B2364" s="55" t="s">
        <v>55</v>
      </c>
      <c r="C2364" s="55" t="s">
        <v>56</v>
      </c>
      <c r="D2364" s="57">
        <v>36679</v>
      </c>
      <c r="E2364" s="55">
        <v>26199</v>
      </c>
      <c r="F2364" s="55">
        <v>283</v>
      </c>
      <c r="G2364" s="55">
        <v>1</v>
      </c>
      <c r="H2364" s="55">
        <v>1</v>
      </c>
      <c r="I2364" s="55">
        <v>0</v>
      </c>
      <c r="J2364" s="55">
        <v>1</v>
      </c>
    </row>
    <row r="2365" spans="1:10" ht="15" x14ac:dyDescent="0.4">
      <c r="A2365" s="54">
        <v>46271</v>
      </c>
      <c r="B2365" s="55" t="s">
        <v>62</v>
      </c>
      <c r="C2365" s="55" t="s">
        <v>56</v>
      </c>
      <c r="D2365" s="57">
        <v>9371</v>
      </c>
      <c r="E2365" s="55">
        <v>6693</v>
      </c>
      <c r="F2365" s="55">
        <v>77</v>
      </c>
      <c r="G2365" s="55">
        <v>0</v>
      </c>
      <c r="H2365" s="55">
        <v>0</v>
      </c>
      <c r="I2365" s="55">
        <v>0</v>
      </c>
      <c r="J2365" s="55">
        <v>0</v>
      </c>
    </row>
    <row r="2366" spans="1:10" ht="15" x14ac:dyDescent="0.4">
      <c r="A2366" s="54">
        <v>46272</v>
      </c>
      <c r="B2366" s="55" t="s">
        <v>63</v>
      </c>
      <c r="C2366" s="55" t="s">
        <v>58</v>
      </c>
      <c r="D2366" s="57">
        <v>6330</v>
      </c>
      <c r="E2366" s="55">
        <v>1318</v>
      </c>
      <c r="F2366" s="55">
        <v>66</v>
      </c>
      <c r="G2366" s="55">
        <v>2</v>
      </c>
      <c r="H2366" s="55">
        <v>3</v>
      </c>
      <c r="I2366" s="55">
        <v>0</v>
      </c>
      <c r="J2366" s="55">
        <v>1</v>
      </c>
    </row>
    <row r="2367" spans="1:10" ht="15" x14ac:dyDescent="0.4">
      <c r="A2367" s="54">
        <v>46272</v>
      </c>
      <c r="B2367" s="55" t="s">
        <v>57</v>
      </c>
      <c r="C2367" s="55" t="s">
        <v>58</v>
      </c>
      <c r="D2367" s="57">
        <v>20154</v>
      </c>
      <c r="E2367" s="55">
        <v>4198</v>
      </c>
      <c r="F2367" s="55">
        <v>200</v>
      </c>
      <c r="G2367" s="55">
        <v>5</v>
      </c>
      <c r="H2367" s="55">
        <v>1</v>
      </c>
      <c r="I2367" s="55">
        <v>2</v>
      </c>
      <c r="J2367" s="55">
        <v>0</v>
      </c>
    </row>
    <row r="2368" spans="1:10" ht="15" x14ac:dyDescent="0.4">
      <c r="A2368" s="54">
        <v>46272</v>
      </c>
      <c r="B2368" s="55" t="s">
        <v>59</v>
      </c>
      <c r="C2368" s="55" t="s">
        <v>60</v>
      </c>
      <c r="D2368" s="57">
        <v>25632</v>
      </c>
      <c r="E2368" s="55">
        <v>4929</v>
      </c>
      <c r="F2368" s="55">
        <v>34</v>
      </c>
      <c r="G2368" s="55">
        <v>4</v>
      </c>
      <c r="H2368" s="55">
        <v>2</v>
      </c>
      <c r="I2368" s="55">
        <v>1</v>
      </c>
      <c r="J2368" s="55">
        <v>0</v>
      </c>
    </row>
    <row r="2369" spans="1:10" ht="15" x14ac:dyDescent="0.4">
      <c r="A2369" s="54">
        <v>46272</v>
      </c>
      <c r="B2369" s="55" t="s">
        <v>64</v>
      </c>
      <c r="C2369" s="55" t="s">
        <v>56</v>
      </c>
      <c r="D2369" s="57">
        <v>44015</v>
      </c>
      <c r="E2369" s="55">
        <v>31439</v>
      </c>
      <c r="F2369" s="55">
        <v>335</v>
      </c>
      <c r="G2369" s="55">
        <v>20</v>
      </c>
      <c r="H2369" s="55">
        <v>0</v>
      </c>
      <c r="I2369" s="55">
        <v>0</v>
      </c>
      <c r="J2369" s="55">
        <v>0</v>
      </c>
    </row>
    <row r="2370" spans="1:10" ht="15" x14ac:dyDescent="0.4">
      <c r="A2370" s="54">
        <v>46272</v>
      </c>
      <c r="B2370" s="55" t="s">
        <v>55</v>
      </c>
      <c r="C2370" s="55" t="s">
        <v>56</v>
      </c>
      <c r="D2370" s="57">
        <v>41676</v>
      </c>
      <c r="E2370" s="55">
        <v>29768</v>
      </c>
      <c r="F2370" s="55">
        <v>361</v>
      </c>
      <c r="G2370" s="55">
        <v>9</v>
      </c>
      <c r="H2370" s="55">
        <v>1</v>
      </c>
      <c r="I2370" s="55">
        <v>1</v>
      </c>
      <c r="J2370" s="55">
        <v>0</v>
      </c>
    </row>
    <row r="2371" spans="1:10" ht="15" x14ac:dyDescent="0.4">
      <c r="A2371" s="54">
        <v>46272</v>
      </c>
      <c r="B2371" s="55" t="s">
        <v>62</v>
      </c>
      <c r="C2371" s="55" t="s">
        <v>56</v>
      </c>
      <c r="D2371" s="57">
        <v>8890</v>
      </c>
      <c r="E2371" s="55">
        <v>6350</v>
      </c>
      <c r="F2371" s="55">
        <v>75</v>
      </c>
      <c r="G2371" s="55">
        <v>0</v>
      </c>
      <c r="H2371" s="55">
        <v>0</v>
      </c>
      <c r="I2371" s="55">
        <v>1</v>
      </c>
      <c r="J2371" s="55">
        <v>0</v>
      </c>
    </row>
    <row r="2372" spans="1:10" ht="15" x14ac:dyDescent="0.4">
      <c r="A2372" s="54">
        <v>46273</v>
      </c>
      <c r="B2372" s="55" t="s">
        <v>63</v>
      </c>
      <c r="C2372" s="55" t="s">
        <v>58</v>
      </c>
      <c r="D2372" s="57">
        <v>6812</v>
      </c>
      <c r="E2372" s="55">
        <v>1419</v>
      </c>
      <c r="F2372" s="55">
        <v>71</v>
      </c>
      <c r="G2372" s="55">
        <v>1</v>
      </c>
      <c r="H2372" s="55">
        <v>2</v>
      </c>
      <c r="I2372" s="55">
        <v>1</v>
      </c>
      <c r="J2372" s="55">
        <v>0</v>
      </c>
    </row>
    <row r="2373" spans="1:10" ht="15" x14ac:dyDescent="0.4">
      <c r="A2373" s="54">
        <v>46273</v>
      </c>
      <c r="B2373" s="55" t="s">
        <v>57</v>
      </c>
      <c r="C2373" s="55" t="s">
        <v>58</v>
      </c>
      <c r="D2373" s="57">
        <v>20245</v>
      </c>
      <c r="E2373" s="55">
        <v>4217</v>
      </c>
      <c r="F2373" s="55">
        <v>229</v>
      </c>
      <c r="G2373" s="55">
        <v>5</v>
      </c>
      <c r="H2373" s="55">
        <v>0</v>
      </c>
      <c r="I2373" s="55">
        <v>0</v>
      </c>
      <c r="J2373" s="55">
        <v>0</v>
      </c>
    </row>
    <row r="2374" spans="1:10" ht="15" x14ac:dyDescent="0.4">
      <c r="A2374" s="54">
        <v>46273</v>
      </c>
      <c r="B2374" s="55" t="s">
        <v>59</v>
      </c>
      <c r="C2374" s="55" t="s">
        <v>60</v>
      </c>
      <c r="D2374" s="57">
        <v>24804</v>
      </c>
      <c r="E2374" s="55">
        <v>4770</v>
      </c>
      <c r="F2374" s="55">
        <v>27</v>
      </c>
      <c r="G2374" s="55">
        <v>5</v>
      </c>
      <c r="H2374" s="55">
        <v>0</v>
      </c>
      <c r="I2374" s="55">
        <v>0</v>
      </c>
      <c r="J2374" s="55">
        <v>0</v>
      </c>
    </row>
    <row r="2375" spans="1:10" ht="15" x14ac:dyDescent="0.4">
      <c r="A2375" s="54">
        <v>46273</v>
      </c>
      <c r="B2375" s="55" t="s">
        <v>64</v>
      </c>
      <c r="C2375" s="55" t="s">
        <v>56</v>
      </c>
      <c r="D2375" s="57">
        <v>46341</v>
      </c>
      <c r="E2375" s="55">
        <v>33100</v>
      </c>
      <c r="F2375" s="55">
        <v>364</v>
      </c>
      <c r="G2375" s="55">
        <v>28</v>
      </c>
      <c r="H2375" s="55">
        <v>3</v>
      </c>
      <c r="I2375" s="55">
        <v>0</v>
      </c>
      <c r="J2375" s="55">
        <v>0</v>
      </c>
    </row>
    <row r="2376" spans="1:10" ht="15" x14ac:dyDescent="0.4">
      <c r="A2376" s="54">
        <v>46273</v>
      </c>
      <c r="B2376" s="55" t="s">
        <v>55</v>
      </c>
      <c r="C2376" s="55" t="s">
        <v>56</v>
      </c>
      <c r="D2376" s="57">
        <v>40724</v>
      </c>
      <c r="E2376" s="55">
        <v>29088</v>
      </c>
      <c r="F2376" s="55">
        <v>318</v>
      </c>
      <c r="G2376" s="55">
        <v>7</v>
      </c>
      <c r="H2376" s="55">
        <v>4</v>
      </c>
      <c r="I2376" s="55">
        <v>0</v>
      </c>
      <c r="J2376" s="55">
        <v>0</v>
      </c>
    </row>
    <row r="2377" spans="1:10" ht="15" x14ac:dyDescent="0.4">
      <c r="A2377" s="54">
        <v>46273</v>
      </c>
      <c r="B2377" s="55" t="s">
        <v>62</v>
      </c>
      <c r="C2377" s="55" t="s">
        <v>56</v>
      </c>
      <c r="D2377" s="57">
        <v>8584</v>
      </c>
      <c r="E2377" s="55">
        <v>6131</v>
      </c>
      <c r="F2377" s="55">
        <v>68</v>
      </c>
      <c r="G2377" s="55">
        <v>0</v>
      </c>
      <c r="H2377" s="55">
        <v>0</v>
      </c>
      <c r="I2377" s="55">
        <v>1</v>
      </c>
      <c r="J2377" s="55">
        <v>0</v>
      </c>
    </row>
    <row r="2378" spans="1:10" ht="15" x14ac:dyDescent="0.4">
      <c r="A2378" s="54">
        <v>46274</v>
      </c>
      <c r="B2378" s="55" t="s">
        <v>63</v>
      </c>
      <c r="C2378" s="55" t="s">
        <v>58</v>
      </c>
      <c r="D2378" s="57">
        <v>6532</v>
      </c>
      <c r="E2378" s="55">
        <v>1360</v>
      </c>
      <c r="F2378" s="55">
        <v>66</v>
      </c>
      <c r="G2378" s="55">
        <v>2</v>
      </c>
      <c r="H2378" s="55">
        <v>3</v>
      </c>
      <c r="I2378" s="55">
        <v>0</v>
      </c>
      <c r="J2378" s="55">
        <v>0</v>
      </c>
    </row>
    <row r="2379" spans="1:10" ht="15" x14ac:dyDescent="0.4">
      <c r="A2379" s="54">
        <v>46274</v>
      </c>
      <c r="B2379" s="55" t="s">
        <v>57</v>
      </c>
      <c r="C2379" s="55" t="s">
        <v>58</v>
      </c>
      <c r="D2379" s="57">
        <v>19616</v>
      </c>
      <c r="E2379" s="55">
        <v>4086</v>
      </c>
      <c r="F2379" s="55">
        <v>214</v>
      </c>
      <c r="G2379" s="55">
        <v>4</v>
      </c>
      <c r="H2379" s="55">
        <v>1</v>
      </c>
      <c r="I2379" s="55">
        <v>1</v>
      </c>
      <c r="J2379" s="55">
        <v>1</v>
      </c>
    </row>
    <row r="2380" spans="1:10" ht="15" x14ac:dyDescent="0.4">
      <c r="A2380" s="54">
        <v>46274</v>
      </c>
      <c r="B2380" s="55" t="s">
        <v>59</v>
      </c>
      <c r="C2380" s="55" t="s">
        <v>60</v>
      </c>
      <c r="D2380" s="57">
        <v>26467</v>
      </c>
      <c r="E2380" s="55">
        <v>5089</v>
      </c>
      <c r="F2380" s="55">
        <v>30</v>
      </c>
      <c r="G2380" s="55">
        <v>3</v>
      </c>
      <c r="H2380" s="55">
        <v>1</v>
      </c>
      <c r="I2380" s="55">
        <v>0</v>
      </c>
      <c r="J2380" s="55">
        <v>0</v>
      </c>
    </row>
    <row r="2381" spans="1:10" ht="15" x14ac:dyDescent="0.4">
      <c r="A2381" s="54">
        <v>46274</v>
      </c>
      <c r="B2381" s="55" t="s">
        <v>64</v>
      </c>
      <c r="C2381" s="55" t="s">
        <v>56</v>
      </c>
      <c r="D2381" s="57">
        <v>42278</v>
      </c>
      <c r="E2381" s="55">
        <v>30198</v>
      </c>
      <c r="F2381" s="55">
        <v>380</v>
      </c>
      <c r="G2381" s="55">
        <v>17</v>
      </c>
      <c r="H2381" s="55">
        <v>1</v>
      </c>
      <c r="I2381" s="55">
        <v>0</v>
      </c>
      <c r="J2381" s="55">
        <v>0</v>
      </c>
    </row>
    <row r="2382" spans="1:10" ht="15" x14ac:dyDescent="0.4">
      <c r="A2382" s="54">
        <v>46274</v>
      </c>
      <c r="B2382" s="55" t="s">
        <v>55</v>
      </c>
      <c r="C2382" s="55" t="s">
        <v>56</v>
      </c>
      <c r="D2382" s="57">
        <v>37090</v>
      </c>
      <c r="E2382" s="55">
        <v>26492</v>
      </c>
      <c r="F2382" s="55">
        <v>273</v>
      </c>
      <c r="G2382" s="55">
        <v>12</v>
      </c>
      <c r="H2382" s="55">
        <v>0</v>
      </c>
      <c r="I2382" s="55">
        <v>1</v>
      </c>
      <c r="J2382" s="55">
        <v>0</v>
      </c>
    </row>
    <row r="2383" spans="1:10" ht="15" x14ac:dyDescent="0.4">
      <c r="A2383" s="54">
        <v>46274</v>
      </c>
      <c r="B2383" s="55" t="s">
        <v>62</v>
      </c>
      <c r="C2383" s="55" t="s">
        <v>56</v>
      </c>
      <c r="D2383" s="57">
        <v>8365</v>
      </c>
      <c r="E2383" s="55">
        <v>5975</v>
      </c>
      <c r="F2383" s="55">
        <v>67</v>
      </c>
      <c r="G2383" s="55">
        <v>0</v>
      </c>
      <c r="H2383" s="55">
        <v>0</v>
      </c>
      <c r="I2383" s="55">
        <v>0</v>
      </c>
      <c r="J2383" s="55">
        <v>0</v>
      </c>
    </row>
    <row r="2384" spans="1:10" ht="15" x14ac:dyDescent="0.4">
      <c r="A2384" s="54">
        <v>46275</v>
      </c>
      <c r="B2384" s="55" t="s">
        <v>63</v>
      </c>
      <c r="C2384" s="55" t="s">
        <v>58</v>
      </c>
      <c r="D2384" s="57">
        <v>7325</v>
      </c>
      <c r="E2384" s="55">
        <v>1526</v>
      </c>
      <c r="F2384" s="55">
        <v>73</v>
      </c>
      <c r="G2384" s="55">
        <v>4</v>
      </c>
      <c r="H2384" s="55">
        <v>2</v>
      </c>
      <c r="I2384" s="55">
        <v>1</v>
      </c>
      <c r="J2384" s="55">
        <v>0</v>
      </c>
    </row>
    <row r="2385" spans="1:10" ht="15" x14ac:dyDescent="0.4">
      <c r="A2385" s="54">
        <v>46275</v>
      </c>
      <c r="B2385" s="55" t="s">
        <v>57</v>
      </c>
      <c r="C2385" s="55" t="s">
        <v>58</v>
      </c>
      <c r="D2385" s="57">
        <v>19848</v>
      </c>
      <c r="E2385" s="55">
        <v>4135</v>
      </c>
      <c r="F2385" s="55">
        <v>195</v>
      </c>
      <c r="G2385" s="55">
        <v>1</v>
      </c>
      <c r="H2385" s="55">
        <v>1</v>
      </c>
      <c r="I2385" s="55">
        <v>0</v>
      </c>
      <c r="J2385" s="55">
        <v>0</v>
      </c>
    </row>
    <row r="2386" spans="1:10" ht="15" x14ac:dyDescent="0.4">
      <c r="A2386" s="54">
        <v>46275</v>
      </c>
      <c r="B2386" s="55" t="s">
        <v>59</v>
      </c>
      <c r="C2386" s="55" t="s">
        <v>60</v>
      </c>
      <c r="D2386" s="57">
        <v>25449</v>
      </c>
      <c r="E2386" s="55">
        <v>4894</v>
      </c>
      <c r="F2386" s="55">
        <v>33</v>
      </c>
      <c r="G2386" s="55">
        <v>3</v>
      </c>
      <c r="H2386" s="55">
        <v>1</v>
      </c>
      <c r="I2386" s="55">
        <v>0</v>
      </c>
      <c r="J2386" s="55">
        <v>0</v>
      </c>
    </row>
    <row r="2387" spans="1:10" ht="15" x14ac:dyDescent="0.4">
      <c r="A2387" s="54">
        <v>46275</v>
      </c>
      <c r="B2387" s="55" t="s">
        <v>64</v>
      </c>
      <c r="C2387" s="55" t="s">
        <v>56</v>
      </c>
      <c r="D2387" s="57">
        <v>48625</v>
      </c>
      <c r="E2387" s="55">
        <v>34732</v>
      </c>
      <c r="F2387" s="55">
        <v>407</v>
      </c>
      <c r="G2387" s="55">
        <v>21</v>
      </c>
      <c r="H2387" s="55">
        <v>1</v>
      </c>
      <c r="I2387" s="55">
        <v>1</v>
      </c>
      <c r="J2387" s="55">
        <v>0</v>
      </c>
    </row>
    <row r="2388" spans="1:10" ht="15" x14ac:dyDescent="0.4">
      <c r="A2388" s="54">
        <v>46275</v>
      </c>
      <c r="B2388" s="55" t="s">
        <v>55</v>
      </c>
      <c r="C2388" s="55" t="s">
        <v>56</v>
      </c>
      <c r="D2388" s="57">
        <v>35118</v>
      </c>
      <c r="E2388" s="55">
        <v>25084</v>
      </c>
      <c r="F2388" s="55">
        <v>293</v>
      </c>
      <c r="G2388" s="55">
        <v>10</v>
      </c>
      <c r="H2388" s="55">
        <v>3</v>
      </c>
      <c r="I2388" s="55">
        <v>0</v>
      </c>
      <c r="J2388" s="55">
        <v>0</v>
      </c>
    </row>
    <row r="2389" spans="1:10" ht="15" x14ac:dyDescent="0.4">
      <c r="A2389" s="54">
        <v>46275</v>
      </c>
      <c r="B2389" s="55" t="s">
        <v>62</v>
      </c>
      <c r="C2389" s="55" t="s">
        <v>56</v>
      </c>
      <c r="D2389" s="57">
        <v>9875</v>
      </c>
      <c r="E2389" s="55">
        <v>7053</v>
      </c>
      <c r="F2389" s="55">
        <v>87</v>
      </c>
      <c r="G2389" s="55">
        <v>0</v>
      </c>
      <c r="H2389" s="55">
        <v>0</v>
      </c>
      <c r="I2389" s="55">
        <v>0</v>
      </c>
      <c r="J2389" s="55">
        <v>0</v>
      </c>
    </row>
    <row r="2390" spans="1:10" ht="15" x14ac:dyDescent="0.4">
      <c r="A2390" s="54">
        <v>46276</v>
      </c>
      <c r="B2390" s="55" t="s">
        <v>63</v>
      </c>
      <c r="C2390" s="55" t="s">
        <v>58</v>
      </c>
      <c r="D2390" s="57">
        <v>6933</v>
      </c>
      <c r="E2390" s="55">
        <v>1444</v>
      </c>
      <c r="F2390" s="55">
        <v>82</v>
      </c>
      <c r="G2390" s="55">
        <v>3</v>
      </c>
      <c r="H2390" s="55">
        <v>1</v>
      </c>
      <c r="I2390" s="55">
        <v>2</v>
      </c>
      <c r="J2390" s="55">
        <v>2</v>
      </c>
    </row>
    <row r="2391" spans="1:10" ht="15" x14ac:dyDescent="0.4">
      <c r="A2391" s="54">
        <v>46276</v>
      </c>
      <c r="B2391" s="55" t="s">
        <v>57</v>
      </c>
      <c r="C2391" s="55" t="s">
        <v>58</v>
      </c>
      <c r="D2391" s="57">
        <v>20005</v>
      </c>
      <c r="E2391" s="55">
        <v>4167</v>
      </c>
      <c r="F2391" s="55">
        <v>247</v>
      </c>
      <c r="G2391" s="55">
        <v>2</v>
      </c>
      <c r="H2391" s="55">
        <v>2</v>
      </c>
      <c r="I2391" s="55">
        <v>1</v>
      </c>
      <c r="J2391" s="55">
        <v>0</v>
      </c>
    </row>
    <row r="2392" spans="1:10" ht="15" x14ac:dyDescent="0.4">
      <c r="A2392" s="54">
        <v>46276</v>
      </c>
      <c r="B2392" s="55" t="s">
        <v>59</v>
      </c>
      <c r="C2392" s="55" t="s">
        <v>60</v>
      </c>
      <c r="D2392" s="57">
        <v>25128</v>
      </c>
      <c r="E2392" s="55">
        <v>4832</v>
      </c>
      <c r="F2392" s="55">
        <v>35</v>
      </c>
      <c r="G2392" s="55">
        <v>1</v>
      </c>
      <c r="H2392" s="55">
        <v>1</v>
      </c>
      <c r="I2392" s="55">
        <v>0</v>
      </c>
      <c r="J2392" s="55">
        <v>0</v>
      </c>
    </row>
    <row r="2393" spans="1:10" ht="15" x14ac:dyDescent="0.4">
      <c r="A2393" s="54">
        <v>46276</v>
      </c>
      <c r="B2393" s="55" t="s">
        <v>64</v>
      </c>
      <c r="C2393" s="55" t="s">
        <v>56</v>
      </c>
      <c r="D2393" s="57">
        <v>43477</v>
      </c>
      <c r="E2393" s="55">
        <v>31055</v>
      </c>
      <c r="F2393" s="55">
        <v>361</v>
      </c>
      <c r="G2393" s="55">
        <v>14</v>
      </c>
      <c r="H2393" s="55">
        <v>2</v>
      </c>
      <c r="I2393" s="55">
        <v>0</v>
      </c>
      <c r="J2393" s="55">
        <v>0</v>
      </c>
    </row>
    <row r="2394" spans="1:10" ht="15" x14ac:dyDescent="0.4">
      <c r="A2394" s="54">
        <v>46276</v>
      </c>
      <c r="B2394" s="55" t="s">
        <v>55</v>
      </c>
      <c r="C2394" s="55" t="s">
        <v>56</v>
      </c>
      <c r="D2394" s="57">
        <v>40726</v>
      </c>
      <c r="E2394" s="55">
        <v>29090</v>
      </c>
      <c r="F2394" s="55">
        <v>359</v>
      </c>
      <c r="G2394" s="55">
        <v>4</v>
      </c>
      <c r="H2394" s="55">
        <v>1</v>
      </c>
      <c r="I2394" s="55">
        <v>0</v>
      </c>
      <c r="J2394" s="55">
        <v>0</v>
      </c>
    </row>
    <row r="2395" spans="1:10" ht="15" x14ac:dyDescent="0.4">
      <c r="A2395" s="54">
        <v>46276</v>
      </c>
      <c r="B2395" s="55" t="s">
        <v>62</v>
      </c>
      <c r="C2395" s="55" t="s">
        <v>56</v>
      </c>
      <c r="D2395" s="57">
        <v>9183</v>
      </c>
      <c r="E2395" s="55">
        <v>6559</v>
      </c>
      <c r="F2395" s="55">
        <v>62</v>
      </c>
      <c r="G2395" s="55">
        <v>0</v>
      </c>
      <c r="H2395" s="55">
        <v>0</v>
      </c>
      <c r="I2395" s="55">
        <v>0</v>
      </c>
      <c r="J2395" s="55">
        <v>0</v>
      </c>
    </row>
    <row r="2396" spans="1:10" ht="15" x14ac:dyDescent="0.4">
      <c r="A2396" s="54">
        <v>46277</v>
      </c>
      <c r="B2396" s="55" t="s">
        <v>63</v>
      </c>
      <c r="C2396" s="55" t="s">
        <v>58</v>
      </c>
      <c r="D2396" s="57">
        <v>7097</v>
      </c>
      <c r="E2396" s="55">
        <v>1478</v>
      </c>
      <c r="F2396" s="55">
        <v>85</v>
      </c>
      <c r="G2396" s="55">
        <v>1</v>
      </c>
      <c r="H2396" s="55">
        <v>2</v>
      </c>
      <c r="I2396" s="55">
        <v>0</v>
      </c>
      <c r="J2396" s="55">
        <v>1</v>
      </c>
    </row>
    <row r="2397" spans="1:10" ht="15" x14ac:dyDescent="0.4">
      <c r="A2397" s="54">
        <v>46277</v>
      </c>
      <c r="B2397" s="55" t="s">
        <v>57</v>
      </c>
      <c r="C2397" s="55" t="s">
        <v>58</v>
      </c>
      <c r="D2397" s="57">
        <v>17773</v>
      </c>
      <c r="E2397" s="55">
        <v>3702</v>
      </c>
      <c r="F2397" s="55">
        <v>201</v>
      </c>
      <c r="G2397" s="55">
        <v>3</v>
      </c>
      <c r="H2397" s="55">
        <v>1</v>
      </c>
      <c r="I2397" s="55">
        <v>0</v>
      </c>
      <c r="J2397" s="55">
        <v>0</v>
      </c>
    </row>
    <row r="2398" spans="1:10" ht="15" x14ac:dyDescent="0.4">
      <c r="A2398" s="54">
        <v>46277</v>
      </c>
      <c r="B2398" s="55" t="s">
        <v>59</v>
      </c>
      <c r="C2398" s="55" t="s">
        <v>60</v>
      </c>
      <c r="D2398" s="57">
        <v>26946</v>
      </c>
      <c r="E2398" s="55">
        <v>5181</v>
      </c>
      <c r="F2398" s="55">
        <v>33</v>
      </c>
      <c r="G2398" s="55">
        <v>1</v>
      </c>
      <c r="H2398" s="55">
        <v>2</v>
      </c>
      <c r="I2398" s="55">
        <v>1</v>
      </c>
      <c r="J2398" s="55">
        <v>0</v>
      </c>
    </row>
    <row r="2399" spans="1:10" ht="15" x14ac:dyDescent="0.4">
      <c r="A2399" s="54">
        <v>46277</v>
      </c>
      <c r="B2399" s="55" t="s">
        <v>64</v>
      </c>
      <c r="C2399" s="55" t="s">
        <v>56</v>
      </c>
      <c r="D2399" s="57">
        <v>50910</v>
      </c>
      <c r="E2399" s="55">
        <v>36364</v>
      </c>
      <c r="F2399" s="55">
        <v>373</v>
      </c>
      <c r="G2399" s="55">
        <v>10</v>
      </c>
      <c r="H2399" s="55">
        <v>1</v>
      </c>
      <c r="I2399" s="55">
        <v>1</v>
      </c>
      <c r="J2399" s="55">
        <v>0</v>
      </c>
    </row>
    <row r="2400" spans="1:10" ht="15" x14ac:dyDescent="0.4">
      <c r="A2400" s="54">
        <v>46277</v>
      </c>
      <c r="B2400" s="55" t="s">
        <v>55</v>
      </c>
      <c r="C2400" s="55" t="s">
        <v>56</v>
      </c>
      <c r="D2400" s="57">
        <v>35129</v>
      </c>
      <c r="E2400" s="55">
        <v>25092</v>
      </c>
      <c r="F2400" s="55">
        <v>265</v>
      </c>
      <c r="G2400" s="55">
        <v>4</v>
      </c>
      <c r="H2400" s="55">
        <v>1</v>
      </c>
      <c r="I2400" s="55">
        <v>0</v>
      </c>
      <c r="J2400" s="55">
        <v>0</v>
      </c>
    </row>
    <row r="2401" spans="1:10" ht="15" x14ac:dyDescent="0.4">
      <c r="A2401" s="54">
        <v>46277</v>
      </c>
      <c r="B2401" s="55" t="s">
        <v>62</v>
      </c>
      <c r="C2401" s="55" t="s">
        <v>56</v>
      </c>
      <c r="D2401" s="57">
        <v>9188</v>
      </c>
      <c r="E2401" s="55">
        <v>6562</v>
      </c>
      <c r="F2401" s="55">
        <v>69</v>
      </c>
      <c r="G2401" s="55">
        <v>0</v>
      </c>
      <c r="H2401" s="55">
        <v>0</v>
      </c>
      <c r="I2401" s="55">
        <v>1</v>
      </c>
      <c r="J2401" s="55">
        <v>0</v>
      </c>
    </row>
    <row r="2402" spans="1:10" ht="15" x14ac:dyDescent="0.4">
      <c r="A2402" s="54">
        <v>46278</v>
      </c>
      <c r="B2402" s="55" t="s">
        <v>63</v>
      </c>
      <c r="C2402" s="55" t="s">
        <v>58</v>
      </c>
      <c r="D2402" s="57">
        <v>6730</v>
      </c>
      <c r="E2402" s="55">
        <v>1402</v>
      </c>
      <c r="F2402" s="55">
        <v>72</v>
      </c>
      <c r="G2402" s="55">
        <v>2</v>
      </c>
      <c r="H2402" s="55">
        <v>0</v>
      </c>
      <c r="I2402" s="55">
        <v>1</v>
      </c>
      <c r="J2402" s="55">
        <v>0</v>
      </c>
    </row>
    <row r="2403" spans="1:10" ht="15" x14ac:dyDescent="0.4">
      <c r="A2403" s="54">
        <v>46278</v>
      </c>
      <c r="B2403" s="55" t="s">
        <v>57</v>
      </c>
      <c r="C2403" s="55" t="s">
        <v>58</v>
      </c>
      <c r="D2403" s="57">
        <v>19886</v>
      </c>
      <c r="E2403" s="55">
        <v>4142</v>
      </c>
      <c r="F2403" s="55">
        <v>220</v>
      </c>
      <c r="G2403" s="55">
        <v>1</v>
      </c>
      <c r="H2403" s="55">
        <v>1</v>
      </c>
      <c r="I2403" s="55">
        <v>0</v>
      </c>
      <c r="J2403" s="55">
        <v>0</v>
      </c>
    </row>
    <row r="2404" spans="1:10" ht="15" x14ac:dyDescent="0.4">
      <c r="A2404" s="54">
        <v>46278</v>
      </c>
      <c r="B2404" s="55" t="s">
        <v>59</v>
      </c>
      <c r="C2404" s="55" t="s">
        <v>60</v>
      </c>
      <c r="D2404" s="57">
        <v>25464</v>
      </c>
      <c r="E2404" s="55">
        <v>4896</v>
      </c>
      <c r="F2404" s="55">
        <v>29</v>
      </c>
      <c r="G2404" s="55">
        <v>0</v>
      </c>
      <c r="H2404" s="55">
        <v>1</v>
      </c>
      <c r="I2404" s="55">
        <v>1</v>
      </c>
      <c r="J2404" s="55">
        <v>0</v>
      </c>
    </row>
    <row r="2405" spans="1:10" ht="15" x14ac:dyDescent="0.4">
      <c r="A2405" s="54">
        <v>46278</v>
      </c>
      <c r="B2405" s="55" t="s">
        <v>64</v>
      </c>
      <c r="C2405" s="55" t="s">
        <v>56</v>
      </c>
      <c r="D2405" s="57">
        <v>48326</v>
      </c>
      <c r="E2405" s="55">
        <v>34518</v>
      </c>
      <c r="F2405" s="55">
        <v>412</v>
      </c>
      <c r="G2405" s="55">
        <v>14</v>
      </c>
      <c r="H2405" s="55">
        <v>3</v>
      </c>
      <c r="I2405" s="55">
        <v>0</v>
      </c>
      <c r="J2405" s="55">
        <v>0</v>
      </c>
    </row>
    <row r="2406" spans="1:10" ht="15" x14ac:dyDescent="0.4">
      <c r="A2406" s="54">
        <v>46278</v>
      </c>
      <c r="B2406" s="55" t="s">
        <v>55</v>
      </c>
      <c r="C2406" s="55" t="s">
        <v>56</v>
      </c>
      <c r="D2406" s="57">
        <v>42109</v>
      </c>
      <c r="E2406" s="55">
        <v>30077</v>
      </c>
      <c r="F2406" s="55">
        <v>312</v>
      </c>
      <c r="G2406" s="55">
        <v>9</v>
      </c>
      <c r="H2406" s="55">
        <v>0</v>
      </c>
      <c r="I2406" s="55">
        <v>1</v>
      </c>
      <c r="J2406" s="55">
        <v>0</v>
      </c>
    </row>
    <row r="2407" spans="1:10" ht="15" x14ac:dyDescent="0.4">
      <c r="A2407" s="54">
        <v>46278</v>
      </c>
      <c r="B2407" s="55" t="s">
        <v>62</v>
      </c>
      <c r="C2407" s="55" t="s">
        <v>56</v>
      </c>
      <c r="D2407" s="57">
        <v>9989</v>
      </c>
      <c r="E2407" s="55">
        <v>7135</v>
      </c>
      <c r="F2407" s="55">
        <v>78</v>
      </c>
      <c r="G2407" s="55">
        <v>0</v>
      </c>
      <c r="H2407" s="55">
        <v>0</v>
      </c>
      <c r="I2407" s="55">
        <v>0</v>
      </c>
      <c r="J2407" s="55">
        <v>0</v>
      </c>
    </row>
    <row r="2408" spans="1:10" ht="15" x14ac:dyDescent="0.4">
      <c r="A2408" s="54">
        <v>46279</v>
      </c>
      <c r="B2408" s="55" t="s">
        <v>63</v>
      </c>
      <c r="C2408" s="55" t="s">
        <v>58</v>
      </c>
      <c r="D2408" s="57">
        <v>6815</v>
      </c>
      <c r="E2408" s="55">
        <v>1419</v>
      </c>
      <c r="F2408" s="55">
        <v>71</v>
      </c>
      <c r="G2408" s="55">
        <v>3</v>
      </c>
      <c r="H2408" s="55">
        <v>1</v>
      </c>
      <c r="I2408" s="55">
        <v>0</v>
      </c>
      <c r="J2408" s="55">
        <v>0</v>
      </c>
    </row>
    <row r="2409" spans="1:10" ht="15" x14ac:dyDescent="0.4">
      <c r="A2409" s="54">
        <v>46279</v>
      </c>
      <c r="B2409" s="55" t="s">
        <v>57</v>
      </c>
      <c r="C2409" s="55" t="s">
        <v>58</v>
      </c>
      <c r="D2409" s="57">
        <v>19898</v>
      </c>
      <c r="E2409" s="55">
        <v>4145</v>
      </c>
      <c r="F2409" s="55">
        <v>211</v>
      </c>
      <c r="G2409" s="55">
        <v>2</v>
      </c>
      <c r="H2409" s="55">
        <v>0</v>
      </c>
      <c r="I2409" s="55">
        <v>2</v>
      </c>
      <c r="J2409" s="55">
        <v>0</v>
      </c>
    </row>
    <row r="2410" spans="1:10" ht="15" x14ac:dyDescent="0.4">
      <c r="A2410" s="54">
        <v>46279</v>
      </c>
      <c r="B2410" s="55" t="s">
        <v>59</v>
      </c>
      <c r="C2410" s="55" t="s">
        <v>60</v>
      </c>
      <c r="D2410" s="57">
        <v>23450</v>
      </c>
      <c r="E2410" s="55">
        <v>4509</v>
      </c>
      <c r="F2410" s="55">
        <v>26</v>
      </c>
      <c r="G2410" s="55">
        <v>2</v>
      </c>
      <c r="H2410" s="55">
        <v>1</v>
      </c>
      <c r="I2410" s="55">
        <v>0</v>
      </c>
      <c r="J2410" s="55">
        <v>0</v>
      </c>
    </row>
    <row r="2411" spans="1:10" ht="15" x14ac:dyDescent="0.4">
      <c r="A2411" s="54">
        <v>46279</v>
      </c>
      <c r="B2411" s="55" t="s">
        <v>64</v>
      </c>
      <c r="C2411" s="55" t="s">
        <v>56</v>
      </c>
      <c r="D2411" s="57">
        <v>42859</v>
      </c>
      <c r="E2411" s="55">
        <v>30613</v>
      </c>
      <c r="F2411" s="55">
        <v>383</v>
      </c>
      <c r="G2411" s="55">
        <v>17</v>
      </c>
      <c r="H2411" s="55">
        <v>1</v>
      </c>
      <c r="I2411" s="55">
        <v>2</v>
      </c>
      <c r="J2411" s="55">
        <v>0</v>
      </c>
    </row>
    <row r="2412" spans="1:10" ht="15" x14ac:dyDescent="0.4">
      <c r="A2412" s="54">
        <v>46279</v>
      </c>
      <c r="B2412" s="55" t="s">
        <v>55</v>
      </c>
      <c r="C2412" s="55" t="s">
        <v>56</v>
      </c>
      <c r="D2412" s="57">
        <v>41996</v>
      </c>
      <c r="E2412" s="55">
        <v>29997</v>
      </c>
      <c r="F2412" s="55">
        <v>371</v>
      </c>
      <c r="G2412" s="55">
        <v>13</v>
      </c>
      <c r="H2412" s="55">
        <v>1</v>
      </c>
      <c r="I2412" s="55">
        <v>1</v>
      </c>
      <c r="J2412" s="55">
        <v>0</v>
      </c>
    </row>
    <row r="2413" spans="1:10" ht="15" x14ac:dyDescent="0.4">
      <c r="A2413" s="54">
        <v>46279</v>
      </c>
      <c r="B2413" s="55" t="s">
        <v>62</v>
      </c>
      <c r="C2413" s="55" t="s">
        <v>56</v>
      </c>
      <c r="D2413" s="57">
        <v>9884</v>
      </c>
      <c r="E2413" s="55">
        <v>7060</v>
      </c>
      <c r="F2413" s="55">
        <v>73</v>
      </c>
      <c r="G2413" s="55">
        <v>0</v>
      </c>
      <c r="H2413" s="55">
        <v>0</v>
      </c>
      <c r="I2413" s="55">
        <v>0</v>
      </c>
      <c r="J2413" s="55">
        <v>0</v>
      </c>
    </row>
    <row r="2414" spans="1:10" ht="15" x14ac:dyDescent="0.4">
      <c r="A2414" s="54">
        <v>46280</v>
      </c>
      <c r="B2414" s="55" t="s">
        <v>63</v>
      </c>
      <c r="C2414" s="55" t="s">
        <v>58</v>
      </c>
      <c r="D2414" s="57">
        <v>6497</v>
      </c>
      <c r="E2414" s="55">
        <v>1353</v>
      </c>
      <c r="F2414" s="55">
        <v>68</v>
      </c>
      <c r="G2414" s="55">
        <v>1</v>
      </c>
      <c r="H2414" s="55">
        <v>2</v>
      </c>
      <c r="I2414" s="55">
        <v>1</v>
      </c>
      <c r="J2414" s="55">
        <v>0</v>
      </c>
    </row>
    <row r="2415" spans="1:10" ht="15" x14ac:dyDescent="0.4">
      <c r="A2415" s="54">
        <v>46280</v>
      </c>
      <c r="B2415" s="55" t="s">
        <v>57</v>
      </c>
      <c r="C2415" s="55" t="s">
        <v>58</v>
      </c>
      <c r="D2415" s="57">
        <v>20959</v>
      </c>
      <c r="E2415" s="55">
        <v>4366</v>
      </c>
      <c r="F2415" s="55">
        <v>216</v>
      </c>
      <c r="G2415" s="55">
        <v>1</v>
      </c>
      <c r="H2415" s="55">
        <v>0</v>
      </c>
      <c r="I2415" s="55">
        <v>2</v>
      </c>
      <c r="J2415" s="55">
        <v>0</v>
      </c>
    </row>
    <row r="2416" spans="1:10" ht="15" x14ac:dyDescent="0.4">
      <c r="A2416" s="54">
        <v>46280</v>
      </c>
      <c r="B2416" s="55" t="s">
        <v>59</v>
      </c>
      <c r="C2416" s="55" t="s">
        <v>60</v>
      </c>
      <c r="D2416" s="57">
        <v>26941</v>
      </c>
      <c r="E2416" s="55">
        <v>5180</v>
      </c>
      <c r="F2416" s="55">
        <v>29</v>
      </c>
      <c r="G2416" s="55">
        <v>1</v>
      </c>
      <c r="H2416" s="55">
        <v>0</v>
      </c>
      <c r="I2416" s="55">
        <v>2</v>
      </c>
      <c r="J2416" s="55">
        <v>0</v>
      </c>
    </row>
    <row r="2417" spans="1:10" ht="15" x14ac:dyDescent="0.4">
      <c r="A2417" s="54">
        <v>46280</v>
      </c>
      <c r="B2417" s="55" t="s">
        <v>64</v>
      </c>
      <c r="C2417" s="55" t="s">
        <v>56</v>
      </c>
      <c r="D2417" s="57">
        <v>44956</v>
      </c>
      <c r="E2417" s="55">
        <v>32111</v>
      </c>
      <c r="F2417" s="55">
        <v>303</v>
      </c>
      <c r="G2417" s="55">
        <v>24</v>
      </c>
      <c r="H2417" s="55">
        <v>2</v>
      </c>
      <c r="I2417" s="55">
        <v>0</v>
      </c>
      <c r="J2417" s="55">
        <v>0</v>
      </c>
    </row>
    <row r="2418" spans="1:10" ht="15" x14ac:dyDescent="0.4">
      <c r="A2418" s="54">
        <v>46280</v>
      </c>
      <c r="B2418" s="55" t="s">
        <v>55</v>
      </c>
      <c r="C2418" s="55" t="s">
        <v>56</v>
      </c>
      <c r="D2418" s="57">
        <v>42509</v>
      </c>
      <c r="E2418" s="55">
        <v>30363</v>
      </c>
      <c r="F2418" s="55">
        <v>361</v>
      </c>
      <c r="G2418" s="55">
        <v>14</v>
      </c>
      <c r="H2418" s="55">
        <v>1</v>
      </c>
      <c r="I2418" s="55">
        <v>1</v>
      </c>
      <c r="J2418" s="55">
        <v>0</v>
      </c>
    </row>
    <row r="2419" spans="1:10" ht="15" x14ac:dyDescent="0.4">
      <c r="A2419" s="54">
        <v>46280</v>
      </c>
      <c r="B2419" s="55" t="s">
        <v>62</v>
      </c>
      <c r="C2419" s="55" t="s">
        <v>56</v>
      </c>
      <c r="D2419" s="57">
        <v>9752</v>
      </c>
      <c r="E2419" s="55">
        <v>6965</v>
      </c>
      <c r="F2419" s="55">
        <v>73</v>
      </c>
      <c r="G2419" s="55">
        <v>2</v>
      </c>
      <c r="H2419" s="55">
        <v>0</v>
      </c>
      <c r="I2419" s="55">
        <v>0</v>
      </c>
      <c r="J2419" s="55">
        <v>0</v>
      </c>
    </row>
    <row r="2420" spans="1:10" ht="15" x14ac:dyDescent="0.4">
      <c r="A2420" s="54">
        <v>46281</v>
      </c>
      <c r="B2420" s="55" t="s">
        <v>63</v>
      </c>
      <c r="C2420" s="55" t="s">
        <v>58</v>
      </c>
      <c r="D2420" s="57">
        <v>6942</v>
      </c>
      <c r="E2420" s="55">
        <v>1446</v>
      </c>
      <c r="F2420" s="55">
        <v>79</v>
      </c>
      <c r="G2420" s="55">
        <v>2</v>
      </c>
      <c r="H2420" s="55">
        <v>0</v>
      </c>
      <c r="I2420" s="55">
        <v>0</v>
      </c>
      <c r="J2420" s="55">
        <v>0</v>
      </c>
    </row>
    <row r="2421" spans="1:10" ht="15" x14ac:dyDescent="0.4">
      <c r="A2421" s="54">
        <v>46281</v>
      </c>
      <c r="B2421" s="55" t="s">
        <v>57</v>
      </c>
      <c r="C2421" s="55" t="s">
        <v>58</v>
      </c>
      <c r="D2421" s="57">
        <v>18459</v>
      </c>
      <c r="E2421" s="55">
        <v>3845</v>
      </c>
      <c r="F2421" s="55">
        <v>217</v>
      </c>
      <c r="G2421" s="55">
        <v>3</v>
      </c>
      <c r="H2421" s="55">
        <v>1</v>
      </c>
      <c r="I2421" s="55">
        <v>0</v>
      </c>
      <c r="J2421" s="55">
        <v>0</v>
      </c>
    </row>
    <row r="2422" spans="1:10" ht="15" x14ac:dyDescent="0.4">
      <c r="A2422" s="54">
        <v>46281</v>
      </c>
      <c r="B2422" s="55" t="s">
        <v>59</v>
      </c>
      <c r="C2422" s="55" t="s">
        <v>60</v>
      </c>
      <c r="D2422" s="57">
        <v>24740</v>
      </c>
      <c r="E2422" s="55">
        <v>4757</v>
      </c>
      <c r="F2422" s="55">
        <v>27</v>
      </c>
      <c r="G2422" s="55">
        <v>0</v>
      </c>
      <c r="H2422" s="55">
        <v>0</v>
      </c>
      <c r="I2422" s="55">
        <v>0</v>
      </c>
      <c r="J2422" s="55">
        <v>1</v>
      </c>
    </row>
    <row r="2423" spans="1:10" ht="15" x14ac:dyDescent="0.4">
      <c r="A2423" s="54">
        <v>46281</v>
      </c>
      <c r="B2423" s="55" t="s">
        <v>64</v>
      </c>
      <c r="C2423" s="55" t="s">
        <v>56</v>
      </c>
      <c r="D2423" s="57">
        <v>42354</v>
      </c>
      <c r="E2423" s="55">
        <v>30252</v>
      </c>
      <c r="F2423" s="55">
        <v>357</v>
      </c>
      <c r="G2423" s="55">
        <v>17</v>
      </c>
      <c r="H2423" s="55">
        <v>0</v>
      </c>
      <c r="I2423" s="55">
        <v>1</v>
      </c>
      <c r="J2423" s="55">
        <v>0</v>
      </c>
    </row>
    <row r="2424" spans="1:10" ht="15" x14ac:dyDescent="0.4">
      <c r="A2424" s="54">
        <v>46281</v>
      </c>
      <c r="B2424" s="55" t="s">
        <v>55</v>
      </c>
      <c r="C2424" s="55" t="s">
        <v>56</v>
      </c>
      <c r="D2424" s="57">
        <v>38353</v>
      </c>
      <c r="E2424" s="55">
        <v>27395</v>
      </c>
      <c r="F2424" s="55">
        <v>277</v>
      </c>
      <c r="G2424" s="55">
        <v>8</v>
      </c>
      <c r="H2424" s="55">
        <v>3</v>
      </c>
      <c r="I2424" s="55">
        <v>2</v>
      </c>
      <c r="J2424" s="55">
        <v>0</v>
      </c>
    </row>
    <row r="2425" spans="1:10" ht="15" x14ac:dyDescent="0.4">
      <c r="A2425" s="54">
        <v>46281</v>
      </c>
      <c r="B2425" s="55" t="s">
        <v>62</v>
      </c>
      <c r="C2425" s="55" t="s">
        <v>56</v>
      </c>
      <c r="D2425" s="57">
        <v>8507</v>
      </c>
      <c r="E2425" s="55">
        <v>6076</v>
      </c>
      <c r="F2425" s="55">
        <v>75</v>
      </c>
      <c r="G2425" s="55">
        <v>5</v>
      </c>
      <c r="H2425" s="55">
        <v>0</v>
      </c>
      <c r="I2425" s="55">
        <v>0</v>
      </c>
      <c r="J2425" s="55">
        <v>0</v>
      </c>
    </row>
    <row r="2426" spans="1:10" ht="15" x14ac:dyDescent="0.4">
      <c r="A2426" s="54">
        <v>46282</v>
      </c>
      <c r="B2426" s="55" t="s">
        <v>63</v>
      </c>
      <c r="C2426" s="55" t="s">
        <v>58</v>
      </c>
      <c r="D2426" s="57">
        <v>6337</v>
      </c>
      <c r="E2426" s="55">
        <v>1320</v>
      </c>
      <c r="F2426" s="55">
        <v>65</v>
      </c>
      <c r="G2426" s="55">
        <v>3</v>
      </c>
      <c r="H2426" s="55">
        <v>3</v>
      </c>
      <c r="I2426" s="55">
        <v>2</v>
      </c>
      <c r="J2426" s="55">
        <v>0</v>
      </c>
    </row>
    <row r="2427" spans="1:10" ht="15" x14ac:dyDescent="0.4">
      <c r="A2427" s="54">
        <v>46282</v>
      </c>
      <c r="B2427" s="55" t="s">
        <v>57</v>
      </c>
      <c r="C2427" s="55" t="s">
        <v>58</v>
      </c>
      <c r="D2427" s="57">
        <v>20155</v>
      </c>
      <c r="E2427" s="55">
        <v>4198</v>
      </c>
      <c r="F2427" s="55">
        <v>206</v>
      </c>
      <c r="G2427" s="55">
        <v>7</v>
      </c>
      <c r="H2427" s="55">
        <v>0</v>
      </c>
      <c r="I2427" s="55">
        <v>0</v>
      </c>
      <c r="J2427" s="55">
        <v>0</v>
      </c>
    </row>
    <row r="2428" spans="1:10" ht="15" x14ac:dyDescent="0.4">
      <c r="A2428" s="54">
        <v>46282</v>
      </c>
      <c r="B2428" s="55" t="s">
        <v>59</v>
      </c>
      <c r="C2428" s="55" t="s">
        <v>60</v>
      </c>
      <c r="D2428" s="57">
        <v>26269</v>
      </c>
      <c r="E2428" s="55">
        <v>5051</v>
      </c>
      <c r="F2428" s="55">
        <v>37</v>
      </c>
      <c r="G2428" s="55">
        <v>3</v>
      </c>
      <c r="H2428" s="55">
        <v>1</v>
      </c>
      <c r="I2428" s="55">
        <v>0</v>
      </c>
      <c r="J2428" s="55">
        <v>1</v>
      </c>
    </row>
    <row r="2429" spans="1:10" ht="15" x14ac:dyDescent="0.4">
      <c r="A2429" s="54">
        <v>46282</v>
      </c>
      <c r="B2429" s="55" t="s">
        <v>64</v>
      </c>
      <c r="C2429" s="55" t="s">
        <v>56</v>
      </c>
      <c r="D2429" s="57">
        <v>48845</v>
      </c>
      <c r="E2429" s="55">
        <v>34889</v>
      </c>
      <c r="F2429" s="55">
        <v>362</v>
      </c>
      <c r="G2429" s="55">
        <v>19</v>
      </c>
      <c r="H2429" s="55">
        <v>0</v>
      </c>
      <c r="I2429" s="55">
        <v>1</v>
      </c>
      <c r="J2429" s="55">
        <v>0</v>
      </c>
    </row>
    <row r="2430" spans="1:10" ht="15" x14ac:dyDescent="0.4">
      <c r="A2430" s="54">
        <v>46282</v>
      </c>
      <c r="B2430" s="55" t="s">
        <v>55</v>
      </c>
      <c r="C2430" s="55" t="s">
        <v>56</v>
      </c>
      <c r="D2430" s="57">
        <v>35093</v>
      </c>
      <c r="E2430" s="55">
        <v>25066</v>
      </c>
      <c r="F2430" s="55">
        <v>257</v>
      </c>
      <c r="G2430" s="55">
        <v>8</v>
      </c>
      <c r="H2430" s="55">
        <v>5</v>
      </c>
      <c r="I2430" s="55">
        <v>0</v>
      </c>
      <c r="J2430" s="55">
        <v>0</v>
      </c>
    </row>
    <row r="2431" spans="1:10" ht="15" x14ac:dyDescent="0.4">
      <c r="A2431" s="54">
        <v>46282</v>
      </c>
      <c r="B2431" s="55" t="s">
        <v>62</v>
      </c>
      <c r="C2431" s="55" t="s">
        <v>56</v>
      </c>
      <c r="D2431" s="57">
        <v>8425</v>
      </c>
      <c r="E2431" s="55">
        <v>6017</v>
      </c>
      <c r="F2431" s="55">
        <v>60</v>
      </c>
      <c r="G2431" s="55">
        <v>1</v>
      </c>
      <c r="H2431" s="55">
        <v>0</v>
      </c>
      <c r="I2431" s="55">
        <v>0</v>
      </c>
      <c r="J2431" s="55">
        <v>0</v>
      </c>
    </row>
    <row r="2432" spans="1:10" ht="15" x14ac:dyDescent="0.4">
      <c r="A2432" s="54">
        <v>46283</v>
      </c>
      <c r="B2432" s="55" t="s">
        <v>63</v>
      </c>
      <c r="C2432" s="55" t="s">
        <v>58</v>
      </c>
      <c r="D2432" s="57">
        <v>7530</v>
      </c>
      <c r="E2432" s="55">
        <v>1568</v>
      </c>
      <c r="F2432" s="55">
        <v>91</v>
      </c>
      <c r="G2432" s="55">
        <v>4</v>
      </c>
      <c r="H2432" s="55">
        <v>4</v>
      </c>
      <c r="I2432" s="55">
        <v>0</v>
      </c>
      <c r="J2432" s="55">
        <v>3</v>
      </c>
    </row>
    <row r="2433" spans="1:10" ht="15" x14ac:dyDescent="0.4">
      <c r="A2433" s="54">
        <v>46283</v>
      </c>
      <c r="B2433" s="55" t="s">
        <v>57</v>
      </c>
      <c r="C2433" s="55" t="s">
        <v>58</v>
      </c>
      <c r="D2433" s="57">
        <v>17331</v>
      </c>
      <c r="E2433" s="55">
        <v>3610</v>
      </c>
      <c r="F2433" s="55">
        <v>206</v>
      </c>
      <c r="G2433" s="55">
        <v>5</v>
      </c>
      <c r="H2433" s="55">
        <v>1</v>
      </c>
      <c r="I2433" s="55">
        <v>0</v>
      </c>
      <c r="J2433" s="55">
        <v>3</v>
      </c>
    </row>
    <row r="2434" spans="1:10" ht="15" x14ac:dyDescent="0.4">
      <c r="A2434" s="54">
        <v>46283</v>
      </c>
      <c r="B2434" s="55" t="s">
        <v>59</v>
      </c>
      <c r="C2434" s="55" t="s">
        <v>60</v>
      </c>
      <c r="D2434" s="57">
        <v>26238</v>
      </c>
      <c r="E2434" s="55">
        <v>5045</v>
      </c>
      <c r="F2434" s="55">
        <v>29</v>
      </c>
      <c r="G2434" s="55">
        <v>2</v>
      </c>
      <c r="H2434" s="55">
        <v>1</v>
      </c>
      <c r="I2434" s="55">
        <v>0</v>
      </c>
      <c r="J2434" s="55">
        <v>1</v>
      </c>
    </row>
    <row r="2435" spans="1:10" ht="15" x14ac:dyDescent="0.4">
      <c r="A2435" s="54">
        <v>46283</v>
      </c>
      <c r="B2435" s="55" t="s">
        <v>64</v>
      </c>
      <c r="C2435" s="55" t="s">
        <v>56</v>
      </c>
      <c r="D2435" s="57">
        <v>48994</v>
      </c>
      <c r="E2435" s="55">
        <v>34995</v>
      </c>
      <c r="F2435" s="55">
        <v>333</v>
      </c>
      <c r="G2435" s="55">
        <v>13</v>
      </c>
      <c r="H2435" s="55">
        <v>0</v>
      </c>
      <c r="I2435" s="55">
        <v>0</v>
      </c>
      <c r="J2435" s="55">
        <v>0</v>
      </c>
    </row>
    <row r="2436" spans="1:10" ht="15" x14ac:dyDescent="0.4">
      <c r="A2436" s="54">
        <v>46283</v>
      </c>
      <c r="B2436" s="55" t="s">
        <v>55</v>
      </c>
      <c r="C2436" s="55" t="s">
        <v>56</v>
      </c>
      <c r="D2436" s="57">
        <v>41314</v>
      </c>
      <c r="E2436" s="55">
        <v>29509</v>
      </c>
      <c r="F2436" s="55">
        <v>280</v>
      </c>
      <c r="G2436" s="55">
        <v>10</v>
      </c>
      <c r="H2436" s="55">
        <v>1</v>
      </c>
      <c r="I2436" s="55">
        <v>2</v>
      </c>
      <c r="J2436" s="55">
        <v>4</v>
      </c>
    </row>
    <row r="2437" spans="1:10" ht="15" x14ac:dyDescent="0.4">
      <c r="A2437" s="54">
        <v>46283</v>
      </c>
      <c r="B2437" s="55" t="s">
        <v>62</v>
      </c>
      <c r="C2437" s="55" t="s">
        <v>56</v>
      </c>
      <c r="D2437" s="57">
        <v>9865</v>
      </c>
      <c r="E2437" s="55">
        <v>7046</v>
      </c>
      <c r="F2437" s="55">
        <v>66</v>
      </c>
      <c r="G2437" s="55">
        <v>3</v>
      </c>
      <c r="H2437" s="55">
        <v>0</v>
      </c>
      <c r="I2437" s="55">
        <v>0</v>
      </c>
      <c r="J2437" s="55">
        <v>2</v>
      </c>
    </row>
    <row r="2438" spans="1:10" ht="15" x14ac:dyDescent="0.4">
      <c r="A2438" s="54">
        <v>46284</v>
      </c>
      <c r="B2438" s="55" t="s">
        <v>63</v>
      </c>
      <c r="C2438" s="55" t="s">
        <v>58</v>
      </c>
      <c r="D2438" s="57">
        <v>7419</v>
      </c>
      <c r="E2438" s="55">
        <v>1545</v>
      </c>
      <c r="F2438" s="55">
        <v>81</v>
      </c>
      <c r="G2438" s="55">
        <v>3</v>
      </c>
      <c r="H2438" s="55">
        <v>1</v>
      </c>
      <c r="I2438" s="55">
        <v>1</v>
      </c>
      <c r="J2438" s="55">
        <v>0</v>
      </c>
    </row>
    <row r="2439" spans="1:10" ht="15" x14ac:dyDescent="0.4">
      <c r="A2439" s="54">
        <v>46284</v>
      </c>
      <c r="B2439" s="55" t="s">
        <v>57</v>
      </c>
      <c r="C2439" s="55" t="s">
        <v>58</v>
      </c>
      <c r="D2439" s="57">
        <v>18026</v>
      </c>
      <c r="E2439" s="55">
        <v>3755</v>
      </c>
      <c r="F2439" s="55">
        <v>210</v>
      </c>
      <c r="G2439" s="55">
        <v>3</v>
      </c>
      <c r="H2439" s="55">
        <v>1</v>
      </c>
      <c r="I2439" s="55">
        <v>0</v>
      </c>
      <c r="J2439" s="55">
        <v>0</v>
      </c>
    </row>
    <row r="2440" spans="1:10" ht="15" x14ac:dyDescent="0.4">
      <c r="A2440" s="54">
        <v>46284</v>
      </c>
      <c r="B2440" s="55" t="s">
        <v>59</v>
      </c>
      <c r="C2440" s="55" t="s">
        <v>60</v>
      </c>
      <c r="D2440" s="57">
        <v>27219</v>
      </c>
      <c r="E2440" s="55">
        <v>5234</v>
      </c>
      <c r="F2440" s="55">
        <v>29</v>
      </c>
      <c r="G2440" s="55">
        <v>0</v>
      </c>
      <c r="H2440" s="55">
        <v>0</v>
      </c>
      <c r="I2440" s="55">
        <v>1</v>
      </c>
      <c r="J2440" s="55">
        <v>0</v>
      </c>
    </row>
    <row r="2441" spans="1:10" ht="15" x14ac:dyDescent="0.4">
      <c r="A2441" s="54">
        <v>46284</v>
      </c>
      <c r="B2441" s="55" t="s">
        <v>64</v>
      </c>
      <c r="C2441" s="55" t="s">
        <v>56</v>
      </c>
      <c r="D2441" s="57">
        <v>48197</v>
      </c>
      <c r="E2441" s="55">
        <v>34426</v>
      </c>
      <c r="F2441" s="55">
        <v>388</v>
      </c>
      <c r="G2441" s="55">
        <v>12</v>
      </c>
      <c r="H2441" s="55">
        <v>2</v>
      </c>
      <c r="I2441" s="55">
        <v>0</v>
      </c>
      <c r="J2441" s="55">
        <v>0</v>
      </c>
    </row>
    <row r="2442" spans="1:10" ht="15" x14ac:dyDescent="0.4">
      <c r="A2442" s="54">
        <v>46284</v>
      </c>
      <c r="B2442" s="55" t="s">
        <v>55</v>
      </c>
      <c r="C2442" s="55" t="s">
        <v>56</v>
      </c>
      <c r="D2442" s="57">
        <v>40868</v>
      </c>
      <c r="E2442" s="55">
        <v>29191</v>
      </c>
      <c r="F2442" s="55">
        <v>355</v>
      </c>
      <c r="G2442" s="55">
        <v>7</v>
      </c>
      <c r="H2442" s="55">
        <v>2</v>
      </c>
      <c r="I2442" s="55">
        <v>2</v>
      </c>
      <c r="J2442" s="55">
        <v>0</v>
      </c>
    </row>
    <row r="2443" spans="1:10" ht="15" x14ac:dyDescent="0.4">
      <c r="A2443" s="54">
        <v>46284</v>
      </c>
      <c r="B2443" s="55" t="s">
        <v>62</v>
      </c>
      <c r="C2443" s="55" t="s">
        <v>56</v>
      </c>
      <c r="D2443" s="57">
        <v>9624</v>
      </c>
      <c r="E2443" s="55">
        <v>6874</v>
      </c>
      <c r="F2443" s="55">
        <v>81</v>
      </c>
      <c r="G2443" s="55">
        <v>2</v>
      </c>
      <c r="H2443" s="55">
        <v>1</v>
      </c>
      <c r="I2443" s="55">
        <v>0</v>
      </c>
      <c r="J2443" s="55">
        <v>0</v>
      </c>
    </row>
    <row r="2444" spans="1:10" ht="15" x14ac:dyDescent="0.4">
      <c r="A2444" s="54">
        <v>46285</v>
      </c>
      <c r="B2444" s="55" t="s">
        <v>63</v>
      </c>
      <c r="C2444" s="55" t="s">
        <v>58</v>
      </c>
      <c r="D2444" s="57">
        <v>6830</v>
      </c>
      <c r="E2444" s="55">
        <v>1422</v>
      </c>
      <c r="F2444" s="55">
        <v>71</v>
      </c>
      <c r="G2444" s="55">
        <v>0</v>
      </c>
      <c r="H2444" s="55">
        <v>2</v>
      </c>
      <c r="I2444" s="55">
        <v>0</v>
      </c>
      <c r="J2444" s="55">
        <v>0</v>
      </c>
    </row>
    <row r="2445" spans="1:10" ht="15" x14ac:dyDescent="0.4">
      <c r="A2445" s="54">
        <v>46285</v>
      </c>
      <c r="B2445" s="55" t="s">
        <v>57</v>
      </c>
      <c r="C2445" s="55" t="s">
        <v>58</v>
      </c>
      <c r="D2445" s="57">
        <v>20464</v>
      </c>
      <c r="E2445" s="55">
        <v>4263</v>
      </c>
      <c r="F2445" s="55">
        <v>250</v>
      </c>
      <c r="G2445" s="55">
        <v>2</v>
      </c>
      <c r="H2445" s="55">
        <v>2</v>
      </c>
      <c r="I2445" s="55">
        <v>0</v>
      </c>
      <c r="J2445" s="55">
        <v>0</v>
      </c>
    </row>
    <row r="2446" spans="1:10" ht="15" x14ac:dyDescent="0.4">
      <c r="A2446" s="54">
        <v>46285</v>
      </c>
      <c r="B2446" s="55" t="s">
        <v>59</v>
      </c>
      <c r="C2446" s="55" t="s">
        <v>60</v>
      </c>
      <c r="D2446" s="57">
        <v>27529</v>
      </c>
      <c r="E2446" s="55">
        <v>5294</v>
      </c>
      <c r="F2446" s="55">
        <v>33</v>
      </c>
      <c r="G2446" s="55">
        <v>0</v>
      </c>
      <c r="H2446" s="55">
        <v>1</v>
      </c>
      <c r="I2446" s="55">
        <v>1</v>
      </c>
      <c r="J2446" s="55">
        <v>1</v>
      </c>
    </row>
    <row r="2447" spans="1:10" ht="15" x14ac:dyDescent="0.4">
      <c r="A2447" s="54">
        <v>46285</v>
      </c>
      <c r="B2447" s="55" t="s">
        <v>64</v>
      </c>
      <c r="C2447" s="55" t="s">
        <v>56</v>
      </c>
      <c r="D2447" s="57">
        <v>42315</v>
      </c>
      <c r="E2447" s="55">
        <v>30224</v>
      </c>
      <c r="F2447" s="55">
        <v>324</v>
      </c>
      <c r="G2447" s="55">
        <v>19</v>
      </c>
      <c r="H2447" s="55">
        <v>3</v>
      </c>
      <c r="I2447" s="55">
        <v>0</v>
      </c>
      <c r="J2447" s="55">
        <v>0</v>
      </c>
    </row>
    <row r="2448" spans="1:10" ht="15" x14ac:dyDescent="0.4">
      <c r="A2448" s="54">
        <v>46285</v>
      </c>
      <c r="B2448" s="55" t="s">
        <v>55</v>
      </c>
      <c r="C2448" s="55" t="s">
        <v>56</v>
      </c>
      <c r="D2448" s="57">
        <v>42226</v>
      </c>
      <c r="E2448" s="55">
        <v>30161</v>
      </c>
      <c r="F2448" s="55">
        <v>352</v>
      </c>
      <c r="G2448" s="55">
        <v>11</v>
      </c>
      <c r="H2448" s="55">
        <v>3</v>
      </c>
      <c r="I2448" s="55">
        <v>2</v>
      </c>
      <c r="J2448" s="55">
        <v>0</v>
      </c>
    </row>
    <row r="2449" spans="1:10" ht="15" x14ac:dyDescent="0.4">
      <c r="A2449" s="54">
        <v>46285</v>
      </c>
      <c r="B2449" s="55" t="s">
        <v>62</v>
      </c>
      <c r="C2449" s="55" t="s">
        <v>56</v>
      </c>
      <c r="D2449" s="57">
        <v>9486</v>
      </c>
      <c r="E2449" s="55">
        <v>6775</v>
      </c>
      <c r="F2449" s="55">
        <v>76</v>
      </c>
      <c r="G2449" s="55">
        <v>2</v>
      </c>
      <c r="H2449" s="55">
        <v>2</v>
      </c>
      <c r="I2449" s="55">
        <v>0</v>
      </c>
      <c r="J2449" s="55">
        <v>0</v>
      </c>
    </row>
    <row r="2450" spans="1:10" ht="15" x14ac:dyDescent="0.4">
      <c r="A2450" s="54">
        <v>46286</v>
      </c>
      <c r="B2450" s="55" t="s">
        <v>63</v>
      </c>
      <c r="C2450" s="55" t="s">
        <v>58</v>
      </c>
      <c r="D2450" s="57">
        <v>6305</v>
      </c>
      <c r="E2450" s="55">
        <v>1313</v>
      </c>
      <c r="F2450" s="55">
        <v>65</v>
      </c>
      <c r="G2450" s="55">
        <v>3</v>
      </c>
      <c r="H2450" s="55">
        <v>0</v>
      </c>
      <c r="I2450" s="55">
        <v>1</v>
      </c>
      <c r="J2450" s="55">
        <v>0</v>
      </c>
    </row>
    <row r="2451" spans="1:10" ht="15" x14ac:dyDescent="0.4">
      <c r="A2451" s="54">
        <v>46286</v>
      </c>
      <c r="B2451" s="55" t="s">
        <v>57</v>
      </c>
      <c r="C2451" s="55" t="s">
        <v>58</v>
      </c>
      <c r="D2451" s="57">
        <v>20069</v>
      </c>
      <c r="E2451" s="55">
        <v>4181</v>
      </c>
      <c r="F2451" s="55">
        <v>218</v>
      </c>
      <c r="G2451" s="55">
        <v>3</v>
      </c>
      <c r="H2451" s="55">
        <v>0</v>
      </c>
      <c r="I2451" s="55">
        <v>0</v>
      </c>
      <c r="J2451" s="55">
        <v>0</v>
      </c>
    </row>
    <row r="2452" spans="1:10" ht="15" x14ac:dyDescent="0.4">
      <c r="A2452" s="54">
        <v>46286</v>
      </c>
      <c r="B2452" s="55" t="s">
        <v>59</v>
      </c>
      <c r="C2452" s="55" t="s">
        <v>60</v>
      </c>
      <c r="D2452" s="57">
        <v>22954</v>
      </c>
      <c r="E2452" s="55">
        <v>4414</v>
      </c>
      <c r="F2452" s="55">
        <v>30</v>
      </c>
      <c r="G2452" s="55">
        <v>1</v>
      </c>
      <c r="H2452" s="55">
        <v>0</v>
      </c>
      <c r="I2452" s="55">
        <v>0</v>
      </c>
      <c r="J2452" s="55">
        <v>0</v>
      </c>
    </row>
    <row r="2453" spans="1:10" ht="15" x14ac:dyDescent="0.4">
      <c r="A2453" s="54">
        <v>46286</v>
      </c>
      <c r="B2453" s="55" t="s">
        <v>64</v>
      </c>
      <c r="C2453" s="55" t="s">
        <v>56</v>
      </c>
      <c r="D2453" s="57">
        <v>48980</v>
      </c>
      <c r="E2453" s="55">
        <v>34985</v>
      </c>
      <c r="F2453" s="55">
        <v>392</v>
      </c>
      <c r="G2453" s="55">
        <v>19</v>
      </c>
      <c r="H2453" s="55">
        <v>3</v>
      </c>
      <c r="I2453" s="55">
        <v>0</v>
      </c>
      <c r="J2453" s="55">
        <v>0</v>
      </c>
    </row>
    <row r="2454" spans="1:10" ht="15" x14ac:dyDescent="0.4">
      <c r="A2454" s="54">
        <v>46286</v>
      </c>
      <c r="B2454" s="55" t="s">
        <v>55</v>
      </c>
      <c r="C2454" s="55" t="s">
        <v>56</v>
      </c>
      <c r="D2454" s="57">
        <v>41648</v>
      </c>
      <c r="E2454" s="55">
        <v>29748</v>
      </c>
      <c r="F2454" s="55">
        <v>340</v>
      </c>
      <c r="G2454" s="55">
        <v>8</v>
      </c>
      <c r="H2454" s="55">
        <v>3</v>
      </c>
      <c r="I2454" s="55">
        <v>2</v>
      </c>
      <c r="J2454" s="55">
        <v>0</v>
      </c>
    </row>
    <row r="2455" spans="1:10" ht="15" x14ac:dyDescent="0.4">
      <c r="A2455" s="54">
        <v>46286</v>
      </c>
      <c r="B2455" s="55" t="s">
        <v>62</v>
      </c>
      <c r="C2455" s="55" t="s">
        <v>56</v>
      </c>
      <c r="D2455" s="57">
        <v>9338</v>
      </c>
      <c r="E2455" s="55">
        <v>6670</v>
      </c>
      <c r="F2455" s="55">
        <v>79</v>
      </c>
      <c r="G2455" s="55">
        <v>1</v>
      </c>
      <c r="H2455" s="55">
        <v>0</v>
      </c>
      <c r="I2455" s="55">
        <v>0</v>
      </c>
      <c r="J2455" s="55">
        <v>0</v>
      </c>
    </row>
    <row r="2456" spans="1:10" ht="15" x14ac:dyDescent="0.4">
      <c r="A2456" s="54">
        <v>46287</v>
      </c>
      <c r="B2456" s="55" t="s">
        <v>63</v>
      </c>
      <c r="C2456" s="55" t="s">
        <v>58</v>
      </c>
      <c r="D2456" s="57">
        <v>6456</v>
      </c>
      <c r="E2456" s="55">
        <v>1345</v>
      </c>
      <c r="F2456" s="55">
        <v>74</v>
      </c>
      <c r="G2456" s="55">
        <v>5</v>
      </c>
      <c r="H2456" s="55">
        <v>1</v>
      </c>
      <c r="I2456" s="55">
        <v>1</v>
      </c>
      <c r="J2456" s="55">
        <v>0</v>
      </c>
    </row>
    <row r="2457" spans="1:10" ht="15" x14ac:dyDescent="0.4">
      <c r="A2457" s="54">
        <v>46287</v>
      </c>
      <c r="B2457" s="55" t="s">
        <v>57</v>
      </c>
      <c r="C2457" s="55" t="s">
        <v>58</v>
      </c>
      <c r="D2457" s="57">
        <v>18445</v>
      </c>
      <c r="E2457" s="55">
        <v>3842</v>
      </c>
      <c r="F2457" s="55">
        <v>202</v>
      </c>
      <c r="G2457" s="55">
        <v>6</v>
      </c>
      <c r="H2457" s="55">
        <v>0</v>
      </c>
      <c r="I2457" s="55">
        <v>1</v>
      </c>
      <c r="J2457" s="55">
        <v>0</v>
      </c>
    </row>
    <row r="2458" spans="1:10" ht="15" x14ac:dyDescent="0.4">
      <c r="A2458" s="54">
        <v>46287</v>
      </c>
      <c r="B2458" s="55" t="s">
        <v>59</v>
      </c>
      <c r="C2458" s="55" t="s">
        <v>60</v>
      </c>
      <c r="D2458" s="57">
        <v>26296</v>
      </c>
      <c r="E2458" s="55">
        <v>5056</v>
      </c>
      <c r="F2458" s="55">
        <v>37</v>
      </c>
      <c r="G2458" s="55">
        <v>2</v>
      </c>
      <c r="H2458" s="55">
        <v>0</v>
      </c>
      <c r="I2458" s="55">
        <v>0</v>
      </c>
      <c r="J2458" s="55">
        <v>0</v>
      </c>
    </row>
    <row r="2459" spans="1:10" ht="15" x14ac:dyDescent="0.4">
      <c r="A2459" s="54">
        <v>46287</v>
      </c>
      <c r="B2459" s="55" t="s">
        <v>64</v>
      </c>
      <c r="C2459" s="55" t="s">
        <v>56</v>
      </c>
      <c r="D2459" s="57">
        <v>44947</v>
      </c>
      <c r="E2459" s="55">
        <v>32105</v>
      </c>
      <c r="F2459" s="55">
        <v>344</v>
      </c>
      <c r="G2459" s="55">
        <v>19</v>
      </c>
      <c r="H2459" s="55">
        <v>0</v>
      </c>
      <c r="I2459" s="55">
        <v>1</v>
      </c>
      <c r="J2459" s="55">
        <v>0</v>
      </c>
    </row>
    <row r="2460" spans="1:10" ht="15" x14ac:dyDescent="0.4">
      <c r="A2460" s="54">
        <v>46287</v>
      </c>
      <c r="B2460" s="55" t="s">
        <v>55</v>
      </c>
      <c r="C2460" s="55" t="s">
        <v>56</v>
      </c>
      <c r="D2460" s="57">
        <v>42080</v>
      </c>
      <c r="E2460" s="55">
        <v>30057</v>
      </c>
      <c r="F2460" s="55">
        <v>356</v>
      </c>
      <c r="G2460" s="55">
        <v>15</v>
      </c>
      <c r="H2460" s="55">
        <v>4</v>
      </c>
      <c r="I2460" s="55">
        <v>1</v>
      </c>
      <c r="J2460" s="55">
        <v>0</v>
      </c>
    </row>
    <row r="2461" spans="1:10" ht="15" x14ac:dyDescent="0.4">
      <c r="A2461" s="54">
        <v>46287</v>
      </c>
      <c r="B2461" s="55" t="s">
        <v>62</v>
      </c>
      <c r="C2461" s="55" t="s">
        <v>56</v>
      </c>
      <c r="D2461" s="57">
        <v>9791</v>
      </c>
      <c r="E2461" s="55">
        <v>6993</v>
      </c>
      <c r="F2461" s="55">
        <v>87</v>
      </c>
      <c r="G2461" s="55">
        <v>2</v>
      </c>
      <c r="H2461" s="55">
        <v>2</v>
      </c>
      <c r="I2461" s="55">
        <v>0</v>
      </c>
      <c r="J2461" s="55">
        <v>0</v>
      </c>
    </row>
    <row r="2462" spans="1:10" ht="15" x14ac:dyDescent="0.4">
      <c r="A2462" s="54">
        <v>46288</v>
      </c>
      <c r="B2462" s="55" t="s">
        <v>63</v>
      </c>
      <c r="C2462" s="55" t="s">
        <v>58</v>
      </c>
      <c r="D2462" s="57">
        <v>7514</v>
      </c>
      <c r="E2462" s="55">
        <v>1565</v>
      </c>
      <c r="F2462" s="55">
        <v>69</v>
      </c>
      <c r="G2462" s="55">
        <v>2</v>
      </c>
      <c r="H2462" s="55">
        <v>1</v>
      </c>
      <c r="I2462" s="55">
        <v>0</v>
      </c>
      <c r="J2462" s="55">
        <v>0</v>
      </c>
    </row>
    <row r="2463" spans="1:10" ht="15" x14ac:dyDescent="0.4">
      <c r="A2463" s="54">
        <v>46288</v>
      </c>
      <c r="B2463" s="55" t="s">
        <v>57</v>
      </c>
      <c r="C2463" s="55" t="s">
        <v>58</v>
      </c>
      <c r="D2463" s="57">
        <v>17332</v>
      </c>
      <c r="E2463" s="55">
        <v>3610</v>
      </c>
      <c r="F2463" s="55">
        <v>182</v>
      </c>
      <c r="G2463" s="55">
        <v>2</v>
      </c>
      <c r="H2463" s="55">
        <v>2</v>
      </c>
      <c r="I2463" s="55">
        <v>1</v>
      </c>
      <c r="J2463" s="55">
        <v>0</v>
      </c>
    </row>
    <row r="2464" spans="1:10" ht="15" x14ac:dyDescent="0.4">
      <c r="A2464" s="54">
        <v>46288</v>
      </c>
      <c r="B2464" s="55" t="s">
        <v>59</v>
      </c>
      <c r="C2464" s="55" t="s">
        <v>60</v>
      </c>
      <c r="D2464" s="57">
        <v>27413</v>
      </c>
      <c r="E2464" s="55">
        <v>5271</v>
      </c>
      <c r="F2464" s="55">
        <v>37</v>
      </c>
      <c r="G2464" s="55">
        <v>1</v>
      </c>
      <c r="H2464" s="55">
        <v>2</v>
      </c>
      <c r="I2464" s="55">
        <v>0</v>
      </c>
      <c r="J2464" s="55">
        <v>0</v>
      </c>
    </row>
    <row r="2465" spans="1:10" ht="15" x14ac:dyDescent="0.4">
      <c r="A2465" s="54">
        <v>46288</v>
      </c>
      <c r="B2465" s="55" t="s">
        <v>64</v>
      </c>
      <c r="C2465" s="55" t="s">
        <v>56</v>
      </c>
      <c r="D2465" s="57">
        <v>45039</v>
      </c>
      <c r="E2465" s="55">
        <v>32170</v>
      </c>
      <c r="F2465" s="55">
        <v>313</v>
      </c>
      <c r="G2465" s="55">
        <v>22</v>
      </c>
      <c r="H2465" s="55">
        <v>2</v>
      </c>
      <c r="I2465" s="55">
        <v>0</v>
      </c>
      <c r="J2465" s="55">
        <v>0</v>
      </c>
    </row>
    <row r="2466" spans="1:10" ht="15" x14ac:dyDescent="0.4">
      <c r="A2466" s="54">
        <v>46288</v>
      </c>
      <c r="B2466" s="55" t="s">
        <v>55</v>
      </c>
      <c r="C2466" s="55" t="s">
        <v>56</v>
      </c>
      <c r="D2466" s="57">
        <v>42115</v>
      </c>
      <c r="E2466" s="55">
        <v>30082</v>
      </c>
      <c r="F2466" s="55">
        <v>323</v>
      </c>
      <c r="G2466" s="55">
        <v>9</v>
      </c>
      <c r="H2466" s="55">
        <v>2</v>
      </c>
      <c r="I2466" s="55">
        <v>0</v>
      </c>
      <c r="J2466" s="55">
        <v>0</v>
      </c>
    </row>
    <row r="2467" spans="1:10" ht="15" x14ac:dyDescent="0.4">
      <c r="A2467" s="54">
        <v>46288</v>
      </c>
      <c r="B2467" s="55" t="s">
        <v>62</v>
      </c>
      <c r="C2467" s="55" t="s">
        <v>56</v>
      </c>
      <c r="D2467" s="57">
        <v>9824</v>
      </c>
      <c r="E2467" s="55">
        <v>7017</v>
      </c>
      <c r="F2467" s="55">
        <v>83</v>
      </c>
      <c r="G2467" s="55">
        <v>4</v>
      </c>
      <c r="H2467" s="55">
        <v>1</v>
      </c>
      <c r="I2467" s="55">
        <v>1</v>
      </c>
      <c r="J2467" s="55">
        <v>0</v>
      </c>
    </row>
    <row r="2468" spans="1:10" ht="15" x14ac:dyDescent="0.4">
      <c r="A2468" s="54">
        <v>46289</v>
      </c>
      <c r="B2468" s="55" t="s">
        <v>63</v>
      </c>
      <c r="C2468" s="55" t="s">
        <v>58</v>
      </c>
      <c r="D2468" s="57">
        <v>7321</v>
      </c>
      <c r="E2468" s="55">
        <v>1525</v>
      </c>
      <c r="F2468" s="55">
        <v>76</v>
      </c>
      <c r="G2468" s="55">
        <v>7</v>
      </c>
      <c r="H2468" s="55">
        <v>0</v>
      </c>
      <c r="I2468" s="55">
        <v>1</v>
      </c>
      <c r="J2468" s="55">
        <v>0</v>
      </c>
    </row>
    <row r="2469" spans="1:10" ht="15" x14ac:dyDescent="0.4">
      <c r="A2469" s="54">
        <v>46289</v>
      </c>
      <c r="B2469" s="55" t="s">
        <v>57</v>
      </c>
      <c r="C2469" s="55" t="s">
        <v>58</v>
      </c>
      <c r="D2469" s="57">
        <v>18252</v>
      </c>
      <c r="E2469" s="55">
        <v>3802</v>
      </c>
      <c r="F2469" s="55">
        <v>189</v>
      </c>
      <c r="G2469" s="55">
        <v>4</v>
      </c>
      <c r="H2469" s="55">
        <v>2</v>
      </c>
      <c r="I2469" s="55">
        <v>0</v>
      </c>
      <c r="J2469" s="55">
        <v>0</v>
      </c>
    </row>
    <row r="2470" spans="1:10" ht="15" x14ac:dyDescent="0.4">
      <c r="A2470" s="54">
        <v>46289</v>
      </c>
      <c r="B2470" s="55" t="s">
        <v>59</v>
      </c>
      <c r="C2470" s="55" t="s">
        <v>60</v>
      </c>
      <c r="D2470" s="57">
        <v>26420</v>
      </c>
      <c r="E2470" s="55">
        <v>5080</v>
      </c>
      <c r="F2470" s="55">
        <v>36</v>
      </c>
      <c r="G2470" s="55">
        <v>5</v>
      </c>
      <c r="H2470" s="55">
        <v>0</v>
      </c>
      <c r="I2470" s="55">
        <v>1</v>
      </c>
      <c r="J2470" s="55">
        <v>0</v>
      </c>
    </row>
    <row r="2471" spans="1:10" ht="15" x14ac:dyDescent="0.4">
      <c r="A2471" s="54">
        <v>46289</v>
      </c>
      <c r="B2471" s="55" t="s">
        <v>64</v>
      </c>
      <c r="C2471" s="55" t="s">
        <v>56</v>
      </c>
      <c r="D2471" s="57">
        <v>48103</v>
      </c>
      <c r="E2471" s="55">
        <v>34359</v>
      </c>
      <c r="F2471" s="55">
        <v>434</v>
      </c>
      <c r="G2471" s="55">
        <v>15</v>
      </c>
      <c r="H2471" s="55">
        <v>2</v>
      </c>
      <c r="I2471" s="55">
        <v>0</v>
      </c>
      <c r="J2471" s="55">
        <v>1</v>
      </c>
    </row>
    <row r="2472" spans="1:10" ht="15" x14ac:dyDescent="0.4">
      <c r="A2472" s="54">
        <v>46289</v>
      </c>
      <c r="B2472" s="55" t="s">
        <v>55</v>
      </c>
      <c r="C2472" s="55" t="s">
        <v>56</v>
      </c>
      <c r="D2472" s="57">
        <v>34867</v>
      </c>
      <c r="E2472" s="55">
        <v>24905</v>
      </c>
      <c r="F2472" s="55">
        <v>273</v>
      </c>
      <c r="G2472" s="55">
        <v>11</v>
      </c>
      <c r="H2472" s="55">
        <v>3</v>
      </c>
      <c r="I2472" s="55">
        <v>1</v>
      </c>
      <c r="J2472" s="55">
        <v>0</v>
      </c>
    </row>
    <row r="2473" spans="1:10" ht="15" x14ac:dyDescent="0.4">
      <c r="A2473" s="54">
        <v>46289</v>
      </c>
      <c r="B2473" s="55" t="s">
        <v>62</v>
      </c>
      <c r="C2473" s="55" t="s">
        <v>56</v>
      </c>
      <c r="D2473" s="57">
        <v>8881</v>
      </c>
      <c r="E2473" s="55">
        <v>6343</v>
      </c>
      <c r="F2473" s="55">
        <v>61</v>
      </c>
      <c r="G2473" s="55">
        <v>2</v>
      </c>
      <c r="H2473" s="55">
        <v>0</v>
      </c>
      <c r="I2473" s="55">
        <v>0</v>
      </c>
      <c r="J2473" s="55">
        <v>0</v>
      </c>
    </row>
    <row r="2474" spans="1:10" ht="15" x14ac:dyDescent="0.4">
      <c r="A2474" s="54">
        <v>46290</v>
      </c>
      <c r="B2474" s="55" t="s">
        <v>63</v>
      </c>
      <c r="C2474" s="55" t="s">
        <v>58</v>
      </c>
      <c r="D2474" s="57">
        <v>6998</v>
      </c>
      <c r="E2474" s="55">
        <v>1457</v>
      </c>
      <c r="F2474" s="55">
        <v>81</v>
      </c>
      <c r="G2474" s="55">
        <v>2</v>
      </c>
      <c r="H2474" s="55">
        <v>3</v>
      </c>
      <c r="I2474" s="55">
        <v>0</v>
      </c>
      <c r="J2474" s="55">
        <v>0</v>
      </c>
    </row>
    <row r="2475" spans="1:10" ht="15" x14ac:dyDescent="0.4">
      <c r="A2475" s="54">
        <v>46290</v>
      </c>
      <c r="B2475" s="55" t="s">
        <v>57</v>
      </c>
      <c r="C2475" s="55" t="s">
        <v>58</v>
      </c>
      <c r="D2475" s="57">
        <v>19871</v>
      </c>
      <c r="E2475" s="55">
        <v>4139</v>
      </c>
      <c r="F2475" s="55">
        <v>207</v>
      </c>
      <c r="G2475" s="55">
        <v>1</v>
      </c>
      <c r="H2475" s="55">
        <v>0</v>
      </c>
      <c r="I2475" s="55">
        <v>1</v>
      </c>
      <c r="J2475" s="55">
        <v>0</v>
      </c>
    </row>
    <row r="2476" spans="1:10" ht="15" x14ac:dyDescent="0.4">
      <c r="A2476" s="54">
        <v>46290</v>
      </c>
      <c r="B2476" s="55" t="s">
        <v>59</v>
      </c>
      <c r="C2476" s="55" t="s">
        <v>60</v>
      </c>
      <c r="D2476" s="57">
        <v>23234</v>
      </c>
      <c r="E2476" s="55">
        <v>4468</v>
      </c>
      <c r="F2476" s="55">
        <v>30</v>
      </c>
      <c r="G2476" s="55">
        <v>3</v>
      </c>
      <c r="H2476" s="55">
        <v>2</v>
      </c>
      <c r="I2476" s="55">
        <v>0</v>
      </c>
      <c r="J2476" s="55">
        <v>0</v>
      </c>
    </row>
    <row r="2477" spans="1:10" ht="15" x14ac:dyDescent="0.4">
      <c r="A2477" s="54">
        <v>46290</v>
      </c>
      <c r="B2477" s="55" t="s">
        <v>64</v>
      </c>
      <c r="C2477" s="55" t="s">
        <v>56</v>
      </c>
      <c r="D2477" s="57">
        <v>43955</v>
      </c>
      <c r="E2477" s="55">
        <v>31396</v>
      </c>
      <c r="F2477" s="55">
        <v>323</v>
      </c>
      <c r="G2477" s="55">
        <v>11</v>
      </c>
      <c r="H2477" s="55">
        <v>1</v>
      </c>
      <c r="I2477" s="55">
        <v>0</v>
      </c>
      <c r="J2477" s="55">
        <v>0</v>
      </c>
    </row>
    <row r="2478" spans="1:10" ht="15" x14ac:dyDescent="0.4">
      <c r="A2478" s="54">
        <v>46290</v>
      </c>
      <c r="B2478" s="55" t="s">
        <v>55</v>
      </c>
      <c r="C2478" s="55" t="s">
        <v>56</v>
      </c>
      <c r="D2478" s="57">
        <v>40533</v>
      </c>
      <c r="E2478" s="55">
        <v>28952</v>
      </c>
      <c r="F2478" s="55">
        <v>304</v>
      </c>
      <c r="G2478" s="55">
        <v>6</v>
      </c>
      <c r="H2478" s="55">
        <v>0</v>
      </c>
      <c r="I2478" s="55">
        <v>0</v>
      </c>
      <c r="J2478" s="55">
        <v>0</v>
      </c>
    </row>
    <row r="2479" spans="1:10" ht="15" x14ac:dyDescent="0.4">
      <c r="A2479" s="54">
        <v>46290</v>
      </c>
      <c r="B2479" s="55" t="s">
        <v>62</v>
      </c>
      <c r="C2479" s="55" t="s">
        <v>56</v>
      </c>
      <c r="D2479" s="57">
        <v>8808</v>
      </c>
      <c r="E2479" s="55">
        <v>6291</v>
      </c>
      <c r="F2479" s="55">
        <v>79</v>
      </c>
      <c r="G2479" s="55">
        <v>3</v>
      </c>
      <c r="H2479" s="55">
        <v>1</v>
      </c>
      <c r="I2479" s="55">
        <v>0</v>
      </c>
      <c r="J2479" s="55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A929C"/>
  </sheetPr>
  <dimension ref="A1:F82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2" customWidth="1"/>
    <col min="3" max="4" width="14" customWidth="1"/>
    <col min="5" max="5" width="15" customWidth="1"/>
    <col min="6" max="6" width="17" customWidth="1"/>
  </cols>
  <sheetData>
    <row r="1" spans="1:6" ht="15" x14ac:dyDescent="0.4">
      <c r="A1" s="60" t="s">
        <v>368</v>
      </c>
      <c r="B1" s="60" t="s">
        <v>369</v>
      </c>
      <c r="C1" s="60" t="s">
        <v>364</v>
      </c>
      <c r="D1" s="60" t="s">
        <v>370</v>
      </c>
      <c r="E1" s="60" t="s">
        <v>371</v>
      </c>
      <c r="F1" s="60" t="s">
        <v>363</v>
      </c>
    </row>
    <row r="2" spans="1:6" ht="15" x14ac:dyDescent="0.4">
      <c r="A2" s="55" t="s">
        <v>372</v>
      </c>
      <c r="B2" s="54">
        <v>45854</v>
      </c>
      <c r="C2" s="55" t="s">
        <v>63</v>
      </c>
      <c r="D2" s="57">
        <v>1500000</v>
      </c>
      <c r="E2" s="57">
        <v>0</v>
      </c>
      <c r="F2" s="57">
        <v>1500000</v>
      </c>
    </row>
    <row r="3" spans="1:6" ht="15" x14ac:dyDescent="0.4">
      <c r="A3" s="55" t="s">
        <v>373</v>
      </c>
      <c r="B3" s="54">
        <v>45856</v>
      </c>
      <c r="C3" s="55" t="s">
        <v>62</v>
      </c>
      <c r="D3" s="57">
        <v>480000</v>
      </c>
      <c r="E3" s="57">
        <v>0</v>
      </c>
      <c r="F3" s="57">
        <v>480000</v>
      </c>
    </row>
    <row r="4" spans="1:6" ht="15" x14ac:dyDescent="0.4">
      <c r="A4" s="55" t="s">
        <v>374</v>
      </c>
      <c r="B4" s="54">
        <v>45857</v>
      </c>
      <c r="C4" s="55" t="s">
        <v>55</v>
      </c>
      <c r="D4" s="57">
        <v>170000</v>
      </c>
      <c r="E4" s="57">
        <v>0</v>
      </c>
      <c r="F4" s="57">
        <v>170000</v>
      </c>
    </row>
    <row r="5" spans="1:6" ht="15" x14ac:dyDescent="0.4">
      <c r="A5" s="55" t="s">
        <v>375</v>
      </c>
      <c r="B5" s="54">
        <v>45859</v>
      </c>
      <c r="C5" s="55" t="s">
        <v>55</v>
      </c>
      <c r="D5" s="57">
        <v>150000</v>
      </c>
      <c r="E5" s="57">
        <v>0</v>
      </c>
      <c r="F5" s="57">
        <v>150000</v>
      </c>
    </row>
    <row r="6" spans="1:6" ht="15" x14ac:dyDescent="0.4">
      <c r="A6" s="55" t="s">
        <v>376</v>
      </c>
      <c r="B6" s="54">
        <v>45862</v>
      </c>
      <c r="C6" s="55" t="s">
        <v>377</v>
      </c>
      <c r="D6" s="57">
        <v>170000</v>
      </c>
      <c r="E6" s="57">
        <v>0</v>
      </c>
      <c r="F6" s="57">
        <v>170000</v>
      </c>
    </row>
    <row r="7" spans="1:6" ht="15" x14ac:dyDescent="0.4">
      <c r="A7" s="55" t="s">
        <v>378</v>
      </c>
      <c r="B7" s="54">
        <v>45862</v>
      </c>
      <c r="C7" s="55" t="s">
        <v>63</v>
      </c>
      <c r="D7" s="57">
        <v>480000</v>
      </c>
      <c r="E7" s="57">
        <v>0</v>
      </c>
      <c r="F7" s="57">
        <v>480000</v>
      </c>
    </row>
    <row r="8" spans="1:6" ht="15" x14ac:dyDescent="0.4">
      <c r="A8" s="55" t="s">
        <v>379</v>
      </c>
      <c r="B8" s="54">
        <v>45865</v>
      </c>
      <c r="C8" s="55" t="s">
        <v>380</v>
      </c>
      <c r="D8" s="57">
        <v>480000</v>
      </c>
      <c r="E8" s="57">
        <v>0</v>
      </c>
      <c r="F8" s="57">
        <v>480000</v>
      </c>
    </row>
    <row r="9" spans="1:6" ht="15" x14ac:dyDescent="0.4">
      <c r="A9" s="55" t="s">
        <v>381</v>
      </c>
      <c r="B9" s="54">
        <v>45865</v>
      </c>
      <c r="C9" s="55" t="s">
        <v>380</v>
      </c>
      <c r="D9" s="57">
        <v>150000</v>
      </c>
      <c r="E9" s="57">
        <v>0</v>
      </c>
      <c r="F9" s="57">
        <v>150000</v>
      </c>
    </row>
    <row r="10" spans="1:6" ht="15" x14ac:dyDescent="0.4">
      <c r="A10" s="55" t="s">
        <v>382</v>
      </c>
      <c r="B10" s="54">
        <v>45865</v>
      </c>
      <c r="C10" s="55" t="s">
        <v>377</v>
      </c>
      <c r="D10" s="57">
        <v>170000</v>
      </c>
      <c r="E10" s="57">
        <v>0</v>
      </c>
      <c r="F10" s="57">
        <v>170000</v>
      </c>
    </row>
    <row r="11" spans="1:6" ht="15" x14ac:dyDescent="0.4">
      <c r="A11" s="55" t="s">
        <v>383</v>
      </c>
      <c r="B11" s="54">
        <v>45867</v>
      </c>
      <c r="C11" s="55" t="s">
        <v>62</v>
      </c>
      <c r="D11" s="57">
        <v>150000</v>
      </c>
      <c r="E11" s="57">
        <v>0</v>
      </c>
      <c r="F11" s="57">
        <v>150000</v>
      </c>
    </row>
    <row r="12" spans="1:6" ht="15" x14ac:dyDescent="0.4">
      <c r="A12" s="55" t="s">
        <v>384</v>
      </c>
      <c r="B12" s="54">
        <v>45867</v>
      </c>
      <c r="C12" s="55" t="s">
        <v>63</v>
      </c>
      <c r="D12" s="57">
        <v>1500000</v>
      </c>
      <c r="E12" s="57">
        <v>0</v>
      </c>
      <c r="F12" s="57">
        <v>1500000</v>
      </c>
    </row>
    <row r="13" spans="1:6" ht="15" x14ac:dyDescent="0.4">
      <c r="A13" s="55" t="s">
        <v>385</v>
      </c>
      <c r="B13" s="54">
        <v>45869</v>
      </c>
      <c r="C13" s="55" t="s">
        <v>386</v>
      </c>
      <c r="D13" s="57">
        <v>480000</v>
      </c>
      <c r="E13" s="57">
        <v>0</v>
      </c>
      <c r="F13" s="57">
        <v>480000</v>
      </c>
    </row>
    <row r="14" spans="1:6" ht="15" x14ac:dyDescent="0.4">
      <c r="A14" s="55" t="s">
        <v>387</v>
      </c>
      <c r="B14" s="54">
        <v>45871</v>
      </c>
      <c r="C14" s="55" t="s">
        <v>380</v>
      </c>
      <c r="D14" s="57">
        <v>170000</v>
      </c>
      <c r="E14" s="57">
        <v>0</v>
      </c>
      <c r="F14" s="57">
        <v>170000</v>
      </c>
    </row>
    <row r="15" spans="1:6" ht="15" x14ac:dyDescent="0.4">
      <c r="A15" s="55" t="s">
        <v>388</v>
      </c>
      <c r="B15" s="54">
        <v>45871</v>
      </c>
      <c r="C15" s="55" t="s">
        <v>377</v>
      </c>
      <c r="D15" s="57">
        <v>150000</v>
      </c>
      <c r="E15" s="57">
        <v>0</v>
      </c>
      <c r="F15" s="57">
        <v>150000</v>
      </c>
    </row>
    <row r="16" spans="1:6" ht="15" x14ac:dyDescent="0.4">
      <c r="A16" s="55" t="s">
        <v>389</v>
      </c>
      <c r="B16" s="54">
        <v>45871</v>
      </c>
      <c r="C16" s="55" t="s">
        <v>63</v>
      </c>
      <c r="D16" s="57">
        <v>170000</v>
      </c>
      <c r="E16" s="57">
        <v>0</v>
      </c>
      <c r="F16" s="57">
        <v>170000</v>
      </c>
    </row>
    <row r="17" spans="1:6" ht="15" x14ac:dyDescent="0.4">
      <c r="A17" s="55" t="s">
        <v>390</v>
      </c>
      <c r="B17" s="54">
        <v>45871</v>
      </c>
      <c r="C17" s="55" t="s">
        <v>63</v>
      </c>
      <c r="D17" s="57">
        <v>480000</v>
      </c>
      <c r="E17" s="57">
        <v>0</v>
      </c>
      <c r="F17" s="57">
        <v>480000</v>
      </c>
    </row>
    <row r="18" spans="1:6" ht="15" x14ac:dyDescent="0.4">
      <c r="A18" s="55" t="s">
        <v>391</v>
      </c>
      <c r="B18" s="54">
        <v>45874</v>
      </c>
      <c r="C18" s="55" t="s">
        <v>62</v>
      </c>
      <c r="D18" s="57">
        <v>480000</v>
      </c>
      <c r="E18" s="57">
        <v>0</v>
      </c>
      <c r="F18" s="57">
        <v>480000</v>
      </c>
    </row>
    <row r="19" spans="1:6" ht="15" x14ac:dyDescent="0.4">
      <c r="A19" s="55" t="s">
        <v>392</v>
      </c>
      <c r="B19" s="54">
        <v>45875</v>
      </c>
      <c r="C19" s="55" t="s">
        <v>57</v>
      </c>
      <c r="D19" s="57">
        <v>480000</v>
      </c>
      <c r="E19" s="57">
        <v>0</v>
      </c>
      <c r="F19" s="57">
        <v>480000</v>
      </c>
    </row>
    <row r="20" spans="1:6" ht="15" x14ac:dyDescent="0.4">
      <c r="A20" s="55" t="s">
        <v>393</v>
      </c>
      <c r="B20" s="54">
        <v>45875</v>
      </c>
      <c r="C20" s="55" t="s">
        <v>380</v>
      </c>
      <c r="D20" s="57">
        <v>480000</v>
      </c>
      <c r="E20" s="57">
        <v>0</v>
      </c>
      <c r="F20" s="57">
        <v>480000</v>
      </c>
    </row>
    <row r="21" spans="1:6" ht="15" x14ac:dyDescent="0.4">
      <c r="A21" s="55" t="s">
        <v>394</v>
      </c>
      <c r="B21" s="54">
        <v>45875</v>
      </c>
      <c r="C21" s="55" t="s">
        <v>57</v>
      </c>
      <c r="D21" s="57">
        <v>480000</v>
      </c>
      <c r="E21" s="57">
        <v>0</v>
      </c>
      <c r="F21" s="57">
        <v>480000</v>
      </c>
    </row>
    <row r="22" spans="1:6" ht="15" x14ac:dyDescent="0.4">
      <c r="A22" s="55" t="s">
        <v>395</v>
      </c>
      <c r="B22" s="54">
        <v>45876</v>
      </c>
      <c r="C22" s="55" t="s">
        <v>55</v>
      </c>
      <c r="D22" s="57">
        <v>750000</v>
      </c>
      <c r="E22" s="57">
        <v>0</v>
      </c>
      <c r="F22" s="57">
        <v>750000</v>
      </c>
    </row>
    <row r="23" spans="1:6" ht="15" x14ac:dyDescent="0.4">
      <c r="A23" s="55" t="s">
        <v>396</v>
      </c>
      <c r="B23" s="54">
        <v>45879</v>
      </c>
      <c r="C23" s="55" t="s">
        <v>386</v>
      </c>
      <c r="D23" s="57">
        <v>170000</v>
      </c>
      <c r="E23" s="57">
        <v>0</v>
      </c>
      <c r="F23" s="57">
        <v>170000</v>
      </c>
    </row>
    <row r="24" spans="1:6" ht="15" x14ac:dyDescent="0.4">
      <c r="A24" s="55" t="s">
        <v>397</v>
      </c>
      <c r="B24" s="54">
        <v>45882</v>
      </c>
      <c r="C24" s="55" t="s">
        <v>398</v>
      </c>
      <c r="D24" s="57">
        <v>480000</v>
      </c>
      <c r="E24" s="57">
        <v>0</v>
      </c>
      <c r="F24" s="57">
        <v>480000</v>
      </c>
    </row>
    <row r="25" spans="1:6" ht="15" x14ac:dyDescent="0.4">
      <c r="A25" s="55" t="s">
        <v>399</v>
      </c>
      <c r="B25" s="54">
        <v>45884</v>
      </c>
      <c r="C25" s="55" t="s">
        <v>62</v>
      </c>
      <c r="D25" s="57">
        <v>480000</v>
      </c>
      <c r="E25" s="57">
        <v>0</v>
      </c>
      <c r="F25" s="57">
        <v>480000</v>
      </c>
    </row>
    <row r="26" spans="1:6" ht="15" x14ac:dyDescent="0.4">
      <c r="A26" s="55" t="s">
        <v>400</v>
      </c>
      <c r="B26" s="54">
        <v>45886</v>
      </c>
      <c r="C26" s="55" t="s">
        <v>63</v>
      </c>
      <c r="D26" s="57">
        <v>480000</v>
      </c>
      <c r="E26" s="57">
        <v>0</v>
      </c>
      <c r="F26" s="57">
        <v>480000</v>
      </c>
    </row>
    <row r="27" spans="1:6" ht="15" x14ac:dyDescent="0.4">
      <c r="A27" s="55" t="s">
        <v>401</v>
      </c>
      <c r="B27" s="54">
        <v>45886</v>
      </c>
      <c r="C27" s="55" t="s">
        <v>402</v>
      </c>
      <c r="D27" s="57">
        <v>170000</v>
      </c>
      <c r="E27" s="57">
        <v>0</v>
      </c>
      <c r="F27" s="57">
        <v>170000</v>
      </c>
    </row>
    <row r="28" spans="1:6" ht="15" x14ac:dyDescent="0.4">
      <c r="A28" s="55" t="s">
        <v>403</v>
      </c>
      <c r="B28" s="54">
        <v>45886</v>
      </c>
      <c r="C28" s="55" t="s">
        <v>57</v>
      </c>
      <c r="D28" s="57">
        <v>480000</v>
      </c>
      <c r="E28" s="57">
        <v>0</v>
      </c>
      <c r="F28" s="57">
        <v>480000</v>
      </c>
    </row>
    <row r="29" spans="1:6" ht="15" x14ac:dyDescent="0.4">
      <c r="A29" s="55" t="s">
        <v>404</v>
      </c>
      <c r="B29" s="54">
        <v>45887</v>
      </c>
      <c r="C29" s="55" t="s">
        <v>55</v>
      </c>
      <c r="D29" s="57">
        <v>170000</v>
      </c>
      <c r="E29" s="57">
        <v>0</v>
      </c>
      <c r="F29" s="57">
        <v>170000</v>
      </c>
    </row>
    <row r="30" spans="1:6" ht="15" x14ac:dyDescent="0.4">
      <c r="A30" s="55" t="s">
        <v>405</v>
      </c>
      <c r="B30" s="54">
        <v>45887</v>
      </c>
      <c r="C30" s="55" t="s">
        <v>55</v>
      </c>
      <c r="D30" s="57">
        <v>150000</v>
      </c>
      <c r="E30" s="57">
        <v>0</v>
      </c>
      <c r="F30" s="57">
        <v>150000</v>
      </c>
    </row>
    <row r="31" spans="1:6" ht="15" x14ac:dyDescent="0.4">
      <c r="A31" s="55" t="s">
        <v>406</v>
      </c>
      <c r="B31" s="54">
        <v>45887</v>
      </c>
      <c r="C31" s="55" t="s">
        <v>57</v>
      </c>
      <c r="D31" s="57">
        <v>480000</v>
      </c>
      <c r="E31" s="57">
        <v>0</v>
      </c>
      <c r="F31" s="57">
        <v>480000</v>
      </c>
    </row>
    <row r="32" spans="1:6" ht="15" x14ac:dyDescent="0.4">
      <c r="A32" s="55" t="s">
        <v>407</v>
      </c>
      <c r="B32" s="54">
        <v>45888</v>
      </c>
      <c r="C32" s="55" t="s">
        <v>386</v>
      </c>
      <c r="D32" s="57">
        <v>170000</v>
      </c>
      <c r="E32" s="57">
        <v>0</v>
      </c>
      <c r="F32" s="57">
        <v>170000</v>
      </c>
    </row>
    <row r="33" spans="1:6" ht="15" x14ac:dyDescent="0.4">
      <c r="A33" s="55" t="s">
        <v>408</v>
      </c>
      <c r="B33" s="54">
        <v>45888</v>
      </c>
      <c r="C33" s="55" t="s">
        <v>402</v>
      </c>
      <c r="D33" s="57">
        <v>150000</v>
      </c>
      <c r="E33" s="57">
        <v>0</v>
      </c>
      <c r="F33" s="57">
        <v>150000</v>
      </c>
    </row>
    <row r="34" spans="1:6" ht="15" x14ac:dyDescent="0.4">
      <c r="A34" s="55" t="s">
        <v>409</v>
      </c>
      <c r="B34" s="54">
        <v>45889</v>
      </c>
      <c r="C34" s="55" t="s">
        <v>63</v>
      </c>
      <c r="D34" s="57">
        <v>480000</v>
      </c>
      <c r="E34" s="57">
        <v>0</v>
      </c>
      <c r="F34" s="57">
        <v>480000</v>
      </c>
    </row>
    <row r="35" spans="1:6" ht="15" x14ac:dyDescent="0.4">
      <c r="A35" s="55" t="s">
        <v>410</v>
      </c>
      <c r="B35" s="54">
        <v>45889</v>
      </c>
      <c r="C35" s="55" t="s">
        <v>386</v>
      </c>
      <c r="D35" s="57">
        <v>1500000</v>
      </c>
      <c r="E35" s="57">
        <v>0</v>
      </c>
      <c r="F35" s="57">
        <v>1500000</v>
      </c>
    </row>
    <row r="36" spans="1:6" ht="15" x14ac:dyDescent="0.4">
      <c r="A36" s="55" t="s">
        <v>411</v>
      </c>
      <c r="B36" s="54">
        <v>45890</v>
      </c>
      <c r="C36" s="55" t="s">
        <v>61</v>
      </c>
      <c r="D36" s="57">
        <v>1500000</v>
      </c>
      <c r="E36" s="57">
        <v>0</v>
      </c>
      <c r="F36" s="57">
        <v>1500000</v>
      </c>
    </row>
    <row r="37" spans="1:6" ht="15" x14ac:dyDescent="0.4">
      <c r="A37" s="55" t="s">
        <v>412</v>
      </c>
      <c r="B37" s="54">
        <v>45891</v>
      </c>
      <c r="C37" s="55" t="s">
        <v>55</v>
      </c>
      <c r="D37" s="57">
        <v>480000</v>
      </c>
      <c r="E37" s="57">
        <v>0</v>
      </c>
      <c r="F37" s="57">
        <v>480000</v>
      </c>
    </row>
    <row r="38" spans="1:6" ht="15" x14ac:dyDescent="0.4">
      <c r="A38" s="55" t="s">
        <v>413</v>
      </c>
      <c r="B38" s="54">
        <v>45891</v>
      </c>
      <c r="C38" s="55" t="s">
        <v>61</v>
      </c>
      <c r="D38" s="57">
        <v>480000</v>
      </c>
      <c r="E38" s="57">
        <v>0</v>
      </c>
      <c r="F38" s="57">
        <v>480000</v>
      </c>
    </row>
    <row r="39" spans="1:6" ht="15" x14ac:dyDescent="0.4">
      <c r="A39" s="55" t="s">
        <v>414</v>
      </c>
      <c r="B39" s="54">
        <v>45892</v>
      </c>
      <c r="C39" s="55" t="s">
        <v>377</v>
      </c>
      <c r="D39" s="57">
        <v>170000</v>
      </c>
      <c r="E39" s="57">
        <v>0</v>
      </c>
      <c r="F39" s="57">
        <v>170000</v>
      </c>
    </row>
    <row r="40" spans="1:6" ht="15" x14ac:dyDescent="0.4">
      <c r="A40" s="55" t="s">
        <v>415</v>
      </c>
      <c r="B40" s="54">
        <v>45892</v>
      </c>
      <c r="C40" s="55" t="s">
        <v>62</v>
      </c>
      <c r="D40" s="57">
        <v>480000</v>
      </c>
      <c r="E40" s="57">
        <v>0</v>
      </c>
      <c r="F40" s="57">
        <v>480000</v>
      </c>
    </row>
    <row r="41" spans="1:6" ht="15" x14ac:dyDescent="0.4">
      <c r="A41" s="55" t="s">
        <v>416</v>
      </c>
      <c r="B41" s="54">
        <v>45892</v>
      </c>
      <c r="C41" s="55" t="s">
        <v>402</v>
      </c>
      <c r="D41" s="57">
        <v>480000</v>
      </c>
      <c r="E41" s="57">
        <v>0</v>
      </c>
      <c r="F41" s="57">
        <v>480000</v>
      </c>
    </row>
    <row r="42" spans="1:6" ht="15" x14ac:dyDescent="0.4">
      <c r="A42" s="55" t="s">
        <v>417</v>
      </c>
      <c r="B42" s="54">
        <v>45892</v>
      </c>
      <c r="C42" s="55" t="s">
        <v>386</v>
      </c>
      <c r="D42" s="57">
        <v>170000</v>
      </c>
      <c r="E42" s="57">
        <v>0</v>
      </c>
      <c r="F42" s="57">
        <v>170000</v>
      </c>
    </row>
    <row r="43" spans="1:6" ht="15" x14ac:dyDescent="0.4">
      <c r="A43" s="55" t="s">
        <v>418</v>
      </c>
      <c r="B43" s="54">
        <v>45894</v>
      </c>
      <c r="C43" s="55" t="s">
        <v>402</v>
      </c>
      <c r="D43" s="57">
        <v>480000</v>
      </c>
      <c r="E43" s="57">
        <v>0</v>
      </c>
      <c r="F43" s="57">
        <v>480000</v>
      </c>
    </row>
    <row r="44" spans="1:6" ht="15" x14ac:dyDescent="0.4">
      <c r="A44" s="55" t="s">
        <v>419</v>
      </c>
      <c r="B44" s="54">
        <v>45895</v>
      </c>
      <c r="C44" s="55" t="s">
        <v>63</v>
      </c>
      <c r="D44" s="57">
        <v>480000</v>
      </c>
      <c r="E44" s="57">
        <v>0</v>
      </c>
      <c r="F44" s="57">
        <v>480000</v>
      </c>
    </row>
    <row r="45" spans="1:6" ht="15" x14ac:dyDescent="0.4">
      <c r="A45" s="55" t="s">
        <v>420</v>
      </c>
      <c r="B45" s="54">
        <v>45895</v>
      </c>
      <c r="C45" s="55" t="s">
        <v>61</v>
      </c>
      <c r="D45" s="57">
        <v>150000</v>
      </c>
      <c r="E45" s="57">
        <v>0</v>
      </c>
      <c r="F45" s="57">
        <v>150000</v>
      </c>
    </row>
    <row r="46" spans="1:6" ht="15" x14ac:dyDescent="0.4">
      <c r="A46" s="55" t="s">
        <v>421</v>
      </c>
      <c r="B46" s="54">
        <v>45896</v>
      </c>
      <c r="C46" s="55" t="s">
        <v>63</v>
      </c>
      <c r="D46" s="57">
        <v>150000</v>
      </c>
      <c r="E46" s="57">
        <v>0</v>
      </c>
      <c r="F46" s="57">
        <v>150000</v>
      </c>
    </row>
    <row r="47" spans="1:6" ht="15" x14ac:dyDescent="0.4">
      <c r="A47" s="55" t="s">
        <v>422</v>
      </c>
      <c r="B47" s="54">
        <v>45896</v>
      </c>
      <c r="C47" s="55" t="s">
        <v>55</v>
      </c>
      <c r="D47" s="57">
        <v>480000</v>
      </c>
      <c r="E47" s="57">
        <v>0</v>
      </c>
      <c r="F47" s="57">
        <v>480000</v>
      </c>
    </row>
    <row r="48" spans="1:6" ht="15" x14ac:dyDescent="0.4">
      <c r="A48" s="55" t="s">
        <v>423</v>
      </c>
      <c r="B48" s="54">
        <v>45896</v>
      </c>
      <c r="C48" s="55" t="s">
        <v>55</v>
      </c>
      <c r="D48" s="57">
        <v>480000</v>
      </c>
      <c r="E48" s="57">
        <v>0</v>
      </c>
      <c r="F48" s="57">
        <v>480000</v>
      </c>
    </row>
    <row r="49" spans="1:6" ht="15" x14ac:dyDescent="0.4">
      <c r="A49" s="55" t="s">
        <v>424</v>
      </c>
      <c r="B49" s="54">
        <v>45897</v>
      </c>
      <c r="C49" s="55" t="s">
        <v>62</v>
      </c>
      <c r="D49" s="57">
        <v>170000</v>
      </c>
      <c r="E49" s="57">
        <v>0</v>
      </c>
      <c r="F49" s="57">
        <v>170000</v>
      </c>
    </row>
    <row r="50" spans="1:6" ht="15" x14ac:dyDescent="0.4">
      <c r="A50" s="55" t="s">
        <v>425</v>
      </c>
      <c r="B50" s="54">
        <v>45898</v>
      </c>
      <c r="C50" s="55" t="s">
        <v>61</v>
      </c>
      <c r="D50" s="57">
        <v>170000</v>
      </c>
      <c r="E50" s="57">
        <v>0</v>
      </c>
      <c r="F50" s="57">
        <v>170000</v>
      </c>
    </row>
    <row r="51" spans="1:6" ht="15" x14ac:dyDescent="0.4">
      <c r="A51" s="55" t="s">
        <v>426</v>
      </c>
      <c r="B51" s="54">
        <v>45899</v>
      </c>
      <c r="C51" s="55" t="s">
        <v>377</v>
      </c>
      <c r="D51" s="57">
        <v>170000</v>
      </c>
      <c r="E51" s="57">
        <v>0</v>
      </c>
      <c r="F51" s="57">
        <v>170000</v>
      </c>
    </row>
    <row r="52" spans="1:6" ht="15" x14ac:dyDescent="0.4">
      <c r="A52" s="55" t="s">
        <v>427</v>
      </c>
      <c r="B52" s="54">
        <v>45899</v>
      </c>
      <c r="C52" s="55" t="s">
        <v>63</v>
      </c>
      <c r="D52" s="57">
        <v>480000</v>
      </c>
      <c r="E52" s="57">
        <v>0</v>
      </c>
      <c r="F52" s="57">
        <v>480000</v>
      </c>
    </row>
    <row r="53" spans="1:6" ht="15" x14ac:dyDescent="0.4">
      <c r="A53" s="55" t="s">
        <v>428</v>
      </c>
      <c r="B53" s="54">
        <v>45899</v>
      </c>
      <c r="C53" s="55" t="s">
        <v>57</v>
      </c>
      <c r="D53" s="57">
        <v>480000</v>
      </c>
      <c r="E53" s="57">
        <v>0</v>
      </c>
      <c r="F53" s="57">
        <v>480000</v>
      </c>
    </row>
    <row r="54" spans="1:6" ht="15" x14ac:dyDescent="0.4">
      <c r="A54" s="55" t="s">
        <v>429</v>
      </c>
      <c r="B54" s="54">
        <v>45899</v>
      </c>
      <c r="C54" s="55" t="s">
        <v>377</v>
      </c>
      <c r="D54" s="57">
        <v>170000</v>
      </c>
      <c r="E54" s="57">
        <v>0</v>
      </c>
      <c r="F54" s="57">
        <v>170000</v>
      </c>
    </row>
    <row r="55" spans="1:6" ht="15" x14ac:dyDescent="0.4">
      <c r="A55" s="55" t="s">
        <v>430</v>
      </c>
      <c r="B55" s="54">
        <v>45900</v>
      </c>
      <c r="C55" s="55" t="s">
        <v>55</v>
      </c>
      <c r="D55" s="57">
        <v>750000</v>
      </c>
      <c r="E55" s="57">
        <v>0</v>
      </c>
      <c r="F55" s="57">
        <v>750000</v>
      </c>
    </row>
    <row r="56" spans="1:6" ht="15" x14ac:dyDescent="0.4">
      <c r="A56" s="55" t="s">
        <v>431</v>
      </c>
      <c r="B56" s="54">
        <v>45901</v>
      </c>
      <c r="C56" s="55" t="s">
        <v>380</v>
      </c>
      <c r="D56" s="57">
        <v>170000</v>
      </c>
      <c r="E56" s="57">
        <v>0</v>
      </c>
      <c r="F56" s="57">
        <v>170000</v>
      </c>
    </row>
    <row r="57" spans="1:6" ht="15" x14ac:dyDescent="0.4">
      <c r="A57" s="55" t="s">
        <v>432</v>
      </c>
      <c r="B57" s="54">
        <v>45901</v>
      </c>
      <c r="C57" s="55" t="s">
        <v>63</v>
      </c>
      <c r="D57" s="57">
        <v>170000</v>
      </c>
      <c r="E57" s="57">
        <v>0</v>
      </c>
      <c r="F57" s="57">
        <v>170000</v>
      </c>
    </row>
    <row r="58" spans="1:6" ht="15" x14ac:dyDescent="0.4">
      <c r="A58" s="55" t="s">
        <v>433</v>
      </c>
      <c r="B58" s="54">
        <v>45902</v>
      </c>
      <c r="C58" s="55" t="s">
        <v>63</v>
      </c>
      <c r="D58" s="57">
        <v>150000</v>
      </c>
      <c r="E58" s="57">
        <v>0</v>
      </c>
      <c r="F58" s="57">
        <v>150000</v>
      </c>
    </row>
    <row r="59" spans="1:6" ht="15" x14ac:dyDescent="0.4">
      <c r="A59" s="55" t="s">
        <v>434</v>
      </c>
      <c r="B59" s="54">
        <v>45902</v>
      </c>
      <c r="C59" s="55" t="s">
        <v>62</v>
      </c>
      <c r="D59" s="57">
        <v>1500000</v>
      </c>
      <c r="E59" s="57">
        <v>0</v>
      </c>
      <c r="F59" s="57">
        <v>1500000</v>
      </c>
    </row>
    <row r="60" spans="1:6" ht="15" x14ac:dyDescent="0.4">
      <c r="A60" s="55" t="s">
        <v>435</v>
      </c>
      <c r="B60" s="54">
        <v>45904</v>
      </c>
      <c r="C60" s="55" t="s">
        <v>55</v>
      </c>
      <c r="D60" s="57">
        <v>170000</v>
      </c>
      <c r="E60" s="57">
        <v>0</v>
      </c>
      <c r="F60" s="57">
        <v>170000</v>
      </c>
    </row>
    <row r="61" spans="1:6" ht="15" x14ac:dyDescent="0.4">
      <c r="A61" s="55" t="s">
        <v>436</v>
      </c>
      <c r="B61" s="54">
        <v>45905</v>
      </c>
      <c r="C61" s="55" t="s">
        <v>62</v>
      </c>
      <c r="D61" s="57">
        <v>150000</v>
      </c>
      <c r="E61" s="57">
        <v>0</v>
      </c>
      <c r="F61" s="57">
        <v>150000</v>
      </c>
    </row>
    <row r="62" spans="1:6" ht="15" x14ac:dyDescent="0.4">
      <c r="A62" s="55" t="s">
        <v>437</v>
      </c>
      <c r="B62" s="54">
        <v>45905</v>
      </c>
      <c r="C62" s="55" t="s">
        <v>55</v>
      </c>
      <c r="D62" s="57">
        <v>150000</v>
      </c>
      <c r="E62" s="57">
        <v>0</v>
      </c>
      <c r="F62" s="57">
        <v>150000</v>
      </c>
    </row>
    <row r="63" spans="1:6" ht="15" x14ac:dyDescent="0.4">
      <c r="A63" s="55" t="s">
        <v>438</v>
      </c>
      <c r="B63" s="54">
        <v>45905</v>
      </c>
      <c r="C63" s="55" t="s">
        <v>55</v>
      </c>
      <c r="D63" s="57">
        <v>170000</v>
      </c>
      <c r="E63" s="57">
        <v>0</v>
      </c>
      <c r="F63" s="57">
        <v>170000</v>
      </c>
    </row>
    <row r="64" spans="1:6" ht="15" x14ac:dyDescent="0.4">
      <c r="A64" s="55" t="s">
        <v>439</v>
      </c>
      <c r="B64" s="54">
        <v>45907</v>
      </c>
      <c r="C64" s="55" t="s">
        <v>61</v>
      </c>
      <c r="D64" s="57">
        <v>170000</v>
      </c>
      <c r="E64" s="57">
        <v>0</v>
      </c>
      <c r="F64" s="57">
        <v>170000</v>
      </c>
    </row>
    <row r="65" spans="1:6" ht="15" x14ac:dyDescent="0.4">
      <c r="A65" s="55" t="s">
        <v>440</v>
      </c>
      <c r="B65" s="54">
        <v>45908</v>
      </c>
      <c r="C65" s="55" t="s">
        <v>55</v>
      </c>
      <c r="D65" s="57">
        <v>170000</v>
      </c>
      <c r="E65" s="57">
        <v>0</v>
      </c>
      <c r="F65" s="57">
        <v>170000</v>
      </c>
    </row>
    <row r="66" spans="1:6" ht="15" x14ac:dyDescent="0.4">
      <c r="A66" s="55" t="s">
        <v>441</v>
      </c>
      <c r="B66" s="54">
        <v>45908</v>
      </c>
      <c r="C66" s="55" t="s">
        <v>62</v>
      </c>
      <c r="D66" s="57">
        <v>480000</v>
      </c>
      <c r="E66" s="57">
        <v>0</v>
      </c>
      <c r="F66" s="57">
        <v>480000</v>
      </c>
    </row>
    <row r="67" spans="1:6" ht="15" x14ac:dyDescent="0.4">
      <c r="A67" s="55" t="s">
        <v>442</v>
      </c>
      <c r="B67" s="54">
        <v>45908</v>
      </c>
      <c r="C67" s="55" t="s">
        <v>63</v>
      </c>
      <c r="D67" s="57">
        <v>480000</v>
      </c>
      <c r="E67" s="57">
        <v>480000</v>
      </c>
      <c r="F67" s="57">
        <v>0</v>
      </c>
    </row>
    <row r="68" spans="1:6" ht="15" x14ac:dyDescent="0.4">
      <c r="A68" s="55" t="s">
        <v>443</v>
      </c>
      <c r="B68" s="54">
        <v>45909</v>
      </c>
      <c r="C68" s="55" t="s">
        <v>386</v>
      </c>
      <c r="D68" s="57">
        <v>170000</v>
      </c>
      <c r="E68" s="57">
        <v>0</v>
      </c>
      <c r="F68" s="57">
        <v>170000</v>
      </c>
    </row>
    <row r="69" spans="1:6" ht="15" x14ac:dyDescent="0.4">
      <c r="A69" s="55" t="s">
        <v>444</v>
      </c>
      <c r="B69" s="54">
        <v>45909</v>
      </c>
      <c r="C69" s="55" t="s">
        <v>63</v>
      </c>
      <c r="D69" s="57">
        <v>480000</v>
      </c>
      <c r="E69" s="57">
        <v>0</v>
      </c>
      <c r="F69" s="57">
        <v>480000</v>
      </c>
    </row>
    <row r="70" spans="1:6" ht="15" x14ac:dyDescent="0.4">
      <c r="A70" s="55" t="s">
        <v>445</v>
      </c>
      <c r="B70" s="54">
        <v>45909</v>
      </c>
      <c r="C70" s="55" t="s">
        <v>57</v>
      </c>
      <c r="D70" s="57">
        <v>480000</v>
      </c>
      <c r="E70" s="57">
        <v>0</v>
      </c>
      <c r="F70" s="57">
        <v>480000</v>
      </c>
    </row>
    <row r="71" spans="1:6" ht="15" x14ac:dyDescent="0.4">
      <c r="A71" s="55" t="s">
        <v>446</v>
      </c>
      <c r="B71" s="54">
        <v>45909</v>
      </c>
      <c r="C71" s="55" t="s">
        <v>55</v>
      </c>
      <c r="D71" s="57">
        <v>750000</v>
      </c>
      <c r="E71" s="57">
        <v>0</v>
      </c>
      <c r="F71" s="57">
        <v>750000</v>
      </c>
    </row>
    <row r="72" spans="1:6" ht="15" x14ac:dyDescent="0.4">
      <c r="A72" s="55" t="s">
        <v>447</v>
      </c>
      <c r="B72" s="54">
        <v>45909</v>
      </c>
      <c r="C72" s="55" t="s">
        <v>57</v>
      </c>
      <c r="D72" s="57">
        <v>480000</v>
      </c>
      <c r="E72" s="57">
        <v>240000</v>
      </c>
      <c r="F72" s="57">
        <v>240000</v>
      </c>
    </row>
    <row r="73" spans="1:6" ht="15" x14ac:dyDescent="0.4">
      <c r="A73" s="55" t="s">
        <v>448</v>
      </c>
      <c r="B73" s="54">
        <v>45910</v>
      </c>
      <c r="C73" s="55" t="s">
        <v>63</v>
      </c>
      <c r="D73" s="57">
        <v>150000</v>
      </c>
      <c r="E73" s="57">
        <v>0</v>
      </c>
      <c r="F73" s="57">
        <v>150000</v>
      </c>
    </row>
    <row r="74" spans="1:6" ht="15" x14ac:dyDescent="0.4">
      <c r="A74" s="55" t="s">
        <v>449</v>
      </c>
      <c r="B74" s="54">
        <v>45911</v>
      </c>
      <c r="C74" s="55" t="s">
        <v>57</v>
      </c>
      <c r="D74" s="57">
        <v>480000</v>
      </c>
      <c r="E74" s="57">
        <v>0</v>
      </c>
      <c r="F74" s="57">
        <v>480000</v>
      </c>
    </row>
    <row r="75" spans="1:6" ht="15" x14ac:dyDescent="0.4">
      <c r="A75" s="55" t="s">
        <v>450</v>
      </c>
      <c r="B75" s="54">
        <v>45911</v>
      </c>
      <c r="C75" s="55" t="s">
        <v>55</v>
      </c>
      <c r="D75" s="57">
        <v>480000</v>
      </c>
      <c r="E75" s="57">
        <v>0</v>
      </c>
      <c r="F75" s="57">
        <v>480000</v>
      </c>
    </row>
    <row r="76" spans="1:6" ht="15" x14ac:dyDescent="0.4">
      <c r="A76" s="55" t="s">
        <v>451</v>
      </c>
      <c r="B76" s="54">
        <v>45912</v>
      </c>
      <c r="C76" s="55" t="s">
        <v>398</v>
      </c>
      <c r="D76" s="57">
        <v>170000</v>
      </c>
      <c r="E76" s="57">
        <v>0</v>
      </c>
      <c r="F76" s="57">
        <v>170000</v>
      </c>
    </row>
    <row r="77" spans="1:6" ht="15" x14ac:dyDescent="0.4">
      <c r="A77" s="55" t="s">
        <v>452</v>
      </c>
      <c r="B77" s="54">
        <v>45913</v>
      </c>
      <c r="C77" s="55" t="s">
        <v>63</v>
      </c>
      <c r="D77" s="57">
        <v>150000</v>
      </c>
      <c r="E77" s="57">
        <v>0</v>
      </c>
      <c r="F77" s="57">
        <v>150000</v>
      </c>
    </row>
    <row r="78" spans="1:6" ht="15" x14ac:dyDescent="0.4">
      <c r="A78" s="55" t="s">
        <v>453</v>
      </c>
      <c r="B78" s="54">
        <v>45914</v>
      </c>
      <c r="C78" s="55" t="s">
        <v>62</v>
      </c>
      <c r="D78" s="57">
        <v>170000</v>
      </c>
      <c r="E78" s="57">
        <v>0</v>
      </c>
      <c r="F78" s="57">
        <v>170000</v>
      </c>
    </row>
    <row r="79" spans="1:6" ht="15" x14ac:dyDescent="0.4">
      <c r="A79" s="55" t="s">
        <v>454</v>
      </c>
      <c r="B79" s="54">
        <v>45914</v>
      </c>
      <c r="C79" s="55" t="s">
        <v>62</v>
      </c>
      <c r="D79" s="57">
        <v>480000</v>
      </c>
      <c r="E79" s="57">
        <v>0</v>
      </c>
      <c r="F79" s="57">
        <v>480000</v>
      </c>
    </row>
    <row r="80" spans="1:6" ht="15" x14ac:dyDescent="0.4">
      <c r="A80" s="55" t="s">
        <v>455</v>
      </c>
      <c r="B80" s="54">
        <v>45914</v>
      </c>
      <c r="C80" s="55" t="s">
        <v>380</v>
      </c>
      <c r="D80" s="57">
        <v>750000</v>
      </c>
      <c r="E80" s="57">
        <v>0</v>
      </c>
      <c r="F80" s="57">
        <v>750000</v>
      </c>
    </row>
    <row r="81" spans="1:6" ht="15" x14ac:dyDescent="0.4">
      <c r="A81" s="55" t="s">
        <v>456</v>
      </c>
      <c r="B81" s="54">
        <v>45915</v>
      </c>
      <c r="C81" s="55" t="s">
        <v>61</v>
      </c>
      <c r="D81" s="57">
        <v>480000</v>
      </c>
      <c r="E81" s="57">
        <v>0</v>
      </c>
      <c r="F81" s="57">
        <v>480000</v>
      </c>
    </row>
    <row r="82" spans="1:6" ht="15" x14ac:dyDescent="0.4">
      <c r="A82" s="55" t="s">
        <v>457</v>
      </c>
      <c r="B82" s="54">
        <v>45915</v>
      </c>
      <c r="C82" s="55" t="s">
        <v>398</v>
      </c>
      <c r="D82" s="57">
        <v>150000</v>
      </c>
      <c r="E82" s="57">
        <v>0</v>
      </c>
      <c r="F82" s="57">
        <v>150000</v>
      </c>
    </row>
    <row r="83" spans="1:6" ht="15" x14ac:dyDescent="0.4">
      <c r="A83" s="55" t="s">
        <v>458</v>
      </c>
      <c r="B83" s="54">
        <v>45915</v>
      </c>
      <c r="C83" s="55" t="s">
        <v>386</v>
      </c>
      <c r="D83" s="57">
        <v>170000</v>
      </c>
      <c r="E83" s="57">
        <v>0</v>
      </c>
      <c r="F83" s="57">
        <v>170000</v>
      </c>
    </row>
    <row r="84" spans="1:6" ht="15" x14ac:dyDescent="0.4">
      <c r="A84" s="55" t="s">
        <v>459</v>
      </c>
      <c r="B84" s="54">
        <v>45915</v>
      </c>
      <c r="C84" s="55" t="s">
        <v>62</v>
      </c>
      <c r="D84" s="57">
        <v>480000</v>
      </c>
      <c r="E84" s="57">
        <v>0</v>
      </c>
      <c r="F84" s="57">
        <v>480000</v>
      </c>
    </row>
    <row r="85" spans="1:6" ht="15" x14ac:dyDescent="0.4">
      <c r="A85" s="55" t="s">
        <v>460</v>
      </c>
      <c r="B85" s="54">
        <v>45916</v>
      </c>
      <c r="C85" s="55" t="s">
        <v>402</v>
      </c>
      <c r="D85" s="57">
        <v>170000</v>
      </c>
      <c r="E85" s="57">
        <v>0</v>
      </c>
      <c r="F85" s="57">
        <v>170000</v>
      </c>
    </row>
    <row r="86" spans="1:6" ht="15" x14ac:dyDescent="0.4">
      <c r="A86" s="55" t="s">
        <v>461</v>
      </c>
      <c r="B86" s="54">
        <v>45916</v>
      </c>
      <c r="C86" s="55" t="s">
        <v>57</v>
      </c>
      <c r="D86" s="57">
        <v>150000</v>
      </c>
      <c r="E86" s="57">
        <v>0</v>
      </c>
      <c r="F86" s="57">
        <v>150000</v>
      </c>
    </row>
    <row r="87" spans="1:6" ht="15" x14ac:dyDescent="0.4">
      <c r="A87" s="55" t="s">
        <v>462</v>
      </c>
      <c r="B87" s="54">
        <v>45917</v>
      </c>
      <c r="C87" s="55" t="s">
        <v>55</v>
      </c>
      <c r="D87" s="57">
        <v>170000</v>
      </c>
      <c r="E87" s="57">
        <v>0</v>
      </c>
      <c r="F87" s="57">
        <v>170000</v>
      </c>
    </row>
    <row r="88" spans="1:6" ht="15" x14ac:dyDescent="0.4">
      <c r="A88" s="55" t="s">
        <v>463</v>
      </c>
      <c r="B88" s="54">
        <v>45918</v>
      </c>
      <c r="C88" s="55" t="s">
        <v>386</v>
      </c>
      <c r="D88" s="57">
        <v>170000</v>
      </c>
      <c r="E88" s="57">
        <v>0</v>
      </c>
      <c r="F88" s="57">
        <v>170000</v>
      </c>
    </row>
    <row r="89" spans="1:6" ht="15" x14ac:dyDescent="0.4">
      <c r="A89" s="55" t="s">
        <v>464</v>
      </c>
      <c r="B89" s="54">
        <v>45918</v>
      </c>
      <c r="C89" s="55" t="s">
        <v>55</v>
      </c>
      <c r="D89" s="57">
        <v>480000</v>
      </c>
      <c r="E89" s="57">
        <v>0</v>
      </c>
      <c r="F89" s="57">
        <v>480000</v>
      </c>
    </row>
    <row r="90" spans="1:6" ht="15" x14ac:dyDescent="0.4">
      <c r="A90" s="55" t="s">
        <v>465</v>
      </c>
      <c r="B90" s="54">
        <v>45919</v>
      </c>
      <c r="C90" s="55" t="s">
        <v>57</v>
      </c>
      <c r="D90" s="57">
        <v>150000</v>
      </c>
      <c r="E90" s="57">
        <v>0</v>
      </c>
      <c r="F90" s="57">
        <v>150000</v>
      </c>
    </row>
    <row r="91" spans="1:6" ht="15" x14ac:dyDescent="0.4">
      <c r="A91" s="55" t="s">
        <v>466</v>
      </c>
      <c r="B91" s="54">
        <v>45919</v>
      </c>
      <c r="C91" s="55" t="s">
        <v>57</v>
      </c>
      <c r="D91" s="57">
        <v>480000</v>
      </c>
      <c r="E91" s="57">
        <v>0</v>
      </c>
      <c r="F91" s="57">
        <v>480000</v>
      </c>
    </row>
    <row r="92" spans="1:6" ht="15" x14ac:dyDescent="0.4">
      <c r="A92" s="55" t="s">
        <v>467</v>
      </c>
      <c r="B92" s="54">
        <v>45920</v>
      </c>
      <c r="C92" s="55" t="s">
        <v>63</v>
      </c>
      <c r="D92" s="57">
        <v>480000</v>
      </c>
      <c r="E92" s="57">
        <v>0</v>
      </c>
      <c r="F92" s="57">
        <v>480000</v>
      </c>
    </row>
    <row r="93" spans="1:6" ht="15" x14ac:dyDescent="0.4">
      <c r="A93" s="55" t="s">
        <v>468</v>
      </c>
      <c r="B93" s="54">
        <v>45921</v>
      </c>
      <c r="C93" s="55" t="s">
        <v>55</v>
      </c>
      <c r="D93" s="57">
        <v>150000</v>
      </c>
      <c r="E93" s="57">
        <v>0</v>
      </c>
      <c r="F93" s="57">
        <v>150000</v>
      </c>
    </row>
    <row r="94" spans="1:6" ht="15" x14ac:dyDescent="0.4">
      <c r="A94" s="55" t="s">
        <v>469</v>
      </c>
      <c r="B94" s="54">
        <v>45921</v>
      </c>
      <c r="C94" s="55" t="s">
        <v>57</v>
      </c>
      <c r="D94" s="57">
        <v>150000</v>
      </c>
      <c r="E94" s="57">
        <v>0</v>
      </c>
      <c r="F94" s="57">
        <v>150000</v>
      </c>
    </row>
    <row r="95" spans="1:6" ht="15" x14ac:dyDescent="0.4">
      <c r="A95" s="55" t="s">
        <v>470</v>
      </c>
      <c r="B95" s="54">
        <v>45922</v>
      </c>
      <c r="C95" s="55" t="s">
        <v>377</v>
      </c>
      <c r="D95" s="57">
        <v>170000</v>
      </c>
      <c r="E95" s="57">
        <v>0</v>
      </c>
      <c r="F95" s="57">
        <v>170000</v>
      </c>
    </row>
    <row r="96" spans="1:6" ht="15" x14ac:dyDescent="0.4">
      <c r="A96" s="55" t="s">
        <v>471</v>
      </c>
      <c r="B96" s="54">
        <v>45922</v>
      </c>
      <c r="C96" s="55" t="s">
        <v>386</v>
      </c>
      <c r="D96" s="57">
        <v>170000</v>
      </c>
      <c r="E96" s="57">
        <v>0</v>
      </c>
      <c r="F96" s="57">
        <v>170000</v>
      </c>
    </row>
    <row r="97" spans="1:6" ht="15" x14ac:dyDescent="0.4">
      <c r="A97" s="55" t="s">
        <v>472</v>
      </c>
      <c r="B97" s="54">
        <v>45922</v>
      </c>
      <c r="C97" s="55" t="s">
        <v>61</v>
      </c>
      <c r="D97" s="57">
        <v>480000</v>
      </c>
      <c r="E97" s="57">
        <v>0</v>
      </c>
      <c r="F97" s="57">
        <v>480000</v>
      </c>
    </row>
    <row r="98" spans="1:6" ht="15" x14ac:dyDescent="0.4">
      <c r="A98" s="55" t="s">
        <v>473</v>
      </c>
      <c r="B98" s="54">
        <v>45922</v>
      </c>
      <c r="C98" s="55" t="s">
        <v>386</v>
      </c>
      <c r="D98" s="57">
        <v>480000</v>
      </c>
      <c r="E98" s="57">
        <v>0</v>
      </c>
      <c r="F98" s="57">
        <v>480000</v>
      </c>
    </row>
    <row r="99" spans="1:6" ht="15" x14ac:dyDescent="0.4">
      <c r="A99" s="55" t="s">
        <v>474</v>
      </c>
      <c r="B99" s="54">
        <v>45923</v>
      </c>
      <c r="C99" s="55" t="s">
        <v>55</v>
      </c>
      <c r="D99" s="57">
        <v>1500000</v>
      </c>
      <c r="E99" s="57">
        <v>0</v>
      </c>
      <c r="F99" s="57">
        <v>1500000</v>
      </c>
    </row>
    <row r="100" spans="1:6" ht="15" x14ac:dyDescent="0.4">
      <c r="A100" s="55" t="s">
        <v>475</v>
      </c>
      <c r="B100" s="54">
        <v>45923</v>
      </c>
      <c r="C100" s="55" t="s">
        <v>57</v>
      </c>
      <c r="D100" s="57">
        <v>150000</v>
      </c>
      <c r="E100" s="57">
        <v>0</v>
      </c>
      <c r="F100" s="57">
        <v>150000</v>
      </c>
    </row>
    <row r="101" spans="1:6" ht="15" x14ac:dyDescent="0.4">
      <c r="A101" s="55" t="s">
        <v>476</v>
      </c>
      <c r="B101" s="54">
        <v>45924</v>
      </c>
      <c r="C101" s="55" t="s">
        <v>62</v>
      </c>
      <c r="D101" s="57">
        <v>150000</v>
      </c>
      <c r="E101" s="57">
        <v>0</v>
      </c>
      <c r="F101" s="57">
        <v>150000</v>
      </c>
    </row>
    <row r="102" spans="1:6" ht="15" x14ac:dyDescent="0.4">
      <c r="A102" s="55" t="s">
        <v>477</v>
      </c>
      <c r="B102" s="54">
        <v>45924</v>
      </c>
      <c r="C102" s="55" t="s">
        <v>386</v>
      </c>
      <c r="D102" s="57">
        <v>150000</v>
      </c>
      <c r="E102" s="57">
        <v>0</v>
      </c>
      <c r="F102" s="57">
        <v>150000</v>
      </c>
    </row>
    <row r="103" spans="1:6" ht="15" x14ac:dyDescent="0.4">
      <c r="A103" s="55" t="s">
        <v>478</v>
      </c>
      <c r="B103" s="54">
        <v>45925</v>
      </c>
      <c r="C103" s="55" t="s">
        <v>55</v>
      </c>
      <c r="D103" s="57">
        <v>480000</v>
      </c>
      <c r="E103" s="57">
        <v>0</v>
      </c>
      <c r="F103" s="57">
        <v>480000</v>
      </c>
    </row>
    <row r="104" spans="1:6" ht="15" x14ac:dyDescent="0.4">
      <c r="A104" s="55" t="s">
        <v>479</v>
      </c>
      <c r="B104" s="54">
        <v>45927</v>
      </c>
      <c r="C104" s="55" t="s">
        <v>62</v>
      </c>
      <c r="D104" s="57">
        <v>170000</v>
      </c>
      <c r="E104" s="57">
        <v>0</v>
      </c>
      <c r="F104" s="57">
        <v>170000</v>
      </c>
    </row>
    <row r="105" spans="1:6" ht="15" x14ac:dyDescent="0.4">
      <c r="A105" s="55" t="s">
        <v>480</v>
      </c>
      <c r="B105" s="54">
        <v>45927</v>
      </c>
      <c r="C105" s="55" t="s">
        <v>386</v>
      </c>
      <c r="D105" s="57">
        <v>170000</v>
      </c>
      <c r="E105" s="57">
        <v>0</v>
      </c>
      <c r="F105" s="57">
        <v>170000</v>
      </c>
    </row>
    <row r="106" spans="1:6" ht="15" x14ac:dyDescent="0.4">
      <c r="A106" s="55" t="s">
        <v>481</v>
      </c>
      <c r="B106" s="54">
        <v>45928</v>
      </c>
      <c r="C106" s="55" t="s">
        <v>61</v>
      </c>
      <c r="D106" s="57">
        <v>170000</v>
      </c>
      <c r="E106" s="57">
        <v>0</v>
      </c>
      <c r="F106" s="57">
        <v>170000</v>
      </c>
    </row>
    <row r="107" spans="1:6" ht="15" x14ac:dyDescent="0.4">
      <c r="A107" s="55" t="s">
        <v>482</v>
      </c>
      <c r="B107" s="54">
        <v>45928</v>
      </c>
      <c r="C107" s="55" t="s">
        <v>57</v>
      </c>
      <c r="D107" s="57">
        <v>750000</v>
      </c>
      <c r="E107" s="57">
        <v>0</v>
      </c>
      <c r="F107" s="57">
        <v>750000</v>
      </c>
    </row>
    <row r="108" spans="1:6" ht="15" x14ac:dyDescent="0.4">
      <c r="A108" s="55" t="s">
        <v>483</v>
      </c>
      <c r="B108" s="54">
        <v>45929</v>
      </c>
      <c r="C108" s="55" t="s">
        <v>377</v>
      </c>
      <c r="D108" s="57">
        <v>170000</v>
      </c>
      <c r="E108" s="57">
        <v>0</v>
      </c>
      <c r="F108" s="57">
        <v>170000</v>
      </c>
    </row>
    <row r="109" spans="1:6" ht="15" x14ac:dyDescent="0.4">
      <c r="A109" s="55" t="s">
        <v>484</v>
      </c>
      <c r="B109" s="54">
        <v>45929</v>
      </c>
      <c r="C109" s="55" t="s">
        <v>377</v>
      </c>
      <c r="D109" s="57">
        <v>170000</v>
      </c>
      <c r="E109" s="57">
        <v>0</v>
      </c>
      <c r="F109" s="57">
        <v>170000</v>
      </c>
    </row>
    <row r="110" spans="1:6" ht="15" x14ac:dyDescent="0.4">
      <c r="A110" s="55" t="s">
        <v>485</v>
      </c>
      <c r="B110" s="54">
        <v>45929</v>
      </c>
      <c r="C110" s="55" t="s">
        <v>55</v>
      </c>
      <c r="D110" s="57">
        <v>150000</v>
      </c>
      <c r="E110" s="57">
        <v>0</v>
      </c>
      <c r="F110" s="57">
        <v>150000</v>
      </c>
    </row>
    <row r="111" spans="1:6" ht="15" x14ac:dyDescent="0.4">
      <c r="A111" s="55" t="s">
        <v>486</v>
      </c>
      <c r="B111" s="54">
        <v>45929</v>
      </c>
      <c r="C111" s="55" t="s">
        <v>62</v>
      </c>
      <c r="D111" s="57">
        <v>170000</v>
      </c>
      <c r="E111" s="57">
        <v>85000</v>
      </c>
      <c r="F111" s="57">
        <v>85000</v>
      </c>
    </row>
    <row r="112" spans="1:6" ht="15" x14ac:dyDescent="0.4">
      <c r="A112" s="55" t="s">
        <v>487</v>
      </c>
      <c r="B112" s="54">
        <v>45929</v>
      </c>
      <c r="C112" s="55" t="s">
        <v>61</v>
      </c>
      <c r="D112" s="57">
        <v>170000</v>
      </c>
      <c r="E112" s="57">
        <v>0</v>
      </c>
      <c r="F112" s="57">
        <v>170000</v>
      </c>
    </row>
    <row r="113" spans="1:6" ht="15" x14ac:dyDescent="0.4">
      <c r="A113" s="55" t="s">
        <v>488</v>
      </c>
      <c r="B113" s="54">
        <v>45930</v>
      </c>
      <c r="C113" s="55" t="s">
        <v>55</v>
      </c>
      <c r="D113" s="57">
        <v>750000</v>
      </c>
      <c r="E113" s="57">
        <v>0</v>
      </c>
      <c r="F113" s="57">
        <v>750000</v>
      </c>
    </row>
    <row r="114" spans="1:6" ht="15" x14ac:dyDescent="0.4">
      <c r="A114" s="55" t="s">
        <v>489</v>
      </c>
      <c r="B114" s="54">
        <v>45930</v>
      </c>
      <c r="C114" s="55" t="s">
        <v>57</v>
      </c>
      <c r="D114" s="57">
        <v>480000</v>
      </c>
      <c r="E114" s="57">
        <v>480000</v>
      </c>
      <c r="F114" s="57">
        <v>0</v>
      </c>
    </row>
    <row r="115" spans="1:6" ht="15" x14ac:dyDescent="0.4">
      <c r="A115" s="55" t="s">
        <v>490</v>
      </c>
      <c r="B115" s="54">
        <v>45930</v>
      </c>
      <c r="C115" s="55" t="s">
        <v>55</v>
      </c>
      <c r="D115" s="57">
        <v>170000</v>
      </c>
      <c r="E115" s="57">
        <v>0</v>
      </c>
      <c r="F115" s="57">
        <v>170000</v>
      </c>
    </row>
    <row r="116" spans="1:6" ht="15" x14ac:dyDescent="0.4">
      <c r="A116" s="55" t="s">
        <v>491</v>
      </c>
      <c r="B116" s="54">
        <v>45931</v>
      </c>
      <c r="C116" s="55" t="s">
        <v>380</v>
      </c>
      <c r="D116" s="57">
        <v>170000</v>
      </c>
      <c r="E116" s="57">
        <v>0</v>
      </c>
      <c r="F116" s="57">
        <v>170000</v>
      </c>
    </row>
    <row r="117" spans="1:6" ht="15" x14ac:dyDescent="0.4">
      <c r="A117" s="55" t="s">
        <v>492</v>
      </c>
      <c r="B117" s="54">
        <v>45931</v>
      </c>
      <c r="C117" s="55" t="s">
        <v>63</v>
      </c>
      <c r="D117" s="57">
        <v>170000</v>
      </c>
      <c r="E117" s="57">
        <v>0</v>
      </c>
      <c r="F117" s="57">
        <v>170000</v>
      </c>
    </row>
    <row r="118" spans="1:6" ht="15" x14ac:dyDescent="0.4">
      <c r="A118" s="55" t="s">
        <v>493</v>
      </c>
      <c r="B118" s="54">
        <v>45932</v>
      </c>
      <c r="C118" s="55" t="s">
        <v>63</v>
      </c>
      <c r="D118" s="57">
        <v>170000</v>
      </c>
      <c r="E118" s="57">
        <v>0</v>
      </c>
      <c r="F118" s="57">
        <v>170000</v>
      </c>
    </row>
    <row r="119" spans="1:6" ht="15" x14ac:dyDescent="0.4">
      <c r="A119" s="55" t="s">
        <v>494</v>
      </c>
      <c r="B119" s="54">
        <v>45934</v>
      </c>
      <c r="C119" s="55" t="s">
        <v>55</v>
      </c>
      <c r="D119" s="57">
        <v>170000</v>
      </c>
      <c r="E119" s="57">
        <v>0</v>
      </c>
      <c r="F119" s="57">
        <v>170000</v>
      </c>
    </row>
    <row r="120" spans="1:6" ht="15" x14ac:dyDescent="0.4">
      <c r="A120" s="55" t="s">
        <v>495</v>
      </c>
      <c r="B120" s="54">
        <v>45934</v>
      </c>
      <c r="C120" s="55" t="s">
        <v>62</v>
      </c>
      <c r="D120" s="57">
        <v>480000</v>
      </c>
      <c r="E120" s="57">
        <v>0</v>
      </c>
      <c r="F120" s="57">
        <v>480000</v>
      </c>
    </row>
    <row r="121" spans="1:6" ht="15" x14ac:dyDescent="0.4">
      <c r="A121" s="55" t="s">
        <v>496</v>
      </c>
      <c r="B121" s="54">
        <v>45935</v>
      </c>
      <c r="C121" s="55" t="s">
        <v>55</v>
      </c>
      <c r="D121" s="57">
        <v>170000</v>
      </c>
      <c r="E121" s="57">
        <v>0</v>
      </c>
      <c r="F121" s="57">
        <v>170000</v>
      </c>
    </row>
    <row r="122" spans="1:6" ht="15" x14ac:dyDescent="0.4">
      <c r="A122" s="55" t="s">
        <v>497</v>
      </c>
      <c r="B122" s="54">
        <v>45935</v>
      </c>
      <c r="C122" s="55" t="s">
        <v>386</v>
      </c>
      <c r="D122" s="57">
        <v>150000</v>
      </c>
      <c r="E122" s="57">
        <v>0</v>
      </c>
      <c r="F122" s="57">
        <v>150000</v>
      </c>
    </row>
    <row r="123" spans="1:6" ht="15" x14ac:dyDescent="0.4">
      <c r="A123" s="55" t="s">
        <v>498</v>
      </c>
      <c r="B123" s="54">
        <v>45936</v>
      </c>
      <c r="C123" s="55" t="s">
        <v>380</v>
      </c>
      <c r="D123" s="57">
        <v>1500000</v>
      </c>
      <c r="E123" s="57">
        <v>0</v>
      </c>
      <c r="F123" s="57">
        <v>1500000</v>
      </c>
    </row>
    <row r="124" spans="1:6" ht="15" x14ac:dyDescent="0.4">
      <c r="A124" s="55" t="s">
        <v>499</v>
      </c>
      <c r="B124" s="54">
        <v>45937</v>
      </c>
      <c r="C124" s="55" t="s">
        <v>61</v>
      </c>
      <c r="D124" s="57">
        <v>170000</v>
      </c>
      <c r="E124" s="57">
        <v>0</v>
      </c>
      <c r="F124" s="57">
        <v>170000</v>
      </c>
    </row>
    <row r="125" spans="1:6" ht="15" x14ac:dyDescent="0.4">
      <c r="A125" s="55" t="s">
        <v>500</v>
      </c>
      <c r="B125" s="54">
        <v>45938</v>
      </c>
      <c r="C125" s="55" t="s">
        <v>55</v>
      </c>
      <c r="D125" s="57">
        <v>170000</v>
      </c>
      <c r="E125" s="57">
        <v>0</v>
      </c>
      <c r="F125" s="57">
        <v>170000</v>
      </c>
    </row>
    <row r="126" spans="1:6" ht="15" x14ac:dyDescent="0.4">
      <c r="A126" s="55" t="s">
        <v>501</v>
      </c>
      <c r="B126" s="54">
        <v>45938</v>
      </c>
      <c r="C126" s="55" t="s">
        <v>377</v>
      </c>
      <c r="D126" s="57">
        <v>480000</v>
      </c>
      <c r="E126" s="57">
        <v>0</v>
      </c>
      <c r="F126" s="57">
        <v>480000</v>
      </c>
    </row>
    <row r="127" spans="1:6" ht="15" x14ac:dyDescent="0.4">
      <c r="A127" s="55" t="s">
        <v>502</v>
      </c>
      <c r="B127" s="54">
        <v>45939</v>
      </c>
      <c r="C127" s="55" t="s">
        <v>386</v>
      </c>
      <c r="D127" s="57">
        <v>170000</v>
      </c>
      <c r="E127" s="57">
        <v>0</v>
      </c>
      <c r="F127" s="57">
        <v>170000</v>
      </c>
    </row>
    <row r="128" spans="1:6" ht="15" x14ac:dyDescent="0.4">
      <c r="A128" s="55" t="s">
        <v>503</v>
      </c>
      <c r="B128" s="54">
        <v>45939</v>
      </c>
      <c r="C128" s="55" t="s">
        <v>55</v>
      </c>
      <c r="D128" s="57">
        <v>750000</v>
      </c>
      <c r="E128" s="57">
        <v>0</v>
      </c>
      <c r="F128" s="57">
        <v>750000</v>
      </c>
    </row>
    <row r="129" spans="1:6" ht="15" x14ac:dyDescent="0.4">
      <c r="A129" s="55" t="s">
        <v>504</v>
      </c>
      <c r="B129" s="54">
        <v>45940</v>
      </c>
      <c r="C129" s="55" t="s">
        <v>55</v>
      </c>
      <c r="D129" s="57">
        <v>150000</v>
      </c>
      <c r="E129" s="57">
        <v>0</v>
      </c>
      <c r="F129" s="57">
        <v>150000</v>
      </c>
    </row>
    <row r="130" spans="1:6" ht="15" x14ac:dyDescent="0.4">
      <c r="A130" s="55" t="s">
        <v>505</v>
      </c>
      <c r="B130" s="54">
        <v>45940</v>
      </c>
      <c r="C130" s="55" t="s">
        <v>55</v>
      </c>
      <c r="D130" s="57">
        <v>480000</v>
      </c>
      <c r="E130" s="57">
        <v>0</v>
      </c>
      <c r="F130" s="57">
        <v>480000</v>
      </c>
    </row>
    <row r="131" spans="1:6" ht="15" x14ac:dyDescent="0.4">
      <c r="A131" s="55" t="s">
        <v>506</v>
      </c>
      <c r="B131" s="54">
        <v>45942</v>
      </c>
      <c r="C131" s="55" t="s">
        <v>398</v>
      </c>
      <c r="D131" s="57">
        <v>170000</v>
      </c>
      <c r="E131" s="57">
        <v>0</v>
      </c>
      <c r="F131" s="57">
        <v>170000</v>
      </c>
    </row>
    <row r="132" spans="1:6" ht="15" x14ac:dyDescent="0.4">
      <c r="A132" s="55" t="s">
        <v>507</v>
      </c>
      <c r="B132" s="54">
        <v>45942</v>
      </c>
      <c r="C132" s="55" t="s">
        <v>61</v>
      </c>
      <c r="D132" s="57">
        <v>480000</v>
      </c>
      <c r="E132" s="57">
        <v>0</v>
      </c>
      <c r="F132" s="57">
        <v>480000</v>
      </c>
    </row>
    <row r="133" spans="1:6" ht="15" x14ac:dyDescent="0.4">
      <c r="A133" s="55" t="s">
        <v>508</v>
      </c>
      <c r="B133" s="54">
        <v>45943</v>
      </c>
      <c r="C133" s="55" t="s">
        <v>62</v>
      </c>
      <c r="D133" s="57">
        <v>150000</v>
      </c>
      <c r="E133" s="57">
        <v>0</v>
      </c>
      <c r="F133" s="57">
        <v>150000</v>
      </c>
    </row>
    <row r="134" spans="1:6" ht="15" x14ac:dyDescent="0.4">
      <c r="A134" s="55" t="s">
        <v>509</v>
      </c>
      <c r="B134" s="54">
        <v>45943</v>
      </c>
      <c r="C134" s="55" t="s">
        <v>55</v>
      </c>
      <c r="D134" s="57">
        <v>150000</v>
      </c>
      <c r="E134" s="57">
        <v>0</v>
      </c>
      <c r="F134" s="57">
        <v>150000</v>
      </c>
    </row>
    <row r="135" spans="1:6" ht="15" x14ac:dyDescent="0.4">
      <c r="A135" s="55" t="s">
        <v>510</v>
      </c>
      <c r="B135" s="54">
        <v>45944</v>
      </c>
      <c r="C135" s="55" t="s">
        <v>62</v>
      </c>
      <c r="D135" s="57">
        <v>170000</v>
      </c>
      <c r="E135" s="57">
        <v>0</v>
      </c>
      <c r="F135" s="57">
        <v>170000</v>
      </c>
    </row>
    <row r="136" spans="1:6" ht="15" x14ac:dyDescent="0.4">
      <c r="A136" s="55" t="s">
        <v>511</v>
      </c>
      <c r="B136" s="54">
        <v>45945</v>
      </c>
      <c r="C136" s="55" t="s">
        <v>386</v>
      </c>
      <c r="D136" s="57">
        <v>170000</v>
      </c>
      <c r="E136" s="57">
        <v>0</v>
      </c>
      <c r="F136" s="57">
        <v>170000</v>
      </c>
    </row>
    <row r="137" spans="1:6" ht="15" x14ac:dyDescent="0.4">
      <c r="A137" s="55" t="s">
        <v>512</v>
      </c>
      <c r="B137" s="54">
        <v>45946</v>
      </c>
      <c r="C137" s="55" t="s">
        <v>402</v>
      </c>
      <c r="D137" s="57">
        <v>170000</v>
      </c>
      <c r="E137" s="57">
        <v>0</v>
      </c>
      <c r="F137" s="57">
        <v>170000</v>
      </c>
    </row>
    <row r="138" spans="1:6" ht="15" x14ac:dyDescent="0.4">
      <c r="A138" s="55" t="s">
        <v>513</v>
      </c>
      <c r="B138" s="54">
        <v>45948</v>
      </c>
      <c r="C138" s="55" t="s">
        <v>386</v>
      </c>
      <c r="D138" s="57">
        <v>170000</v>
      </c>
      <c r="E138" s="57">
        <v>0</v>
      </c>
      <c r="F138" s="57">
        <v>170000</v>
      </c>
    </row>
    <row r="139" spans="1:6" ht="15" x14ac:dyDescent="0.4">
      <c r="A139" s="55" t="s">
        <v>514</v>
      </c>
      <c r="B139" s="54">
        <v>45948</v>
      </c>
      <c r="C139" s="55" t="s">
        <v>380</v>
      </c>
      <c r="D139" s="57">
        <v>750000</v>
      </c>
      <c r="E139" s="57">
        <v>0</v>
      </c>
      <c r="F139" s="57">
        <v>750000</v>
      </c>
    </row>
    <row r="140" spans="1:6" ht="15" x14ac:dyDescent="0.4">
      <c r="A140" s="55" t="s">
        <v>515</v>
      </c>
      <c r="B140" s="54">
        <v>45948</v>
      </c>
      <c r="C140" s="55" t="s">
        <v>386</v>
      </c>
      <c r="D140" s="57">
        <v>170000</v>
      </c>
      <c r="E140" s="57">
        <v>0</v>
      </c>
      <c r="F140" s="57">
        <v>170000</v>
      </c>
    </row>
    <row r="141" spans="1:6" ht="15" x14ac:dyDescent="0.4">
      <c r="A141" s="55" t="s">
        <v>516</v>
      </c>
      <c r="B141" s="54">
        <v>45951</v>
      </c>
      <c r="C141" s="55" t="s">
        <v>380</v>
      </c>
      <c r="D141" s="57">
        <v>170000</v>
      </c>
      <c r="E141" s="57">
        <v>0</v>
      </c>
      <c r="F141" s="57">
        <v>170000</v>
      </c>
    </row>
    <row r="142" spans="1:6" ht="15" x14ac:dyDescent="0.4">
      <c r="A142" s="55" t="s">
        <v>517</v>
      </c>
      <c r="B142" s="54">
        <v>45952</v>
      </c>
      <c r="C142" s="55" t="s">
        <v>59</v>
      </c>
      <c r="D142" s="57">
        <v>750000</v>
      </c>
      <c r="E142" s="57">
        <v>0</v>
      </c>
      <c r="F142" s="57">
        <v>750000</v>
      </c>
    </row>
    <row r="143" spans="1:6" ht="15" x14ac:dyDescent="0.4">
      <c r="A143" s="55" t="s">
        <v>518</v>
      </c>
      <c r="B143" s="54">
        <v>45953</v>
      </c>
      <c r="C143" s="55" t="s">
        <v>55</v>
      </c>
      <c r="D143" s="57">
        <v>480000</v>
      </c>
      <c r="E143" s="57">
        <v>0</v>
      </c>
      <c r="F143" s="57">
        <v>480000</v>
      </c>
    </row>
    <row r="144" spans="1:6" ht="15" x14ac:dyDescent="0.4">
      <c r="A144" s="55" t="s">
        <v>519</v>
      </c>
      <c r="B144" s="54">
        <v>45953</v>
      </c>
      <c r="C144" s="55" t="s">
        <v>55</v>
      </c>
      <c r="D144" s="57">
        <v>480000</v>
      </c>
      <c r="E144" s="57">
        <v>480000</v>
      </c>
      <c r="F144" s="57">
        <v>0</v>
      </c>
    </row>
    <row r="145" spans="1:6" ht="15" x14ac:dyDescent="0.4">
      <c r="A145" s="55" t="s">
        <v>520</v>
      </c>
      <c r="B145" s="54">
        <v>45954</v>
      </c>
      <c r="C145" s="55" t="s">
        <v>59</v>
      </c>
      <c r="D145" s="57">
        <v>750000</v>
      </c>
      <c r="E145" s="57">
        <v>0</v>
      </c>
      <c r="F145" s="57">
        <v>750000</v>
      </c>
    </row>
    <row r="146" spans="1:6" ht="15" x14ac:dyDescent="0.4">
      <c r="A146" s="55" t="s">
        <v>521</v>
      </c>
      <c r="B146" s="54">
        <v>45955</v>
      </c>
      <c r="C146" s="55" t="s">
        <v>398</v>
      </c>
      <c r="D146" s="57">
        <v>480000</v>
      </c>
      <c r="E146" s="57">
        <v>0</v>
      </c>
      <c r="F146" s="57">
        <v>480000</v>
      </c>
    </row>
    <row r="147" spans="1:6" ht="15" x14ac:dyDescent="0.4">
      <c r="A147" s="55" t="s">
        <v>522</v>
      </c>
      <c r="B147" s="54">
        <v>45955</v>
      </c>
      <c r="C147" s="55" t="s">
        <v>386</v>
      </c>
      <c r="D147" s="57">
        <v>480000</v>
      </c>
      <c r="E147" s="57">
        <v>0</v>
      </c>
      <c r="F147" s="57">
        <v>480000</v>
      </c>
    </row>
    <row r="148" spans="1:6" ht="15" x14ac:dyDescent="0.4">
      <c r="A148" s="55" t="s">
        <v>523</v>
      </c>
      <c r="B148" s="54">
        <v>45955</v>
      </c>
      <c r="C148" s="55" t="s">
        <v>59</v>
      </c>
      <c r="D148" s="57">
        <v>480000</v>
      </c>
      <c r="E148" s="57">
        <v>0</v>
      </c>
      <c r="F148" s="57">
        <v>480000</v>
      </c>
    </row>
    <row r="149" spans="1:6" ht="15" x14ac:dyDescent="0.4">
      <c r="A149" s="55" t="s">
        <v>524</v>
      </c>
      <c r="B149" s="54">
        <v>45956</v>
      </c>
      <c r="C149" s="55" t="s">
        <v>386</v>
      </c>
      <c r="D149" s="57">
        <v>170000</v>
      </c>
      <c r="E149" s="57">
        <v>0</v>
      </c>
      <c r="F149" s="57">
        <v>170000</v>
      </c>
    </row>
    <row r="150" spans="1:6" ht="15" x14ac:dyDescent="0.4">
      <c r="A150" s="55" t="s">
        <v>525</v>
      </c>
      <c r="B150" s="54">
        <v>45956</v>
      </c>
      <c r="C150" s="55" t="s">
        <v>398</v>
      </c>
      <c r="D150" s="57">
        <v>150000</v>
      </c>
      <c r="E150" s="57">
        <v>0</v>
      </c>
      <c r="F150" s="57">
        <v>150000</v>
      </c>
    </row>
    <row r="151" spans="1:6" ht="15" x14ac:dyDescent="0.4">
      <c r="A151" s="55" t="s">
        <v>526</v>
      </c>
      <c r="B151" s="54">
        <v>45956</v>
      </c>
      <c r="C151" s="55" t="s">
        <v>380</v>
      </c>
      <c r="D151" s="57">
        <v>170000</v>
      </c>
      <c r="E151" s="57">
        <v>0</v>
      </c>
      <c r="F151" s="57">
        <v>170000</v>
      </c>
    </row>
    <row r="152" spans="1:6" ht="15" x14ac:dyDescent="0.4">
      <c r="A152" s="55" t="s">
        <v>527</v>
      </c>
      <c r="B152" s="54">
        <v>45956</v>
      </c>
      <c r="C152" s="55" t="s">
        <v>63</v>
      </c>
      <c r="D152" s="57">
        <v>170000</v>
      </c>
      <c r="E152" s="57">
        <v>0</v>
      </c>
      <c r="F152" s="57">
        <v>170000</v>
      </c>
    </row>
    <row r="153" spans="1:6" ht="15" x14ac:dyDescent="0.4">
      <c r="A153" s="55" t="s">
        <v>528</v>
      </c>
      <c r="B153" s="54">
        <v>45956</v>
      </c>
      <c r="C153" s="55" t="s">
        <v>55</v>
      </c>
      <c r="D153" s="57">
        <v>480000</v>
      </c>
      <c r="E153" s="57">
        <v>0</v>
      </c>
      <c r="F153" s="57">
        <v>480000</v>
      </c>
    </row>
    <row r="154" spans="1:6" ht="15" x14ac:dyDescent="0.4">
      <c r="A154" s="55" t="s">
        <v>529</v>
      </c>
      <c r="B154" s="54">
        <v>45957</v>
      </c>
      <c r="C154" s="55" t="s">
        <v>62</v>
      </c>
      <c r="D154" s="57">
        <v>170000</v>
      </c>
      <c r="E154" s="57">
        <v>0</v>
      </c>
      <c r="F154" s="57">
        <v>170000</v>
      </c>
    </row>
    <row r="155" spans="1:6" ht="15" x14ac:dyDescent="0.4">
      <c r="A155" s="55" t="s">
        <v>530</v>
      </c>
      <c r="B155" s="54">
        <v>45957</v>
      </c>
      <c r="C155" s="55" t="s">
        <v>386</v>
      </c>
      <c r="D155" s="57">
        <v>170000</v>
      </c>
      <c r="E155" s="57">
        <v>0</v>
      </c>
      <c r="F155" s="57">
        <v>170000</v>
      </c>
    </row>
    <row r="156" spans="1:6" ht="15" x14ac:dyDescent="0.4">
      <c r="A156" s="55" t="s">
        <v>531</v>
      </c>
      <c r="B156" s="54">
        <v>45958</v>
      </c>
      <c r="C156" s="55" t="s">
        <v>61</v>
      </c>
      <c r="D156" s="57">
        <v>170000</v>
      </c>
      <c r="E156" s="57">
        <v>0</v>
      </c>
      <c r="F156" s="57">
        <v>170000</v>
      </c>
    </row>
    <row r="157" spans="1:6" ht="15" x14ac:dyDescent="0.4">
      <c r="A157" s="55" t="s">
        <v>532</v>
      </c>
      <c r="B157" s="54">
        <v>45958</v>
      </c>
      <c r="C157" s="55" t="s">
        <v>57</v>
      </c>
      <c r="D157" s="57">
        <v>750000</v>
      </c>
      <c r="E157" s="57">
        <v>0</v>
      </c>
      <c r="F157" s="57">
        <v>750000</v>
      </c>
    </row>
    <row r="158" spans="1:6" ht="15" x14ac:dyDescent="0.4">
      <c r="A158" s="55" t="s">
        <v>533</v>
      </c>
      <c r="B158" s="54">
        <v>45958</v>
      </c>
      <c r="C158" s="55" t="s">
        <v>398</v>
      </c>
      <c r="D158" s="57">
        <v>480000</v>
      </c>
      <c r="E158" s="57">
        <v>0</v>
      </c>
      <c r="F158" s="57">
        <v>480000</v>
      </c>
    </row>
    <row r="159" spans="1:6" ht="15" x14ac:dyDescent="0.4">
      <c r="A159" s="55" t="s">
        <v>534</v>
      </c>
      <c r="B159" s="54">
        <v>45958</v>
      </c>
      <c r="C159" s="55" t="s">
        <v>55</v>
      </c>
      <c r="D159" s="57">
        <v>150000</v>
      </c>
      <c r="E159" s="57">
        <v>0</v>
      </c>
      <c r="F159" s="57">
        <v>150000</v>
      </c>
    </row>
    <row r="160" spans="1:6" ht="15" x14ac:dyDescent="0.4">
      <c r="A160" s="55" t="s">
        <v>535</v>
      </c>
      <c r="B160" s="54">
        <v>45959</v>
      </c>
      <c r="C160" s="55" t="s">
        <v>377</v>
      </c>
      <c r="D160" s="57">
        <v>170000</v>
      </c>
      <c r="E160" s="57">
        <v>0</v>
      </c>
      <c r="F160" s="57">
        <v>170000</v>
      </c>
    </row>
    <row r="161" spans="1:6" ht="15" x14ac:dyDescent="0.4">
      <c r="A161" s="55" t="s">
        <v>536</v>
      </c>
      <c r="B161" s="54">
        <v>45959</v>
      </c>
      <c r="C161" s="55" t="s">
        <v>62</v>
      </c>
      <c r="D161" s="57">
        <v>170000</v>
      </c>
      <c r="E161" s="57">
        <v>0</v>
      </c>
      <c r="F161" s="57">
        <v>170000</v>
      </c>
    </row>
    <row r="162" spans="1:6" ht="15" x14ac:dyDescent="0.4">
      <c r="A162" s="55" t="s">
        <v>537</v>
      </c>
      <c r="B162" s="54">
        <v>45959</v>
      </c>
      <c r="C162" s="55" t="s">
        <v>61</v>
      </c>
      <c r="D162" s="57">
        <v>170000</v>
      </c>
      <c r="E162" s="57">
        <v>0</v>
      </c>
      <c r="F162" s="57">
        <v>170000</v>
      </c>
    </row>
    <row r="163" spans="1:6" ht="15" x14ac:dyDescent="0.4">
      <c r="A163" s="55" t="s">
        <v>538</v>
      </c>
      <c r="B163" s="54">
        <v>45959</v>
      </c>
      <c r="C163" s="55" t="s">
        <v>61</v>
      </c>
      <c r="D163" s="57">
        <v>170000</v>
      </c>
      <c r="E163" s="57">
        <v>0</v>
      </c>
      <c r="F163" s="57">
        <v>170000</v>
      </c>
    </row>
    <row r="164" spans="1:6" ht="15" x14ac:dyDescent="0.4">
      <c r="A164" s="55" t="s">
        <v>539</v>
      </c>
      <c r="B164" s="54">
        <v>45959</v>
      </c>
      <c r="C164" s="55" t="s">
        <v>402</v>
      </c>
      <c r="D164" s="57">
        <v>170000</v>
      </c>
      <c r="E164" s="57">
        <v>0</v>
      </c>
      <c r="F164" s="57">
        <v>170000</v>
      </c>
    </row>
    <row r="165" spans="1:6" ht="15" x14ac:dyDescent="0.4">
      <c r="A165" s="55" t="s">
        <v>540</v>
      </c>
      <c r="B165" s="54">
        <v>45959</v>
      </c>
      <c r="C165" s="55" t="s">
        <v>59</v>
      </c>
      <c r="D165" s="57">
        <v>150000</v>
      </c>
      <c r="E165" s="57">
        <v>0</v>
      </c>
      <c r="F165" s="57">
        <v>150000</v>
      </c>
    </row>
    <row r="166" spans="1:6" ht="15" x14ac:dyDescent="0.4">
      <c r="A166" s="55" t="s">
        <v>541</v>
      </c>
      <c r="B166" s="54">
        <v>45960</v>
      </c>
      <c r="C166" s="55" t="s">
        <v>55</v>
      </c>
      <c r="D166" s="57">
        <v>170000</v>
      </c>
      <c r="E166" s="57">
        <v>0</v>
      </c>
      <c r="F166" s="57">
        <v>170000</v>
      </c>
    </row>
    <row r="167" spans="1:6" ht="15" x14ac:dyDescent="0.4">
      <c r="A167" s="55" t="s">
        <v>542</v>
      </c>
      <c r="B167" s="54">
        <v>45960</v>
      </c>
      <c r="C167" s="55" t="s">
        <v>63</v>
      </c>
      <c r="D167" s="57">
        <v>170000</v>
      </c>
      <c r="E167" s="57">
        <v>0</v>
      </c>
      <c r="F167" s="57">
        <v>170000</v>
      </c>
    </row>
    <row r="168" spans="1:6" ht="15" x14ac:dyDescent="0.4">
      <c r="A168" s="55" t="s">
        <v>543</v>
      </c>
      <c r="B168" s="54">
        <v>45961</v>
      </c>
      <c r="C168" s="55" t="s">
        <v>59</v>
      </c>
      <c r="D168" s="57">
        <v>150000</v>
      </c>
      <c r="E168" s="57">
        <v>0</v>
      </c>
      <c r="F168" s="57">
        <v>150000</v>
      </c>
    </row>
    <row r="169" spans="1:6" ht="15" x14ac:dyDescent="0.4">
      <c r="A169" s="55" t="s">
        <v>544</v>
      </c>
      <c r="B169" s="54">
        <v>45962</v>
      </c>
      <c r="C169" s="55" t="s">
        <v>63</v>
      </c>
      <c r="D169" s="57">
        <v>170000</v>
      </c>
      <c r="E169" s="57">
        <v>0</v>
      </c>
      <c r="F169" s="57">
        <v>170000</v>
      </c>
    </row>
    <row r="170" spans="1:6" ht="15" x14ac:dyDescent="0.4">
      <c r="A170" s="55" t="s">
        <v>545</v>
      </c>
      <c r="B170" s="54">
        <v>45962</v>
      </c>
      <c r="C170" s="55" t="s">
        <v>61</v>
      </c>
      <c r="D170" s="57">
        <v>480000</v>
      </c>
      <c r="E170" s="57">
        <v>0</v>
      </c>
      <c r="F170" s="57">
        <v>480000</v>
      </c>
    </row>
    <row r="171" spans="1:6" ht="15" x14ac:dyDescent="0.4">
      <c r="A171" s="55" t="s">
        <v>546</v>
      </c>
      <c r="B171" s="54">
        <v>45964</v>
      </c>
      <c r="C171" s="55" t="s">
        <v>55</v>
      </c>
      <c r="D171" s="57">
        <v>170000</v>
      </c>
      <c r="E171" s="57">
        <v>0</v>
      </c>
      <c r="F171" s="57">
        <v>170000</v>
      </c>
    </row>
    <row r="172" spans="1:6" ht="15" x14ac:dyDescent="0.4">
      <c r="A172" s="55" t="s">
        <v>547</v>
      </c>
      <c r="B172" s="54">
        <v>45964</v>
      </c>
      <c r="C172" s="55" t="s">
        <v>380</v>
      </c>
      <c r="D172" s="57">
        <v>480000</v>
      </c>
      <c r="E172" s="57">
        <v>0</v>
      </c>
      <c r="F172" s="57">
        <v>480000</v>
      </c>
    </row>
    <row r="173" spans="1:6" ht="15" x14ac:dyDescent="0.4">
      <c r="A173" s="55" t="s">
        <v>548</v>
      </c>
      <c r="B173" s="54">
        <v>45965</v>
      </c>
      <c r="C173" s="55" t="s">
        <v>55</v>
      </c>
      <c r="D173" s="57">
        <v>170000</v>
      </c>
      <c r="E173" s="57">
        <v>0</v>
      </c>
      <c r="F173" s="57">
        <v>170000</v>
      </c>
    </row>
    <row r="174" spans="1:6" ht="15" x14ac:dyDescent="0.4">
      <c r="A174" s="55" t="s">
        <v>549</v>
      </c>
      <c r="B174" s="54">
        <v>45965</v>
      </c>
      <c r="C174" s="55" t="s">
        <v>62</v>
      </c>
      <c r="D174" s="57">
        <v>480000</v>
      </c>
      <c r="E174" s="57">
        <v>0</v>
      </c>
      <c r="F174" s="57">
        <v>480000</v>
      </c>
    </row>
    <row r="175" spans="1:6" ht="15" x14ac:dyDescent="0.4">
      <c r="A175" s="55" t="s">
        <v>550</v>
      </c>
      <c r="B175" s="54">
        <v>45965</v>
      </c>
      <c r="C175" s="55" t="s">
        <v>55</v>
      </c>
      <c r="D175" s="57">
        <v>480000</v>
      </c>
      <c r="E175" s="57">
        <v>0</v>
      </c>
      <c r="F175" s="57">
        <v>480000</v>
      </c>
    </row>
    <row r="176" spans="1:6" ht="15" x14ac:dyDescent="0.4">
      <c r="A176" s="55" t="s">
        <v>551</v>
      </c>
      <c r="B176" s="54">
        <v>45965</v>
      </c>
      <c r="C176" s="55" t="s">
        <v>57</v>
      </c>
      <c r="D176" s="57">
        <v>480000</v>
      </c>
      <c r="E176" s="57">
        <v>0</v>
      </c>
      <c r="F176" s="57">
        <v>480000</v>
      </c>
    </row>
    <row r="177" spans="1:6" ht="15" x14ac:dyDescent="0.4">
      <c r="A177" s="55" t="s">
        <v>552</v>
      </c>
      <c r="B177" s="54">
        <v>45967</v>
      </c>
      <c r="C177" s="55" t="s">
        <v>61</v>
      </c>
      <c r="D177" s="57">
        <v>170000</v>
      </c>
      <c r="E177" s="57">
        <v>0</v>
      </c>
      <c r="F177" s="57">
        <v>170000</v>
      </c>
    </row>
    <row r="178" spans="1:6" ht="15" x14ac:dyDescent="0.4">
      <c r="A178" s="55" t="s">
        <v>553</v>
      </c>
      <c r="B178" s="54">
        <v>45967</v>
      </c>
      <c r="C178" s="55" t="s">
        <v>377</v>
      </c>
      <c r="D178" s="57">
        <v>750000</v>
      </c>
      <c r="E178" s="57">
        <v>0</v>
      </c>
      <c r="F178" s="57">
        <v>750000</v>
      </c>
    </row>
    <row r="179" spans="1:6" ht="15" x14ac:dyDescent="0.4">
      <c r="A179" s="55" t="s">
        <v>554</v>
      </c>
      <c r="B179" s="54">
        <v>45968</v>
      </c>
      <c r="C179" s="55" t="s">
        <v>55</v>
      </c>
      <c r="D179" s="57">
        <v>170000</v>
      </c>
      <c r="E179" s="57">
        <v>0</v>
      </c>
      <c r="F179" s="57">
        <v>170000</v>
      </c>
    </row>
    <row r="180" spans="1:6" ht="15" x14ac:dyDescent="0.4">
      <c r="A180" s="55" t="s">
        <v>555</v>
      </c>
      <c r="B180" s="54">
        <v>45969</v>
      </c>
      <c r="C180" s="55" t="s">
        <v>61</v>
      </c>
      <c r="D180" s="57">
        <v>150000</v>
      </c>
      <c r="E180" s="57">
        <v>0</v>
      </c>
      <c r="F180" s="57">
        <v>150000</v>
      </c>
    </row>
    <row r="181" spans="1:6" ht="15" x14ac:dyDescent="0.4">
      <c r="A181" s="55" t="s">
        <v>556</v>
      </c>
      <c r="B181" s="54">
        <v>45970</v>
      </c>
      <c r="C181" s="55" t="s">
        <v>62</v>
      </c>
      <c r="D181" s="57">
        <v>170000</v>
      </c>
      <c r="E181" s="57">
        <v>0</v>
      </c>
      <c r="F181" s="57">
        <v>170000</v>
      </c>
    </row>
    <row r="182" spans="1:6" ht="15" x14ac:dyDescent="0.4">
      <c r="A182" s="55" t="s">
        <v>557</v>
      </c>
      <c r="B182" s="54">
        <v>45971</v>
      </c>
      <c r="C182" s="55" t="s">
        <v>59</v>
      </c>
      <c r="D182" s="57">
        <v>170000</v>
      </c>
      <c r="E182" s="57">
        <v>170000</v>
      </c>
      <c r="F182" s="57">
        <v>0</v>
      </c>
    </row>
    <row r="183" spans="1:6" ht="15" x14ac:dyDescent="0.4">
      <c r="A183" s="55" t="s">
        <v>558</v>
      </c>
      <c r="B183" s="54">
        <v>45971</v>
      </c>
      <c r="C183" s="55" t="s">
        <v>55</v>
      </c>
      <c r="D183" s="57">
        <v>170000</v>
      </c>
      <c r="E183" s="57">
        <v>0</v>
      </c>
      <c r="F183" s="57">
        <v>170000</v>
      </c>
    </row>
    <row r="184" spans="1:6" ht="15" x14ac:dyDescent="0.4">
      <c r="A184" s="55" t="s">
        <v>559</v>
      </c>
      <c r="B184" s="54">
        <v>45971</v>
      </c>
      <c r="C184" s="55" t="s">
        <v>398</v>
      </c>
      <c r="D184" s="57">
        <v>1500000</v>
      </c>
      <c r="E184" s="57">
        <v>0</v>
      </c>
      <c r="F184" s="57">
        <v>1500000</v>
      </c>
    </row>
    <row r="185" spans="1:6" ht="15" x14ac:dyDescent="0.4">
      <c r="A185" s="55" t="s">
        <v>560</v>
      </c>
      <c r="B185" s="54">
        <v>45972</v>
      </c>
      <c r="C185" s="55" t="s">
        <v>398</v>
      </c>
      <c r="D185" s="57">
        <v>170000</v>
      </c>
      <c r="E185" s="57">
        <v>0</v>
      </c>
      <c r="F185" s="57">
        <v>170000</v>
      </c>
    </row>
    <row r="186" spans="1:6" ht="15" x14ac:dyDescent="0.4">
      <c r="A186" s="55" t="s">
        <v>561</v>
      </c>
      <c r="B186" s="54">
        <v>45972</v>
      </c>
      <c r="C186" s="55" t="s">
        <v>55</v>
      </c>
      <c r="D186" s="57">
        <v>170000</v>
      </c>
      <c r="E186" s="57">
        <v>0</v>
      </c>
      <c r="F186" s="57">
        <v>170000</v>
      </c>
    </row>
    <row r="187" spans="1:6" ht="15" x14ac:dyDescent="0.4">
      <c r="A187" s="55" t="s">
        <v>562</v>
      </c>
      <c r="B187" s="54">
        <v>45972</v>
      </c>
      <c r="C187" s="55" t="s">
        <v>63</v>
      </c>
      <c r="D187" s="57">
        <v>170000</v>
      </c>
      <c r="E187" s="57">
        <v>0</v>
      </c>
      <c r="F187" s="57">
        <v>170000</v>
      </c>
    </row>
    <row r="188" spans="1:6" ht="15" x14ac:dyDescent="0.4">
      <c r="A188" s="55" t="s">
        <v>563</v>
      </c>
      <c r="B188" s="54">
        <v>45972</v>
      </c>
      <c r="C188" s="55" t="s">
        <v>55</v>
      </c>
      <c r="D188" s="57">
        <v>170000</v>
      </c>
      <c r="E188" s="57">
        <v>0</v>
      </c>
      <c r="F188" s="57">
        <v>170000</v>
      </c>
    </row>
    <row r="189" spans="1:6" ht="15" x14ac:dyDescent="0.4">
      <c r="A189" s="55" t="s">
        <v>564</v>
      </c>
      <c r="B189" s="54">
        <v>45973</v>
      </c>
      <c r="C189" s="55" t="s">
        <v>55</v>
      </c>
      <c r="D189" s="57">
        <v>480000</v>
      </c>
      <c r="E189" s="57">
        <v>0</v>
      </c>
      <c r="F189" s="57">
        <v>480000</v>
      </c>
    </row>
    <row r="190" spans="1:6" ht="15" x14ac:dyDescent="0.4">
      <c r="A190" s="55" t="s">
        <v>565</v>
      </c>
      <c r="B190" s="54">
        <v>45974</v>
      </c>
      <c r="C190" s="55" t="s">
        <v>62</v>
      </c>
      <c r="D190" s="57">
        <v>170000</v>
      </c>
      <c r="E190" s="57">
        <v>0</v>
      </c>
      <c r="F190" s="57">
        <v>170000</v>
      </c>
    </row>
    <row r="191" spans="1:6" ht="15" x14ac:dyDescent="0.4">
      <c r="A191" s="55" t="s">
        <v>566</v>
      </c>
      <c r="B191" s="54">
        <v>45974</v>
      </c>
      <c r="C191" s="55" t="s">
        <v>59</v>
      </c>
      <c r="D191" s="57">
        <v>170000</v>
      </c>
      <c r="E191" s="57">
        <v>0</v>
      </c>
      <c r="F191" s="57">
        <v>170000</v>
      </c>
    </row>
    <row r="192" spans="1:6" ht="15" x14ac:dyDescent="0.4">
      <c r="A192" s="55" t="s">
        <v>567</v>
      </c>
      <c r="B192" s="54">
        <v>45974</v>
      </c>
      <c r="C192" s="55" t="s">
        <v>59</v>
      </c>
      <c r="D192" s="57">
        <v>150000</v>
      </c>
      <c r="E192" s="57">
        <v>0</v>
      </c>
      <c r="F192" s="57">
        <v>150000</v>
      </c>
    </row>
    <row r="193" spans="1:6" ht="15" x14ac:dyDescent="0.4">
      <c r="A193" s="55" t="s">
        <v>568</v>
      </c>
      <c r="B193" s="54">
        <v>45975</v>
      </c>
      <c r="C193" s="55" t="s">
        <v>386</v>
      </c>
      <c r="D193" s="57">
        <v>170000</v>
      </c>
      <c r="E193" s="57">
        <v>0</v>
      </c>
      <c r="F193" s="57">
        <v>170000</v>
      </c>
    </row>
    <row r="194" spans="1:6" ht="15" x14ac:dyDescent="0.4">
      <c r="A194" s="55" t="s">
        <v>569</v>
      </c>
      <c r="B194" s="54">
        <v>45975</v>
      </c>
      <c r="C194" s="55" t="s">
        <v>377</v>
      </c>
      <c r="D194" s="57">
        <v>150000</v>
      </c>
      <c r="E194" s="57">
        <v>0</v>
      </c>
      <c r="F194" s="57">
        <v>150000</v>
      </c>
    </row>
    <row r="195" spans="1:6" ht="15" x14ac:dyDescent="0.4">
      <c r="A195" s="55" t="s">
        <v>570</v>
      </c>
      <c r="B195" s="54">
        <v>45975</v>
      </c>
      <c r="C195" s="55" t="s">
        <v>63</v>
      </c>
      <c r="D195" s="57">
        <v>170000</v>
      </c>
      <c r="E195" s="57">
        <v>0</v>
      </c>
      <c r="F195" s="57">
        <v>170000</v>
      </c>
    </row>
    <row r="196" spans="1:6" ht="15" x14ac:dyDescent="0.4">
      <c r="A196" s="55" t="s">
        <v>571</v>
      </c>
      <c r="B196" s="54">
        <v>45975</v>
      </c>
      <c r="C196" s="55" t="s">
        <v>55</v>
      </c>
      <c r="D196" s="57">
        <v>150000</v>
      </c>
      <c r="E196" s="57">
        <v>0</v>
      </c>
      <c r="F196" s="57">
        <v>150000</v>
      </c>
    </row>
    <row r="197" spans="1:6" ht="15" x14ac:dyDescent="0.4">
      <c r="A197" s="55" t="s">
        <v>572</v>
      </c>
      <c r="B197" s="54">
        <v>45975</v>
      </c>
      <c r="C197" s="55" t="s">
        <v>55</v>
      </c>
      <c r="D197" s="57">
        <v>150000</v>
      </c>
      <c r="E197" s="57">
        <v>75000</v>
      </c>
      <c r="F197" s="57">
        <v>75000</v>
      </c>
    </row>
    <row r="198" spans="1:6" ht="15" x14ac:dyDescent="0.4">
      <c r="A198" s="55" t="s">
        <v>573</v>
      </c>
      <c r="B198" s="54">
        <v>45976</v>
      </c>
      <c r="C198" s="55" t="s">
        <v>380</v>
      </c>
      <c r="D198" s="57">
        <v>150000</v>
      </c>
      <c r="E198" s="57">
        <v>0</v>
      </c>
      <c r="F198" s="57">
        <v>150000</v>
      </c>
    </row>
    <row r="199" spans="1:6" ht="15" x14ac:dyDescent="0.4">
      <c r="A199" s="55" t="s">
        <v>574</v>
      </c>
      <c r="B199" s="54">
        <v>45977</v>
      </c>
      <c r="C199" s="55" t="s">
        <v>59</v>
      </c>
      <c r="D199" s="57">
        <v>750000</v>
      </c>
      <c r="E199" s="57">
        <v>0</v>
      </c>
      <c r="F199" s="57">
        <v>750000</v>
      </c>
    </row>
    <row r="200" spans="1:6" ht="15" x14ac:dyDescent="0.4">
      <c r="A200" s="55" t="s">
        <v>575</v>
      </c>
      <c r="B200" s="54">
        <v>45978</v>
      </c>
      <c r="C200" s="55" t="s">
        <v>386</v>
      </c>
      <c r="D200" s="57">
        <v>170000</v>
      </c>
      <c r="E200" s="57">
        <v>0</v>
      </c>
      <c r="F200" s="57">
        <v>170000</v>
      </c>
    </row>
    <row r="201" spans="1:6" ht="15" x14ac:dyDescent="0.4">
      <c r="A201" s="55" t="s">
        <v>576</v>
      </c>
      <c r="B201" s="54">
        <v>45979</v>
      </c>
      <c r="C201" s="55" t="s">
        <v>386</v>
      </c>
      <c r="D201" s="57">
        <v>170000</v>
      </c>
      <c r="E201" s="57">
        <v>0</v>
      </c>
      <c r="F201" s="57">
        <v>170000</v>
      </c>
    </row>
    <row r="202" spans="1:6" ht="15" x14ac:dyDescent="0.4">
      <c r="A202" s="55" t="s">
        <v>577</v>
      </c>
      <c r="B202" s="54">
        <v>45979</v>
      </c>
      <c r="C202" s="55" t="s">
        <v>61</v>
      </c>
      <c r="D202" s="57">
        <v>480000</v>
      </c>
      <c r="E202" s="57">
        <v>0</v>
      </c>
      <c r="F202" s="57">
        <v>480000</v>
      </c>
    </row>
    <row r="203" spans="1:6" ht="15" x14ac:dyDescent="0.4">
      <c r="A203" s="55" t="s">
        <v>578</v>
      </c>
      <c r="B203" s="54">
        <v>45981</v>
      </c>
      <c r="C203" s="55" t="s">
        <v>380</v>
      </c>
      <c r="D203" s="57">
        <v>170000</v>
      </c>
      <c r="E203" s="57">
        <v>0</v>
      </c>
      <c r="F203" s="57">
        <v>170000</v>
      </c>
    </row>
    <row r="204" spans="1:6" ht="15" x14ac:dyDescent="0.4">
      <c r="A204" s="55" t="s">
        <v>579</v>
      </c>
      <c r="B204" s="54">
        <v>45982</v>
      </c>
      <c r="C204" s="55" t="s">
        <v>59</v>
      </c>
      <c r="D204" s="57">
        <v>750000</v>
      </c>
      <c r="E204" s="57">
        <v>0</v>
      </c>
      <c r="F204" s="57">
        <v>750000</v>
      </c>
    </row>
    <row r="205" spans="1:6" ht="15" x14ac:dyDescent="0.4">
      <c r="A205" s="55" t="s">
        <v>580</v>
      </c>
      <c r="B205" s="54">
        <v>45982</v>
      </c>
      <c r="C205" s="55" t="s">
        <v>61</v>
      </c>
      <c r="D205" s="57">
        <v>480000</v>
      </c>
      <c r="E205" s="57">
        <v>0</v>
      </c>
      <c r="F205" s="57">
        <v>480000</v>
      </c>
    </row>
    <row r="206" spans="1:6" ht="15" x14ac:dyDescent="0.4">
      <c r="A206" s="55" t="s">
        <v>581</v>
      </c>
      <c r="B206" s="54">
        <v>45983</v>
      </c>
      <c r="C206" s="55" t="s">
        <v>59</v>
      </c>
      <c r="D206" s="57">
        <v>150000</v>
      </c>
      <c r="E206" s="57">
        <v>0</v>
      </c>
      <c r="F206" s="57">
        <v>150000</v>
      </c>
    </row>
    <row r="207" spans="1:6" ht="15" x14ac:dyDescent="0.4">
      <c r="A207" s="55" t="s">
        <v>582</v>
      </c>
      <c r="B207" s="54">
        <v>45983</v>
      </c>
      <c r="C207" s="55" t="s">
        <v>59</v>
      </c>
      <c r="D207" s="57">
        <v>480000</v>
      </c>
      <c r="E207" s="57">
        <v>0</v>
      </c>
      <c r="F207" s="57">
        <v>480000</v>
      </c>
    </row>
    <row r="208" spans="1:6" ht="15" x14ac:dyDescent="0.4">
      <c r="A208" s="55" t="s">
        <v>583</v>
      </c>
      <c r="B208" s="54">
        <v>45983</v>
      </c>
      <c r="C208" s="55" t="s">
        <v>62</v>
      </c>
      <c r="D208" s="57">
        <v>480000</v>
      </c>
      <c r="E208" s="57">
        <v>0</v>
      </c>
      <c r="F208" s="57">
        <v>480000</v>
      </c>
    </row>
    <row r="209" spans="1:6" ht="15" x14ac:dyDescent="0.4">
      <c r="A209" s="55" t="s">
        <v>584</v>
      </c>
      <c r="B209" s="54">
        <v>45984</v>
      </c>
      <c r="C209" s="55" t="s">
        <v>59</v>
      </c>
      <c r="D209" s="57">
        <v>750000</v>
      </c>
      <c r="E209" s="57">
        <v>0</v>
      </c>
      <c r="F209" s="57">
        <v>750000</v>
      </c>
    </row>
    <row r="210" spans="1:6" ht="15" x14ac:dyDescent="0.4">
      <c r="A210" s="55" t="s">
        <v>585</v>
      </c>
      <c r="B210" s="54">
        <v>45984</v>
      </c>
      <c r="C210" s="55" t="s">
        <v>586</v>
      </c>
      <c r="D210" s="57">
        <v>480000</v>
      </c>
      <c r="E210" s="57">
        <v>0</v>
      </c>
      <c r="F210" s="57">
        <v>480000</v>
      </c>
    </row>
    <row r="211" spans="1:6" ht="15" x14ac:dyDescent="0.4">
      <c r="A211" s="55" t="s">
        <v>587</v>
      </c>
      <c r="B211" s="54">
        <v>45985</v>
      </c>
      <c r="C211" s="55" t="s">
        <v>62</v>
      </c>
      <c r="D211" s="57">
        <v>480000</v>
      </c>
      <c r="E211" s="57">
        <v>0</v>
      </c>
      <c r="F211" s="57">
        <v>480000</v>
      </c>
    </row>
    <row r="212" spans="1:6" ht="15" x14ac:dyDescent="0.4">
      <c r="A212" s="55" t="s">
        <v>588</v>
      </c>
      <c r="B212" s="54">
        <v>45986</v>
      </c>
      <c r="C212" s="55" t="s">
        <v>380</v>
      </c>
      <c r="D212" s="57">
        <v>170000</v>
      </c>
      <c r="E212" s="57">
        <v>0</v>
      </c>
      <c r="F212" s="57">
        <v>170000</v>
      </c>
    </row>
    <row r="213" spans="1:6" ht="15" x14ac:dyDescent="0.4">
      <c r="A213" s="55" t="s">
        <v>589</v>
      </c>
      <c r="B213" s="54">
        <v>45986</v>
      </c>
      <c r="C213" s="55" t="s">
        <v>63</v>
      </c>
      <c r="D213" s="57">
        <v>170000</v>
      </c>
      <c r="E213" s="57">
        <v>0</v>
      </c>
      <c r="F213" s="57">
        <v>170000</v>
      </c>
    </row>
    <row r="214" spans="1:6" ht="15" x14ac:dyDescent="0.4">
      <c r="A214" s="55" t="s">
        <v>590</v>
      </c>
      <c r="B214" s="54">
        <v>45986</v>
      </c>
      <c r="C214" s="55" t="s">
        <v>586</v>
      </c>
      <c r="D214" s="57">
        <v>150000</v>
      </c>
      <c r="E214" s="57">
        <v>0</v>
      </c>
      <c r="F214" s="57">
        <v>150000</v>
      </c>
    </row>
    <row r="215" spans="1:6" ht="15" x14ac:dyDescent="0.4">
      <c r="A215" s="55" t="s">
        <v>591</v>
      </c>
      <c r="B215" s="54">
        <v>45987</v>
      </c>
      <c r="C215" s="55" t="s">
        <v>386</v>
      </c>
      <c r="D215" s="57">
        <v>170000</v>
      </c>
      <c r="E215" s="57">
        <v>0</v>
      </c>
      <c r="F215" s="57">
        <v>170000</v>
      </c>
    </row>
    <row r="216" spans="1:6" ht="15" x14ac:dyDescent="0.4">
      <c r="A216" s="55" t="s">
        <v>592</v>
      </c>
      <c r="B216" s="54">
        <v>45989</v>
      </c>
      <c r="C216" s="55" t="s">
        <v>62</v>
      </c>
      <c r="D216" s="57">
        <v>170000</v>
      </c>
      <c r="E216" s="57">
        <v>0</v>
      </c>
      <c r="F216" s="57">
        <v>170000</v>
      </c>
    </row>
    <row r="217" spans="1:6" ht="15" x14ac:dyDescent="0.4">
      <c r="A217" s="55" t="s">
        <v>593</v>
      </c>
      <c r="B217" s="54">
        <v>45989</v>
      </c>
      <c r="C217" s="55" t="s">
        <v>61</v>
      </c>
      <c r="D217" s="57">
        <v>170000</v>
      </c>
      <c r="E217" s="57">
        <v>0</v>
      </c>
      <c r="F217" s="57">
        <v>170000</v>
      </c>
    </row>
    <row r="218" spans="1:6" ht="15" x14ac:dyDescent="0.4">
      <c r="A218" s="55" t="s">
        <v>594</v>
      </c>
      <c r="B218" s="54">
        <v>45989</v>
      </c>
      <c r="C218" s="55" t="s">
        <v>61</v>
      </c>
      <c r="D218" s="57">
        <v>170000</v>
      </c>
      <c r="E218" s="57">
        <v>0</v>
      </c>
      <c r="F218" s="57">
        <v>170000</v>
      </c>
    </row>
    <row r="219" spans="1:6" ht="15" x14ac:dyDescent="0.4">
      <c r="A219" s="55" t="s">
        <v>595</v>
      </c>
      <c r="B219" s="54">
        <v>45989</v>
      </c>
      <c r="C219" s="55" t="s">
        <v>402</v>
      </c>
      <c r="D219" s="57">
        <v>170000</v>
      </c>
      <c r="E219" s="57">
        <v>0</v>
      </c>
      <c r="F219" s="57">
        <v>170000</v>
      </c>
    </row>
    <row r="220" spans="1:6" ht="15" x14ac:dyDescent="0.4">
      <c r="A220" s="55" t="s">
        <v>596</v>
      </c>
      <c r="B220" s="54">
        <v>45990</v>
      </c>
      <c r="C220" s="55" t="s">
        <v>55</v>
      </c>
      <c r="D220" s="57">
        <v>170000</v>
      </c>
      <c r="E220" s="57">
        <v>0</v>
      </c>
      <c r="F220" s="57">
        <v>170000</v>
      </c>
    </row>
    <row r="221" spans="1:6" ht="15" x14ac:dyDescent="0.4">
      <c r="A221" s="55" t="s">
        <v>597</v>
      </c>
      <c r="B221" s="54">
        <v>45990</v>
      </c>
      <c r="C221" s="55" t="s">
        <v>63</v>
      </c>
      <c r="D221" s="57">
        <v>170000</v>
      </c>
      <c r="E221" s="57">
        <v>0</v>
      </c>
      <c r="F221" s="57">
        <v>170000</v>
      </c>
    </row>
    <row r="222" spans="1:6" ht="15" x14ac:dyDescent="0.4">
      <c r="A222" s="55" t="s">
        <v>598</v>
      </c>
      <c r="B222" s="54">
        <v>45990</v>
      </c>
      <c r="C222" s="55" t="s">
        <v>386</v>
      </c>
      <c r="D222" s="57">
        <v>150000</v>
      </c>
      <c r="E222" s="57">
        <v>0</v>
      </c>
      <c r="F222" s="57">
        <v>150000</v>
      </c>
    </row>
    <row r="223" spans="1:6" ht="15" x14ac:dyDescent="0.4">
      <c r="A223" s="55" t="s">
        <v>599</v>
      </c>
      <c r="B223" s="54">
        <v>45990</v>
      </c>
      <c r="C223" s="55" t="s">
        <v>59</v>
      </c>
      <c r="D223" s="57">
        <v>150000</v>
      </c>
      <c r="E223" s="57">
        <v>0</v>
      </c>
      <c r="F223" s="57">
        <v>150000</v>
      </c>
    </row>
    <row r="224" spans="1:6" ht="15" x14ac:dyDescent="0.4">
      <c r="A224" s="55" t="s">
        <v>600</v>
      </c>
      <c r="B224" s="54">
        <v>45990</v>
      </c>
      <c r="C224" s="55" t="s">
        <v>63</v>
      </c>
      <c r="D224" s="57">
        <v>750000</v>
      </c>
      <c r="E224" s="57">
        <v>0</v>
      </c>
      <c r="F224" s="57">
        <v>750000</v>
      </c>
    </row>
    <row r="225" spans="1:6" ht="15" x14ac:dyDescent="0.4">
      <c r="A225" s="55" t="s">
        <v>601</v>
      </c>
      <c r="B225" s="54">
        <v>45990</v>
      </c>
      <c r="C225" s="55" t="s">
        <v>62</v>
      </c>
      <c r="D225" s="57">
        <v>1500000</v>
      </c>
      <c r="E225" s="57">
        <v>0</v>
      </c>
      <c r="F225" s="57">
        <v>1500000</v>
      </c>
    </row>
    <row r="226" spans="1:6" ht="15" x14ac:dyDescent="0.4">
      <c r="A226" s="55" t="s">
        <v>602</v>
      </c>
      <c r="B226" s="54">
        <v>45990</v>
      </c>
      <c r="C226" s="55" t="s">
        <v>386</v>
      </c>
      <c r="D226" s="57">
        <v>480000</v>
      </c>
      <c r="E226" s="57">
        <v>0</v>
      </c>
      <c r="F226" s="57">
        <v>480000</v>
      </c>
    </row>
    <row r="227" spans="1:6" ht="15" x14ac:dyDescent="0.4">
      <c r="A227" s="55" t="s">
        <v>603</v>
      </c>
      <c r="B227" s="54">
        <v>45990</v>
      </c>
      <c r="C227" s="55" t="s">
        <v>380</v>
      </c>
      <c r="D227" s="57">
        <v>480000</v>
      </c>
      <c r="E227" s="57">
        <v>0</v>
      </c>
      <c r="F227" s="57">
        <v>480000</v>
      </c>
    </row>
    <row r="228" spans="1:6" ht="15" x14ac:dyDescent="0.4">
      <c r="A228" s="55" t="s">
        <v>604</v>
      </c>
      <c r="B228" s="54">
        <v>45990</v>
      </c>
      <c r="C228" s="55" t="s">
        <v>62</v>
      </c>
      <c r="D228" s="57">
        <v>1500000</v>
      </c>
      <c r="E228" s="57">
        <v>0</v>
      </c>
      <c r="F228" s="57">
        <v>1500000</v>
      </c>
    </row>
    <row r="229" spans="1:6" ht="15" x14ac:dyDescent="0.4">
      <c r="A229" s="55" t="s">
        <v>605</v>
      </c>
      <c r="B229" s="54">
        <v>45992</v>
      </c>
      <c r="C229" s="55" t="s">
        <v>63</v>
      </c>
      <c r="D229" s="57">
        <v>170000</v>
      </c>
      <c r="E229" s="57">
        <v>0</v>
      </c>
      <c r="F229" s="57">
        <v>170000</v>
      </c>
    </row>
    <row r="230" spans="1:6" ht="15" x14ac:dyDescent="0.4">
      <c r="A230" s="55" t="s">
        <v>606</v>
      </c>
      <c r="B230" s="54">
        <v>45993</v>
      </c>
      <c r="C230" s="55" t="s">
        <v>57</v>
      </c>
      <c r="D230" s="57">
        <v>480000</v>
      </c>
      <c r="E230" s="57">
        <v>0</v>
      </c>
      <c r="F230" s="57">
        <v>480000</v>
      </c>
    </row>
    <row r="231" spans="1:6" ht="15" x14ac:dyDescent="0.4">
      <c r="A231" s="55" t="s">
        <v>607</v>
      </c>
      <c r="B231" s="54">
        <v>45993</v>
      </c>
      <c r="C231" s="55" t="s">
        <v>59</v>
      </c>
      <c r="D231" s="57">
        <v>170000</v>
      </c>
      <c r="E231" s="57">
        <v>0</v>
      </c>
      <c r="F231" s="57">
        <v>170000</v>
      </c>
    </row>
    <row r="232" spans="1:6" ht="15" x14ac:dyDescent="0.4">
      <c r="A232" s="55" t="s">
        <v>608</v>
      </c>
      <c r="B232" s="54">
        <v>45995</v>
      </c>
      <c r="C232" s="55" t="s">
        <v>57</v>
      </c>
      <c r="D232" s="57">
        <v>480000</v>
      </c>
      <c r="E232" s="57">
        <v>0</v>
      </c>
      <c r="F232" s="57">
        <v>480000</v>
      </c>
    </row>
    <row r="233" spans="1:6" ht="15" x14ac:dyDescent="0.4">
      <c r="A233" s="55" t="s">
        <v>609</v>
      </c>
      <c r="B233" s="54">
        <v>45995</v>
      </c>
      <c r="C233" s="55" t="s">
        <v>55</v>
      </c>
      <c r="D233" s="57">
        <v>170000</v>
      </c>
      <c r="E233" s="57">
        <v>0</v>
      </c>
      <c r="F233" s="57">
        <v>170000</v>
      </c>
    </row>
    <row r="234" spans="1:6" ht="15" x14ac:dyDescent="0.4">
      <c r="A234" s="55" t="s">
        <v>610</v>
      </c>
      <c r="B234" s="54">
        <v>45996</v>
      </c>
      <c r="C234" s="55" t="s">
        <v>62</v>
      </c>
      <c r="D234" s="57">
        <v>480000</v>
      </c>
      <c r="E234" s="57">
        <v>0</v>
      </c>
      <c r="F234" s="57">
        <v>480000</v>
      </c>
    </row>
    <row r="235" spans="1:6" ht="15" x14ac:dyDescent="0.4">
      <c r="A235" s="55" t="s">
        <v>611</v>
      </c>
      <c r="B235" s="54">
        <v>45997</v>
      </c>
      <c r="C235" s="55" t="s">
        <v>377</v>
      </c>
      <c r="D235" s="57">
        <v>750000</v>
      </c>
      <c r="E235" s="57">
        <v>0</v>
      </c>
      <c r="F235" s="57">
        <v>750000</v>
      </c>
    </row>
    <row r="236" spans="1:6" ht="15" x14ac:dyDescent="0.4">
      <c r="A236" s="55" t="s">
        <v>612</v>
      </c>
      <c r="B236" s="54">
        <v>45998</v>
      </c>
      <c r="C236" s="55" t="s">
        <v>61</v>
      </c>
      <c r="D236" s="57">
        <v>480000</v>
      </c>
      <c r="E236" s="57">
        <v>0</v>
      </c>
      <c r="F236" s="57">
        <v>480000</v>
      </c>
    </row>
    <row r="237" spans="1:6" ht="15" x14ac:dyDescent="0.4">
      <c r="A237" s="55" t="s">
        <v>613</v>
      </c>
      <c r="B237" s="54">
        <v>46000</v>
      </c>
      <c r="C237" s="55" t="s">
        <v>62</v>
      </c>
      <c r="D237" s="57">
        <v>170000</v>
      </c>
      <c r="E237" s="57">
        <v>0</v>
      </c>
      <c r="F237" s="57">
        <v>170000</v>
      </c>
    </row>
    <row r="238" spans="1:6" ht="15" x14ac:dyDescent="0.4">
      <c r="A238" s="55" t="s">
        <v>614</v>
      </c>
      <c r="B238" s="54">
        <v>46001</v>
      </c>
      <c r="C238" s="55" t="s">
        <v>59</v>
      </c>
      <c r="D238" s="57">
        <v>170000</v>
      </c>
      <c r="E238" s="57">
        <v>0</v>
      </c>
      <c r="F238" s="57">
        <v>170000</v>
      </c>
    </row>
    <row r="239" spans="1:6" ht="15" x14ac:dyDescent="0.4">
      <c r="A239" s="55" t="s">
        <v>615</v>
      </c>
      <c r="B239" s="54">
        <v>46001</v>
      </c>
      <c r="C239" s="55" t="s">
        <v>59</v>
      </c>
      <c r="D239" s="57">
        <v>480000</v>
      </c>
      <c r="E239" s="57">
        <v>0</v>
      </c>
      <c r="F239" s="57">
        <v>480000</v>
      </c>
    </row>
    <row r="240" spans="1:6" ht="15" x14ac:dyDescent="0.4">
      <c r="A240" s="55" t="s">
        <v>616</v>
      </c>
      <c r="B240" s="54">
        <v>46002</v>
      </c>
      <c r="C240" s="55" t="s">
        <v>55</v>
      </c>
      <c r="D240" s="57">
        <v>170000</v>
      </c>
      <c r="E240" s="57">
        <v>0</v>
      </c>
      <c r="F240" s="57">
        <v>170000</v>
      </c>
    </row>
    <row r="241" spans="1:6" ht="15" x14ac:dyDescent="0.4">
      <c r="A241" s="55" t="s">
        <v>617</v>
      </c>
      <c r="B241" s="54">
        <v>46002</v>
      </c>
      <c r="C241" s="55" t="s">
        <v>63</v>
      </c>
      <c r="D241" s="57">
        <v>170000</v>
      </c>
      <c r="E241" s="57">
        <v>0</v>
      </c>
      <c r="F241" s="57">
        <v>170000</v>
      </c>
    </row>
    <row r="242" spans="1:6" ht="15" x14ac:dyDescent="0.4">
      <c r="A242" s="55" t="s">
        <v>618</v>
      </c>
      <c r="B242" s="54">
        <v>46002</v>
      </c>
      <c r="C242" s="55" t="s">
        <v>55</v>
      </c>
      <c r="D242" s="57">
        <v>170000</v>
      </c>
      <c r="E242" s="57">
        <v>0</v>
      </c>
      <c r="F242" s="57">
        <v>170000</v>
      </c>
    </row>
    <row r="243" spans="1:6" ht="15" x14ac:dyDescent="0.4">
      <c r="A243" s="55" t="s">
        <v>619</v>
      </c>
      <c r="B243" s="54">
        <v>46003</v>
      </c>
      <c r="C243" s="55" t="s">
        <v>55</v>
      </c>
      <c r="D243" s="57">
        <v>480000</v>
      </c>
      <c r="E243" s="57">
        <v>0</v>
      </c>
      <c r="F243" s="57">
        <v>480000</v>
      </c>
    </row>
    <row r="244" spans="1:6" ht="15" x14ac:dyDescent="0.4">
      <c r="A244" s="55" t="s">
        <v>620</v>
      </c>
      <c r="B244" s="54">
        <v>46003</v>
      </c>
      <c r="C244" s="55" t="s">
        <v>59</v>
      </c>
      <c r="D244" s="57">
        <v>480000</v>
      </c>
      <c r="E244" s="57">
        <v>0</v>
      </c>
      <c r="F244" s="57">
        <v>480000</v>
      </c>
    </row>
    <row r="245" spans="1:6" ht="15" x14ac:dyDescent="0.4">
      <c r="A245" s="55" t="s">
        <v>621</v>
      </c>
      <c r="B245" s="54">
        <v>46004</v>
      </c>
      <c r="C245" s="55" t="s">
        <v>59</v>
      </c>
      <c r="D245" s="57">
        <v>170000</v>
      </c>
      <c r="E245" s="57">
        <v>0</v>
      </c>
      <c r="F245" s="57">
        <v>170000</v>
      </c>
    </row>
    <row r="246" spans="1:6" ht="15" x14ac:dyDescent="0.4">
      <c r="A246" s="55" t="s">
        <v>622</v>
      </c>
      <c r="B246" s="54">
        <v>46004</v>
      </c>
      <c r="C246" s="55" t="s">
        <v>386</v>
      </c>
      <c r="D246" s="57">
        <v>150000</v>
      </c>
      <c r="E246" s="57">
        <v>0</v>
      </c>
      <c r="F246" s="57">
        <v>150000</v>
      </c>
    </row>
    <row r="247" spans="1:6" ht="15" x14ac:dyDescent="0.4">
      <c r="A247" s="55" t="s">
        <v>623</v>
      </c>
      <c r="B247" s="54">
        <v>46004</v>
      </c>
      <c r="C247" s="55" t="s">
        <v>61</v>
      </c>
      <c r="D247" s="57">
        <v>170000</v>
      </c>
      <c r="E247" s="57">
        <v>0</v>
      </c>
      <c r="F247" s="57">
        <v>170000</v>
      </c>
    </row>
    <row r="248" spans="1:6" ht="15" x14ac:dyDescent="0.4">
      <c r="A248" s="55" t="s">
        <v>624</v>
      </c>
      <c r="B248" s="54">
        <v>46005</v>
      </c>
      <c r="C248" s="55" t="s">
        <v>63</v>
      </c>
      <c r="D248" s="57">
        <v>170000</v>
      </c>
      <c r="E248" s="57">
        <v>0</v>
      </c>
      <c r="F248" s="57">
        <v>170000</v>
      </c>
    </row>
    <row r="249" spans="1:6" ht="15" x14ac:dyDescent="0.4">
      <c r="A249" s="55" t="s">
        <v>625</v>
      </c>
      <c r="B249" s="54">
        <v>46005</v>
      </c>
      <c r="C249" s="55" t="s">
        <v>55</v>
      </c>
      <c r="D249" s="57">
        <v>170000</v>
      </c>
      <c r="E249" s="57">
        <v>0</v>
      </c>
      <c r="F249" s="57">
        <v>170000</v>
      </c>
    </row>
    <row r="250" spans="1:6" ht="15" x14ac:dyDescent="0.4">
      <c r="A250" s="55" t="s">
        <v>626</v>
      </c>
      <c r="B250" s="54">
        <v>46005</v>
      </c>
      <c r="C250" s="55" t="s">
        <v>59</v>
      </c>
      <c r="D250" s="57">
        <v>150000</v>
      </c>
      <c r="E250" s="57">
        <v>0</v>
      </c>
      <c r="F250" s="57">
        <v>150000</v>
      </c>
    </row>
    <row r="251" spans="1:6" ht="15" x14ac:dyDescent="0.4">
      <c r="A251" s="55" t="s">
        <v>627</v>
      </c>
      <c r="B251" s="54">
        <v>46005</v>
      </c>
      <c r="C251" s="55" t="s">
        <v>57</v>
      </c>
      <c r="D251" s="57">
        <v>480000</v>
      </c>
      <c r="E251" s="57">
        <v>0</v>
      </c>
      <c r="F251" s="57">
        <v>480000</v>
      </c>
    </row>
    <row r="252" spans="1:6" ht="15" x14ac:dyDescent="0.4">
      <c r="A252" s="55" t="s">
        <v>628</v>
      </c>
      <c r="B252" s="54">
        <v>46005</v>
      </c>
      <c r="C252" s="55" t="s">
        <v>63</v>
      </c>
      <c r="D252" s="57">
        <v>1500000</v>
      </c>
      <c r="E252" s="57">
        <v>1500000</v>
      </c>
      <c r="F252" s="57">
        <v>0</v>
      </c>
    </row>
    <row r="253" spans="1:6" ht="15" x14ac:dyDescent="0.4">
      <c r="A253" s="55" t="s">
        <v>629</v>
      </c>
      <c r="B253" s="54">
        <v>46006</v>
      </c>
      <c r="C253" s="55" t="s">
        <v>63</v>
      </c>
      <c r="D253" s="57">
        <v>480000</v>
      </c>
      <c r="E253" s="57">
        <v>0</v>
      </c>
      <c r="F253" s="57">
        <v>480000</v>
      </c>
    </row>
    <row r="254" spans="1:6" ht="15" x14ac:dyDescent="0.4">
      <c r="A254" s="55" t="s">
        <v>630</v>
      </c>
      <c r="B254" s="54">
        <v>46007</v>
      </c>
      <c r="C254" s="55" t="s">
        <v>59</v>
      </c>
      <c r="D254" s="57">
        <v>750000</v>
      </c>
      <c r="E254" s="57">
        <v>0</v>
      </c>
      <c r="F254" s="57">
        <v>750000</v>
      </c>
    </row>
    <row r="255" spans="1:6" ht="15" x14ac:dyDescent="0.4">
      <c r="A255" s="55" t="s">
        <v>631</v>
      </c>
      <c r="B255" s="54">
        <v>46007</v>
      </c>
      <c r="C255" s="55" t="s">
        <v>386</v>
      </c>
      <c r="D255" s="57">
        <v>170000</v>
      </c>
      <c r="E255" s="57">
        <v>0</v>
      </c>
      <c r="F255" s="57">
        <v>170000</v>
      </c>
    </row>
    <row r="256" spans="1:6" ht="15" x14ac:dyDescent="0.4">
      <c r="A256" s="55" t="s">
        <v>632</v>
      </c>
      <c r="B256" s="54">
        <v>46008</v>
      </c>
      <c r="C256" s="55" t="s">
        <v>386</v>
      </c>
      <c r="D256" s="57">
        <v>170000</v>
      </c>
      <c r="E256" s="57">
        <v>0</v>
      </c>
      <c r="F256" s="57">
        <v>170000</v>
      </c>
    </row>
    <row r="257" spans="1:6" ht="15" x14ac:dyDescent="0.4">
      <c r="A257" s="55" t="s">
        <v>633</v>
      </c>
      <c r="B257" s="54">
        <v>46008</v>
      </c>
      <c r="C257" s="55" t="s">
        <v>55</v>
      </c>
      <c r="D257" s="57">
        <v>150000</v>
      </c>
      <c r="E257" s="57">
        <v>0</v>
      </c>
      <c r="F257" s="57">
        <v>150000</v>
      </c>
    </row>
    <row r="258" spans="1:6" ht="15" x14ac:dyDescent="0.4">
      <c r="A258" s="55" t="s">
        <v>634</v>
      </c>
      <c r="B258" s="54">
        <v>46008</v>
      </c>
      <c r="C258" s="55" t="s">
        <v>55</v>
      </c>
      <c r="D258" s="57">
        <v>150000</v>
      </c>
      <c r="E258" s="57">
        <v>0</v>
      </c>
      <c r="F258" s="57">
        <v>150000</v>
      </c>
    </row>
    <row r="259" spans="1:6" ht="15" x14ac:dyDescent="0.4">
      <c r="A259" s="55" t="s">
        <v>635</v>
      </c>
      <c r="B259" s="54">
        <v>46009</v>
      </c>
      <c r="C259" s="55" t="s">
        <v>386</v>
      </c>
      <c r="D259" s="57">
        <v>170000</v>
      </c>
      <c r="E259" s="57">
        <v>0</v>
      </c>
      <c r="F259" s="57">
        <v>170000</v>
      </c>
    </row>
    <row r="260" spans="1:6" ht="15" x14ac:dyDescent="0.4">
      <c r="A260" s="55" t="s">
        <v>636</v>
      </c>
      <c r="B260" s="54">
        <v>46011</v>
      </c>
      <c r="C260" s="55" t="s">
        <v>380</v>
      </c>
      <c r="D260" s="57">
        <v>170000</v>
      </c>
      <c r="E260" s="57">
        <v>0</v>
      </c>
      <c r="F260" s="57">
        <v>170000</v>
      </c>
    </row>
    <row r="261" spans="1:6" ht="15" x14ac:dyDescent="0.4">
      <c r="A261" s="55" t="s">
        <v>637</v>
      </c>
      <c r="B261" s="54">
        <v>46011</v>
      </c>
      <c r="C261" s="55" t="s">
        <v>59</v>
      </c>
      <c r="D261" s="57">
        <v>1500000</v>
      </c>
      <c r="E261" s="57">
        <v>0</v>
      </c>
      <c r="F261" s="57">
        <v>1500000</v>
      </c>
    </row>
    <row r="262" spans="1:6" ht="15" x14ac:dyDescent="0.4">
      <c r="A262" s="55" t="s">
        <v>638</v>
      </c>
      <c r="B262" s="54">
        <v>46011</v>
      </c>
      <c r="C262" s="55" t="s">
        <v>57</v>
      </c>
      <c r="D262" s="57">
        <v>480000</v>
      </c>
      <c r="E262" s="57">
        <v>0</v>
      </c>
      <c r="F262" s="57">
        <v>480000</v>
      </c>
    </row>
    <row r="263" spans="1:6" ht="15" x14ac:dyDescent="0.4">
      <c r="A263" s="55" t="s">
        <v>639</v>
      </c>
      <c r="B263" s="54">
        <v>46013</v>
      </c>
      <c r="C263" s="55" t="s">
        <v>61</v>
      </c>
      <c r="D263" s="57">
        <v>150000</v>
      </c>
      <c r="E263" s="57">
        <v>0</v>
      </c>
      <c r="F263" s="57">
        <v>150000</v>
      </c>
    </row>
    <row r="264" spans="1:6" ht="15" x14ac:dyDescent="0.4">
      <c r="A264" s="55" t="s">
        <v>640</v>
      </c>
      <c r="B264" s="54">
        <v>46013</v>
      </c>
      <c r="C264" s="55" t="s">
        <v>380</v>
      </c>
      <c r="D264" s="57">
        <v>170000</v>
      </c>
      <c r="E264" s="57">
        <v>0</v>
      </c>
      <c r="F264" s="57">
        <v>170000</v>
      </c>
    </row>
    <row r="265" spans="1:6" ht="15" x14ac:dyDescent="0.4">
      <c r="A265" s="55" t="s">
        <v>641</v>
      </c>
      <c r="B265" s="54">
        <v>46013</v>
      </c>
      <c r="C265" s="55" t="s">
        <v>55</v>
      </c>
      <c r="D265" s="57">
        <v>480000</v>
      </c>
      <c r="E265" s="57">
        <v>0</v>
      </c>
      <c r="F265" s="57">
        <v>480000</v>
      </c>
    </row>
    <row r="266" spans="1:6" ht="15" x14ac:dyDescent="0.4">
      <c r="A266" s="55" t="s">
        <v>642</v>
      </c>
      <c r="B266" s="54">
        <v>46014</v>
      </c>
      <c r="C266" s="55" t="s">
        <v>55</v>
      </c>
      <c r="D266" s="57">
        <v>480000</v>
      </c>
      <c r="E266" s="57">
        <v>480000</v>
      </c>
      <c r="F266" s="57">
        <v>0</v>
      </c>
    </row>
    <row r="267" spans="1:6" ht="15" x14ac:dyDescent="0.4">
      <c r="A267" s="55" t="s">
        <v>643</v>
      </c>
      <c r="B267" s="54">
        <v>46015</v>
      </c>
      <c r="C267" s="55" t="s">
        <v>386</v>
      </c>
      <c r="D267" s="57">
        <v>480000</v>
      </c>
      <c r="E267" s="57">
        <v>0</v>
      </c>
      <c r="F267" s="57">
        <v>480000</v>
      </c>
    </row>
    <row r="268" spans="1:6" ht="15" x14ac:dyDescent="0.4">
      <c r="A268" s="55" t="s">
        <v>644</v>
      </c>
      <c r="B268" s="54">
        <v>46015</v>
      </c>
      <c r="C268" s="55" t="s">
        <v>398</v>
      </c>
      <c r="D268" s="57">
        <v>480000</v>
      </c>
      <c r="E268" s="57">
        <v>0</v>
      </c>
      <c r="F268" s="57">
        <v>480000</v>
      </c>
    </row>
    <row r="269" spans="1:6" ht="15" x14ac:dyDescent="0.4">
      <c r="A269" s="55" t="s">
        <v>645</v>
      </c>
      <c r="B269" s="54">
        <v>46015</v>
      </c>
      <c r="C269" s="55" t="s">
        <v>398</v>
      </c>
      <c r="D269" s="57">
        <v>1500000</v>
      </c>
      <c r="E269" s="57">
        <v>1500000</v>
      </c>
      <c r="F269" s="57">
        <v>0</v>
      </c>
    </row>
    <row r="270" spans="1:6" ht="15" x14ac:dyDescent="0.4">
      <c r="A270" s="55" t="s">
        <v>646</v>
      </c>
      <c r="B270" s="54">
        <v>46016</v>
      </c>
      <c r="C270" s="55" t="s">
        <v>380</v>
      </c>
      <c r="D270" s="57">
        <v>170000</v>
      </c>
      <c r="E270" s="57">
        <v>0</v>
      </c>
      <c r="F270" s="57">
        <v>170000</v>
      </c>
    </row>
    <row r="271" spans="1:6" ht="15" x14ac:dyDescent="0.4">
      <c r="A271" s="55" t="s">
        <v>647</v>
      </c>
      <c r="B271" s="54">
        <v>46016</v>
      </c>
      <c r="C271" s="55" t="s">
        <v>63</v>
      </c>
      <c r="D271" s="57">
        <v>170000</v>
      </c>
      <c r="E271" s="57">
        <v>0</v>
      </c>
      <c r="F271" s="57">
        <v>170000</v>
      </c>
    </row>
    <row r="272" spans="1:6" ht="15" x14ac:dyDescent="0.4">
      <c r="A272" s="55" t="s">
        <v>648</v>
      </c>
      <c r="B272" s="54">
        <v>46016</v>
      </c>
      <c r="C272" s="55" t="s">
        <v>59</v>
      </c>
      <c r="D272" s="57">
        <v>150000</v>
      </c>
      <c r="E272" s="57">
        <v>0</v>
      </c>
      <c r="F272" s="57">
        <v>150000</v>
      </c>
    </row>
    <row r="273" spans="1:6" ht="15" x14ac:dyDescent="0.4">
      <c r="A273" s="55" t="s">
        <v>649</v>
      </c>
      <c r="B273" s="54">
        <v>46016</v>
      </c>
      <c r="C273" s="55" t="s">
        <v>55</v>
      </c>
      <c r="D273" s="57">
        <v>170000</v>
      </c>
      <c r="E273" s="57">
        <v>0</v>
      </c>
      <c r="F273" s="57">
        <v>170000</v>
      </c>
    </row>
    <row r="274" spans="1:6" ht="15" x14ac:dyDescent="0.4">
      <c r="A274" s="55" t="s">
        <v>650</v>
      </c>
      <c r="B274" s="54">
        <v>46017</v>
      </c>
      <c r="C274" s="55" t="s">
        <v>380</v>
      </c>
      <c r="D274" s="57">
        <v>170000</v>
      </c>
      <c r="E274" s="57">
        <v>0</v>
      </c>
      <c r="F274" s="57">
        <v>170000</v>
      </c>
    </row>
    <row r="275" spans="1:6" ht="15" x14ac:dyDescent="0.4">
      <c r="A275" s="55" t="s">
        <v>651</v>
      </c>
      <c r="B275" s="54">
        <v>46018</v>
      </c>
      <c r="C275" s="55" t="s">
        <v>55</v>
      </c>
      <c r="D275" s="57">
        <v>750000</v>
      </c>
      <c r="E275" s="57">
        <v>0</v>
      </c>
      <c r="F275" s="57">
        <v>750000</v>
      </c>
    </row>
    <row r="276" spans="1:6" ht="15" x14ac:dyDescent="0.4">
      <c r="A276" s="55" t="s">
        <v>652</v>
      </c>
      <c r="B276" s="54">
        <v>46019</v>
      </c>
      <c r="C276" s="55" t="s">
        <v>61</v>
      </c>
      <c r="D276" s="57">
        <v>170000</v>
      </c>
      <c r="E276" s="57">
        <v>0</v>
      </c>
      <c r="F276" s="57">
        <v>170000</v>
      </c>
    </row>
    <row r="277" spans="1:6" ht="15" x14ac:dyDescent="0.4">
      <c r="A277" s="55" t="s">
        <v>653</v>
      </c>
      <c r="B277" s="54">
        <v>46019</v>
      </c>
      <c r="C277" s="55" t="s">
        <v>402</v>
      </c>
      <c r="D277" s="57">
        <v>170000</v>
      </c>
      <c r="E277" s="57">
        <v>0</v>
      </c>
      <c r="F277" s="57">
        <v>170000</v>
      </c>
    </row>
    <row r="278" spans="1:6" ht="15" x14ac:dyDescent="0.4">
      <c r="A278" s="55" t="s">
        <v>654</v>
      </c>
      <c r="B278" s="54">
        <v>46019</v>
      </c>
      <c r="C278" s="55" t="s">
        <v>377</v>
      </c>
      <c r="D278" s="57">
        <v>1500000</v>
      </c>
      <c r="E278" s="57">
        <v>0</v>
      </c>
      <c r="F278" s="57">
        <v>1500000</v>
      </c>
    </row>
    <row r="279" spans="1:6" ht="15" x14ac:dyDescent="0.4">
      <c r="A279" s="55" t="s">
        <v>655</v>
      </c>
      <c r="B279" s="54">
        <v>46019</v>
      </c>
      <c r="C279" s="55" t="s">
        <v>57</v>
      </c>
      <c r="D279" s="57">
        <v>480000</v>
      </c>
      <c r="E279" s="57">
        <v>0</v>
      </c>
      <c r="F279" s="57">
        <v>480000</v>
      </c>
    </row>
    <row r="280" spans="1:6" ht="15" x14ac:dyDescent="0.4">
      <c r="A280" s="55" t="s">
        <v>656</v>
      </c>
      <c r="B280" s="54">
        <v>46020</v>
      </c>
      <c r="C280" s="55" t="s">
        <v>63</v>
      </c>
      <c r="D280" s="57">
        <v>170000</v>
      </c>
      <c r="E280" s="57">
        <v>0</v>
      </c>
      <c r="F280" s="57">
        <v>170000</v>
      </c>
    </row>
    <row r="281" spans="1:6" ht="15" x14ac:dyDescent="0.4">
      <c r="A281" s="55" t="s">
        <v>657</v>
      </c>
      <c r="B281" s="54">
        <v>46020</v>
      </c>
      <c r="C281" s="55" t="s">
        <v>55</v>
      </c>
      <c r="D281" s="57">
        <v>150000</v>
      </c>
      <c r="E281" s="57">
        <v>0</v>
      </c>
      <c r="F281" s="57">
        <v>150000</v>
      </c>
    </row>
    <row r="282" spans="1:6" ht="15" x14ac:dyDescent="0.4">
      <c r="A282" s="55" t="s">
        <v>658</v>
      </c>
      <c r="B282" s="54">
        <v>46020</v>
      </c>
      <c r="C282" s="55" t="s">
        <v>63</v>
      </c>
      <c r="D282" s="57">
        <v>750000</v>
      </c>
      <c r="E282" s="57">
        <v>0</v>
      </c>
      <c r="F282" s="57">
        <v>750000</v>
      </c>
    </row>
    <row r="283" spans="1:6" ht="15" x14ac:dyDescent="0.4">
      <c r="A283" s="55" t="s">
        <v>659</v>
      </c>
      <c r="B283" s="54">
        <v>46022</v>
      </c>
      <c r="C283" s="55" t="s">
        <v>377</v>
      </c>
      <c r="D283" s="57">
        <v>1500000</v>
      </c>
      <c r="E283" s="57">
        <v>0</v>
      </c>
      <c r="F283" s="57">
        <v>1500000</v>
      </c>
    </row>
    <row r="284" spans="1:6" ht="15" x14ac:dyDescent="0.4">
      <c r="A284" s="55" t="s">
        <v>660</v>
      </c>
      <c r="B284" s="54">
        <v>46022</v>
      </c>
      <c r="C284" s="55" t="s">
        <v>63</v>
      </c>
      <c r="D284" s="57">
        <v>1500000</v>
      </c>
      <c r="E284" s="57">
        <v>0</v>
      </c>
      <c r="F284" s="57">
        <v>1500000</v>
      </c>
    </row>
    <row r="285" spans="1:6" ht="15" x14ac:dyDescent="0.4">
      <c r="A285" s="55" t="s">
        <v>661</v>
      </c>
      <c r="B285" s="54">
        <v>46023</v>
      </c>
      <c r="C285" s="55" t="s">
        <v>59</v>
      </c>
      <c r="D285" s="57">
        <v>170000</v>
      </c>
      <c r="E285" s="57">
        <v>0</v>
      </c>
      <c r="F285" s="57">
        <v>170000</v>
      </c>
    </row>
    <row r="286" spans="1:6" ht="15" x14ac:dyDescent="0.4">
      <c r="A286" s="55" t="s">
        <v>662</v>
      </c>
      <c r="B286" s="54">
        <v>46025</v>
      </c>
      <c r="C286" s="55" t="s">
        <v>55</v>
      </c>
      <c r="D286" s="57">
        <v>170000</v>
      </c>
      <c r="E286" s="57">
        <v>0</v>
      </c>
      <c r="F286" s="57">
        <v>170000</v>
      </c>
    </row>
    <row r="287" spans="1:6" ht="15" x14ac:dyDescent="0.4">
      <c r="A287" s="55" t="s">
        <v>663</v>
      </c>
      <c r="B287" s="54">
        <v>46025</v>
      </c>
      <c r="C287" s="55" t="s">
        <v>386</v>
      </c>
      <c r="D287" s="57">
        <v>150000</v>
      </c>
      <c r="E287" s="57">
        <v>0</v>
      </c>
      <c r="F287" s="57">
        <v>150000</v>
      </c>
    </row>
    <row r="288" spans="1:6" ht="15" x14ac:dyDescent="0.4">
      <c r="A288" s="55" t="s">
        <v>664</v>
      </c>
      <c r="B288" s="54">
        <v>46025</v>
      </c>
      <c r="C288" s="55" t="s">
        <v>377</v>
      </c>
      <c r="D288" s="57">
        <v>150000</v>
      </c>
      <c r="E288" s="57">
        <v>0</v>
      </c>
      <c r="F288" s="57">
        <v>150000</v>
      </c>
    </row>
    <row r="289" spans="1:6" ht="15" x14ac:dyDescent="0.4">
      <c r="A289" s="55" t="s">
        <v>665</v>
      </c>
      <c r="B289" s="54">
        <v>46025</v>
      </c>
      <c r="C289" s="55" t="s">
        <v>62</v>
      </c>
      <c r="D289" s="57">
        <v>480000</v>
      </c>
      <c r="E289" s="57">
        <v>0</v>
      </c>
      <c r="F289" s="57">
        <v>480000</v>
      </c>
    </row>
    <row r="290" spans="1:6" ht="15" x14ac:dyDescent="0.4">
      <c r="A290" s="55" t="s">
        <v>666</v>
      </c>
      <c r="B290" s="54">
        <v>46026</v>
      </c>
      <c r="C290" s="55" t="s">
        <v>55</v>
      </c>
      <c r="D290" s="57">
        <v>480000</v>
      </c>
      <c r="E290" s="57">
        <v>0</v>
      </c>
      <c r="F290" s="57">
        <v>480000</v>
      </c>
    </row>
    <row r="291" spans="1:6" ht="15" x14ac:dyDescent="0.4">
      <c r="A291" s="55" t="s">
        <v>667</v>
      </c>
      <c r="B291" s="54">
        <v>46026</v>
      </c>
      <c r="C291" s="55" t="s">
        <v>63</v>
      </c>
      <c r="D291" s="57">
        <v>150000</v>
      </c>
      <c r="E291" s="57">
        <v>0</v>
      </c>
      <c r="F291" s="57">
        <v>150000</v>
      </c>
    </row>
    <row r="292" spans="1:6" ht="15" x14ac:dyDescent="0.4">
      <c r="A292" s="55" t="s">
        <v>668</v>
      </c>
      <c r="B292" s="54">
        <v>46027</v>
      </c>
      <c r="C292" s="55" t="s">
        <v>386</v>
      </c>
      <c r="D292" s="57">
        <v>750000</v>
      </c>
      <c r="E292" s="57">
        <v>0</v>
      </c>
      <c r="F292" s="57">
        <v>750000</v>
      </c>
    </row>
    <row r="293" spans="1:6" ht="15" x14ac:dyDescent="0.4">
      <c r="A293" s="55" t="s">
        <v>669</v>
      </c>
      <c r="B293" s="54">
        <v>46027</v>
      </c>
      <c r="C293" s="55" t="s">
        <v>57</v>
      </c>
      <c r="D293" s="57">
        <v>1500000</v>
      </c>
      <c r="E293" s="57">
        <v>0</v>
      </c>
      <c r="F293" s="57">
        <v>1500000</v>
      </c>
    </row>
    <row r="294" spans="1:6" ht="15" x14ac:dyDescent="0.4">
      <c r="A294" s="55" t="s">
        <v>670</v>
      </c>
      <c r="B294" s="54">
        <v>46030</v>
      </c>
      <c r="C294" s="55" t="s">
        <v>62</v>
      </c>
      <c r="D294" s="57">
        <v>170000</v>
      </c>
      <c r="E294" s="57">
        <v>0</v>
      </c>
      <c r="F294" s="57">
        <v>170000</v>
      </c>
    </row>
    <row r="295" spans="1:6" ht="15" x14ac:dyDescent="0.4">
      <c r="A295" s="55" t="s">
        <v>671</v>
      </c>
      <c r="B295" s="54">
        <v>46030</v>
      </c>
      <c r="C295" s="55" t="s">
        <v>398</v>
      </c>
      <c r="D295" s="57">
        <v>170000</v>
      </c>
      <c r="E295" s="57">
        <v>0</v>
      </c>
      <c r="F295" s="57">
        <v>170000</v>
      </c>
    </row>
    <row r="296" spans="1:6" ht="15" x14ac:dyDescent="0.4">
      <c r="A296" s="55" t="s">
        <v>672</v>
      </c>
      <c r="B296" s="54">
        <v>46031</v>
      </c>
      <c r="C296" s="55" t="s">
        <v>59</v>
      </c>
      <c r="D296" s="57">
        <v>170000</v>
      </c>
      <c r="E296" s="57">
        <v>0</v>
      </c>
      <c r="F296" s="57">
        <v>170000</v>
      </c>
    </row>
    <row r="297" spans="1:6" ht="15" x14ac:dyDescent="0.4">
      <c r="A297" s="55" t="s">
        <v>673</v>
      </c>
      <c r="B297" s="54">
        <v>46031</v>
      </c>
      <c r="C297" s="55" t="s">
        <v>61</v>
      </c>
      <c r="D297" s="57">
        <v>480000</v>
      </c>
      <c r="E297" s="57">
        <v>0</v>
      </c>
      <c r="F297" s="57">
        <v>480000</v>
      </c>
    </row>
    <row r="298" spans="1:6" ht="15" x14ac:dyDescent="0.4">
      <c r="A298" s="55" t="s">
        <v>674</v>
      </c>
      <c r="B298" s="54">
        <v>46032</v>
      </c>
      <c r="C298" s="55" t="s">
        <v>55</v>
      </c>
      <c r="D298" s="57">
        <v>170000</v>
      </c>
      <c r="E298" s="57">
        <v>0</v>
      </c>
      <c r="F298" s="57">
        <v>170000</v>
      </c>
    </row>
    <row r="299" spans="1:6" ht="15" x14ac:dyDescent="0.4">
      <c r="A299" s="55" t="s">
        <v>675</v>
      </c>
      <c r="B299" s="54">
        <v>46032</v>
      </c>
      <c r="C299" s="55" t="s">
        <v>63</v>
      </c>
      <c r="D299" s="57">
        <v>170000</v>
      </c>
      <c r="E299" s="57">
        <v>0</v>
      </c>
      <c r="F299" s="57">
        <v>170000</v>
      </c>
    </row>
    <row r="300" spans="1:6" ht="15" x14ac:dyDescent="0.4">
      <c r="A300" s="55" t="s">
        <v>676</v>
      </c>
      <c r="B300" s="54">
        <v>46032</v>
      </c>
      <c r="C300" s="55" t="s">
        <v>55</v>
      </c>
      <c r="D300" s="57">
        <v>170000</v>
      </c>
      <c r="E300" s="57">
        <v>0</v>
      </c>
      <c r="F300" s="57">
        <v>170000</v>
      </c>
    </row>
    <row r="301" spans="1:6" ht="15" x14ac:dyDescent="0.4">
      <c r="A301" s="55" t="s">
        <v>677</v>
      </c>
      <c r="B301" s="54">
        <v>46033</v>
      </c>
      <c r="C301" s="55" t="s">
        <v>62</v>
      </c>
      <c r="D301" s="57">
        <v>480000</v>
      </c>
      <c r="E301" s="57">
        <v>0</v>
      </c>
      <c r="F301" s="57">
        <v>480000</v>
      </c>
    </row>
    <row r="302" spans="1:6" ht="15" x14ac:dyDescent="0.4">
      <c r="A302" s="55" t="s">
        <v>678</v>
      </c>
      <c r="B302" s="54">
        <v>46033</v>
      </c>
      <c r="C302" s="55" t="s">
        <v>62</v>
      </c>
      <c r="D302" s="57">
        <v>170000</v>
      </c>
      <c r="E302" s="57">
        <v>0</v>
      </c>
      <c r="F302" s="57">
        <v>170000</v>
      </c>
    </row>
    <row r="303" spans="1:6" ht="15" x14ac:dyDescent="0.4">
      <c r="A303" s="55" t="s">
        <v>679</v>
      </c>
      <c r="B303" s="54">
        <v>46034</v>
      </c>
      <c r="C303" s="55" t="s">
        <v>59</v>
      </c>
      <c r="D303" s="57">
        <v>170000</v>
      </c>
      <c r="E303" s="57">
        <v>0</v>
      </c>
      <c r="F303" s="57">
        <v>170000</v>
      </c>
    </row>
    <row r="304" spans="1:6" ht="15" x14ac:dyDescent="0.4">
      <c r="A304" s="55" t="s">
        <v>680</v>
      </c>
      <c r="B304" s="54">
        <v>46034</v>
      </c>
      <c r="C304" s="55" t="s">
        <v>61</v>
      </c>
      <c r="D304" s="57">
        <v>170000</v>
      </c>
      <c r="E304" s="57">
        <v>0</v>
      </c>
      <c r="F304" s="57">
        <v>170000</v>
      </c>
    </row>
    <row r="305" spans="1:6" ht="15" x14ac:dyDescent="0.4">
      <c r="A305" s="55" t="s">
        <v>681</v>
      </c>
      <c r="B305" s="54">
        <v>46034</v>
      </c>
      <c r="C305" s="55" t="s">
        <v>57</v>
      </c>
      <c r="D305" s="57">
        <v>480000</v>
      </c>
      <c r="E305" s="57">
        <v>0</v>
      </c>
      <c r="F305" s="57">
        <v>480000</v>
      </c>
    </row>
    <row r="306" spans="1:6" ht="15" x14ac:dyDescent="0.4">
      <c r="A306" s="55" t="s">
        <v>682</v>
      </c>
      <c r="B306" s="54">
        <v>46035</v>
      </c>
      <c r="C306" s="55" t="s">
        <v>63</v>
      </c>
      <c r="D306" s="57">
        <v>170000</v>
      </c>
      <c r="E306" s="57">
        <v>0</v>
      </c>
      <c r="F306" s="57">
        <v>170000</v>
      </c>
    </row>
    <row r="307" spans="1:6" ht="15" x14ac:dyDescent="0.4">
      <c r="A307" s="55" t="s">
        <v>683</v>
      </c>
      <c r="B307" s="54">
        <v>46035</v>
      </c>
      <c r="C307" s="55" t="s">
        <v>55</v>
      </c>
      <c r="D307" s="57">
        <v>170000</v>
      </c>
      <c r="E307" s="57">
        <v>0</v>
      </c>
      <c r="F307" s="57">
        <v>170000</v>
      </c>
    </row>
    <row r="308" spans="1:6" ht="15" x14ac:dyDescent="0.4">
      <c r="A308" s="55" t="s">
        <v>684</v>
      </c>
      <c r="B308" s="54">
        <v>46037</v>
      </c>
      <c r="C308" s="55" t="s">
        <v>386</v>
      </c>
      <c r="D308" s="57">
        <v>170000</v>
      </c>
      <c r="E308" s="57">
        <v>0</v>
      </c>
      <c r="F308" s="57">
        <v>170000</v>
      </c>
    </row>
    <row r="309" spans="1:6" ht="15" x14ac:dyDescent="0.4">
      <c r="A309" s="55" t="s">
        <v>685</v>
      </c>
      <c r="B309" s="54">
        <v>46037</v>
      </c>
      <c r="C309" s="55" t="s">
        <v>62</v>
      </c>
      <c r="D309" s="57">
        <v>150000</v>
      </c>
      <c r="E309" s="57">
        <v>0</v>
      </c>
      <c r="F309" s="57">
        <v>150000</v>
      </c>
    </row>
    <row r="310" spans="1:6" ht="15" x14ac:dyDescent="0.4">
      <c r="A310" s="55" t="s">
        <v>686</v>
      </c>
      <c r="B310" s="54">
        <v>46039</v>
      </c>
      <c r="C310" s="55" t="s">
        <v>386</v>
      </c>
      <c r="D310" s="57">
        <v>170000</v>
      </c>
      <c r="E310" s="57">
        <v>0</v>
      </c>
      <c r="F310" s="57">
        <v>170000</v>
      </c>
    </row>
    <row r="311" spans="1:6" ht="15" x14ac:dyDescent="0.4">
      <c r="A311" s="55" t="s">
        <v>687</v>
      </c>
      <c r="B311" s="54">
        <v>46039</v>
      </c>
      <c r="C311" s="55" t="s">
        <v>398</v>
      </c>
      <c r="D311" s="57">
        <v>150000</v>
      </c>
      <c r="E311" s="57">
        <v>0</v>
      </c>
      <c r="F311" s="57">
        <v>150000</v>
      </c>
    </row>
    <row r="312" spans="1:6" ht="15" x14ac:dyDescent="0.4">
      <c r="A312" s="55" t="s">
        <v>688</v>
      </c>
      <c r="B312" s="54">
        <v>46040</v>
      </c>
      <c r="C312" s="55" t="s">
        <v>55</v>
      </c>
      <c r="D312" s="57">
        <v>150000</v>
      </c>
      <c r="E312" s="57">
        <v>0</v>
      </c>
      <c r="F312" s="57">
        <v>150000</v>
      </c>
    </row>
    <row r="313" spans="1:6" ht="15" x14ac:dyDescent="0.4">
      <c r="A313" s="55" t="s">
        <v>689</v>
      </c>
      <c r="B313" s="54">
        <v>46040</v>
      </c>
      <c r="C313" s="55" t="s">
        <v>62</v>
      </c>
      <c r="D313" s="57">
        <v>170000</v>
      </c>
      <c r="E313" s="57">
        <v>0</v>
      </c>
      <c r="F313" s="57">
        <v>170000</v>
      </c>
    </row>
    <row r="314" spans="1:6" ht="15" x14ac:dyDescent="0.4">
      <c r="A314" s="55" t="s">
        <v>690</v>
      </c>
      <c r="B314" s="54">
        <v>46045</v>
      </c>
      <c r="C314" s="55" t="s">
        <v>61</v>
      </c>
      <c r="D314" s="57">
        <v>480000</v>
      </c>
      <c r="E314" s="57">
        <v>0</v>
      </c>
      <c r="F314" s="57">
        <v>480000</v>
      </c>
    </row>
    <row r="315" spans="1:6" ht="15" x14ac:dyDescent="0.4">
      <c r="A315" s="55" t="s">
        <v>691</v>
      </c>
      <c r="B315" s="54">
        <v>46046</v>
      </c>
      <c r="C315" s="55" t="s">
        <v>55</v>
      </c>
      <c r="D315" s="57">
        <v>170000</v>
      </c>
      <c r="E315" s="57">
        <v>0</v>
      </c>
      <c r="F315" s="57">
        <v>170000</v>
      </c>
    </row>
    <row r="316" spans="1:6" ht="15" x14ac:dyDescent="0.4">
      <c r="A316" s="55" t="s">
        <v>692</v>
      </c>
      <c r="B316" s="54">
        <v>46047</v>
      </c>
      <c r="C316" s="55" t="s">
        <v>380</v>
      </c>
      <c r="D316" s="57">
        <v>170000</v>
      </c>
      <c r="E316" s="57">
        <v>0</v>
      </c>
      <c r="F316" s="57">
        <v>170000</v>
      </c>
    </row>
    <row r="317" spans="1:6" ht="15" x14ac:dyDescent="0.4">
      <c r="A317" s="55" t="s">
        <v>693</v>
      </c>
      <c r="B317" s="54">
        <v>46047</v>
      </c>
      <c r="C317" s="55" t="s">
        <v>61</v>
      </c>
      <c r="D317" s="57">
        <v>480000</v>
      </c>
      <c r="E317" s="57">
        <v>0</v>
      </c>
      <c r="F317" s="57">
        <v>480000</v>
      </c>
    </row>
    <row r="318" spans="1:6" ht="15" x14ac:dyDescent="0.4">
      <c r="A318" s="55" t="s">
        <v>694</v>
      </c>
      <c r="B318" s="54">
        <v>46047</v>
      </c>
      <c r="C318" s="55" t="s">
        <v>63</v>
      </c>
      <c r="D318" s="57">
        <v>170000</v>
      </c>
      <c r="E318" s="57">
        <v>0</v>
      </c>
      <c r="F318" s="57">
        <v>170000</v>
      </c>
    </row>
    <row r="319" spans="1:6" ht="15" x14ac:dyDescent="0.4">
      <c r="A319" s="55" t="s">
        <v>695</v>
      </c>
      <c r="B319" s="54">
        <v>46047</v>
      </c>
      <c r="C319" s="55" t="s">
        <v>63</v>
      </c>
      <c r="D319" s="57">
        <v>1500000</v>
      </c>
      <c r="E319" s="57">
        <v>0</v>
      </c>
      <c r="F319" s="57">
        <v>1500000</v>
      </c>
    </row>
    <row r="320" spans="1:6" ht="15" x14ac:dyDescent="0.4">
      <c r="A320" s="55" t="s">
        <v>696</v>
      </c>
      <c r="B320" s="54">
        <v>46048</v>
      </c>
      <c r="C320" s="55" t="s">
        <v>55</v>
      </c>
      <c r="D320" s="57">
        <v>750000</v>
      </c>
      <c r="E320" s="57">
        <v>0</v>
      </c>
      <c r="F320" s="57">
        <v>750000</v>
      </c>
    </row>
    <row r="321" spans="1:6" ht="15" x14ac:dyDescent="0.4">
      <c r="A321" s="55" t="s">
        <v>697</v>
      </c>
      <c r="B321" s="54">
        <v>46049</v>
      </c>
      <c r="C321" s="55" t="s">
        <v>380</v>
      </c>
      <c r="D321" s="57">
        <v>480000</v>
      </c>
      <c r="E321" s="57">
        <v>0</v>
      </c>
      <c r="F321" s="57">
        <v>480000</v>
      </c>
    </row>
    <row r="322" spans="1:6" ht="15" x14ac:dyDescent="0.4">
      <c r="A322" s="55" t="s">
        <v>698</v>
      </c>
      <c r="B322" s="54">
        <v>46050</v>
      </c>
      <c r="C322" s="55" t="s">
        <v>57</v>
      </c>
      <c r="D322" s="57">
        <v>480000</v>
      </c>
      <c r="E322" s="57">
        <v>0</v>
      </c>
      <c r="F322" s="57">
        <v>480000</v>
      </c>
    </row>
    <row r="323" spans="1:6" ht="15" x14ac:dyDescent="0.4">
      <c r="A323" s="55" t="s">
        <v>699</v>
      </c>
      <c r="B323" s="54">
        <v>46051</v>
      </c>
      <c r="C323" s="55" t="s">
        <v>61</v>
      </c>
      <c r="D323" s="57">
        <v>150000</v>
      </c>
      <c r="E323" s="57">
        <v>0</v>
      </c>
      <c r="F323" s="57">
        <v>150000</v>
      </c>
    </row>
    <row r="324" spans="1:6" ht="15" x14ac:dyDescent="0.4">
      <c r="A324" s="55" t="s">
        <v>700</v>
      </c>
      <c r="B324" s="54">
        <v>46052</v>
      </c>
      <c r="C324" s="55" t="s">
        <v>63</v>
      </c>
      <c r="D324" s="57">
        <v>170000</v>
      </c>
      <c r="E324" s="57">
        <v>0</v>
      </c>
      <c r="F324" s="57">
        <v>170000</v>
      </c>
    </row>
    <row r="325" spans="1:6" ht="15" x14ac:dyDescent="0.4">
      <c r="A325" s="55" t="s">
        <v>701</v>
      </c>
      <c r="B325" s="54">
        <v>46052</v>
      </c>
      <c r="C325" s="55" t="s">
        <v>398</v>
      </c>
      <c r="D325" s="57">
        <v>750000</v>
      </c>
      <c r="E325" s="57">
        <v>0</v>
      </c>
      <c r="F325" s="57">
        <v>750000</v>
      </c>
    </row>
    <row r="326" spans="1:6" ht="15" x14ac:dyDescent="0.4">
      <c r="A326" s="55" t="s">
        <v>702</v>
      </c>
      <c r="B326" s="54">
        <v>46053</v>
      </c>
      <c r="C326" s="55" t="s">
        <v>59</v>
      </c>
      <c r="D326" s="57">
        <v>170000</v>
      </c>
      <c r="E326" s="57">
        <v>0</v>
      </c>
      <c r="F326" s="57">
        <v>170000</v>
      </c>
    </row>
    <row r="327" spans="1:6" ht="15" x14ac:dyDescent="0.4">
      <c r="A327" s="55" t="s">
        <v>703</v>
      </c>
      <c r="B327" s="54">
        <v>46053</v>
      </c>
      <c r="C327" s="55" t="s">
        <v>59</v>
      </c>
      <c r="D327" s="57">
        <v>170000</v>
      </c>
      <c r="E327" s="57">
        <v>0</v>
      </c>
      <c r="F327" s="57">
        <v>170000</v>
      </c>
    </row>
    <row r="328" spans="1:6" ht="15" x14ac:dyDescent="0.4">
      <c r="A328" s="55" t="s">
        <v>704</v>
      </c>
      <c r="B328" s="54">
        <v>46055</v>
      </c>
      <c r="C328" s="55" t="s">
        <v>55</v>
      </c>
      <c r="D328" s="57">
        <v>170000</v>
      </c>
      <c r="E328" s="57">
        <v>0</v>
      </c>
      <c r="F328" s="57">
        <v>170000</v>
      </c>
    </row>
    <row r="329" spans="1:6" ht="15" x14ac:dyDescent="0.4">
      <c r="A329" s="55" t="s">
        <v>705</v>
      </c>
      <c r="B329" s="54">
        <v>46055</v>
      </c>
      <c r="C329" s="55" t="s">
        <v>62</v>
      </c>
      <c r="D329" s="57">
        <v>170000</v>
      </c>
      <c r="E329" s="57">
        <v>0</v>
      </c>
      <c r="F329" s="57">
        <v>170000</v>
      </c>
    </row>
    <row r="330" spans="1:6" ht="15" x14ac:dyDescent="0.4">
      <c r="A330" s="55" t="s">
        <v>706</v>
      </c>
      <c r="B330" s="54">
        <v>46055</v>
      </c>
      <c r="C330" s="55" t="s">
        <v>55</v>
      </c>
      <c r="D330" s="57">
        <v>480000</v>
      </c>
      <c r="E330" s="57">
        <v>0</v>
      </c>
      <c r="F330" s="57">
        <v>480000</v>
      </c>
    </row>
    <row r="331" spans="1:6" ht="15" x14ac:dyDescent="0.4">
      <c r="A331" s="55" t="s">
        <v>707</v>
      </c>
      <c r="B331" s="54">
        <v>46056</v>
      </c>
      <c r="C331" s="55" t="s">
        <v>59</v>
      </c>
      <c r="D331" s="57">
        <v>150000</v>
      </c>
      <c r="E331" s="57">
        <v>0</v>
      </c>
      <c r="F331" s="57">
        <v>150000</v>
      </c>
    </row>
    <row r="332" spans="1:6" ht="15" x14ac:dyDescent="0.4">
      <c r="A332" s="55" t="s">
        <v>708</v>
      </c>
      <c r="B332" s="54">
        <v>46056</v>
      </c>
      <c r="C332" s="55" t="s">
        <v>61</v>
      </c>
      <c r="D332" s="57">
        <v>150000</v>
      </c>
      <c r="E332" s="57">
        <v>0</v>
      </c>
      <c r="F332" s="57">
        <v>150000</v>
      </c>
    </row>
    <row r="333" spans="1:6" ht="15" x14ac:dyDescent="0.4">
      <c r="A333" s="55" t="s">
        <v>709</v>
      </c>
      <c r="B333" s="54">
        <v>46057</v>
      </c>
      <c r="C333" s="55" t="s">
        <v>386</v>
      </c>
      <c r="D333" s="57">
        <v>750000</v>
      </c>
      <c r="E333" s="57">
        <v>0</v>
      </c>
      <c r="F333" s="57">
        <v>750000</v>
      </c>
    </row>
    <row r="334" spans="1:6" ht="15" x14ac:dyDescent="0.4">
      <c r="A334" s="55" t="s">
        <v>710</v>
      </c>
      <c r="B334" s="54">
        <v>46057</v>
      </c>
      <c r="C334" s="55" t="s">
        <v>63</v>
      </c>
      <c r="D334" s="57">
        <v>150000</v>
      </c>
      <c r="E334" s="57">
        <v>0</v>
      </c>
      <c r="F334" s="57">
        <v>150000</v>
      </c>
    </row>
    <row r="335" spans="1:6" ht="15" x14ac:dyDescent="0.4">
      <c r="A335" s="55" t="s">
        <v>711</v>
      </c>
      <c r="B335" s="54">
        <v>46057</v>
      </c>
      <c r="C335" s="55" t="s">
        <v>57</v>
      </c>
      <c r="D335" s="57">
        <v>170000</v>
      </c>
      <c r="E335" s="57">
        <v>0</v>
      </c>
      <c r="F335" s="57">
        <v>170000</v>
      </c>
    </row>
    <row r="336" spans="1:6" ht="15" x14ac:dyDescent="0.4">
      <c r="A336" s="55" t="s">
        <v>712</v>
      </c>
      <c r="B336" s="54">
        <v>46057</v>
      </c>
      <c r="C336" s="55" t="s">
        <v>55</v>
      </c>
      <c r="D336" s="57">
        <v>150000</v>
      </c>
      <c r="E336" s="57">
        <v>0</v>
      </c>
      <c r="F336" s="57">
        <v>150000</v>
      </c>
    </row>
    <row r="337" spans="1:6" ht="15" x14ac:dyDescent="0.4">
      <c r="A337" s="55" t="s">
        <v>713</v>
      </c>
      <c r="B337" s="54">
        <v>46059</v>
      </c>
      <c r="C337" s="55" t="s">
        <v>55</v>
      </c>
      <c r="D337" s="57">
        <v>170000</v>
      </c>
      <c r="E337" s="57">
        <v>0</v>
      </c>
      <c r="F337" s="57">
        <v>170000</v>
      </c>
    </row>
    <row r="338" spans="1:6" ht="15" x14ac:dyDescent="0.4">
      <c r="A338" s="55" t="s">
        <v>714</v>
      </c>
      <c r="B338" s="54">
        <v>46060</v>
      </c>
      <c r="C338" s="55" t="s">
        <v>398</v>
      </c>
      <c r="D338" s="57">
        <v>170000</v>
      </c>
      <c r="E338" s="57">
        <v>0</v>
      </c>
      <c r="F338" s="57">
        <v>170000</v>
      </c>
    </row>
    <row r="339" spans="1:6" ht="15" x14ac:dyDescent="0.4">
      <c r="A339" s="55" t="s">
        <v>715</v>
      </c>
      <c r="B339" s="54">
        <v>46060</v>
      </c>
      <c r="C339" s="55" t="s">
        <v>398</v>
      </c>
      <c r="D339" s="57">
        <v>150000</v>
      </c>
      <c r="E339" s="57">
        <v>0</v>
      </c>
      <c r="F339" s="57">
        <v>150000</v>
      </c>
    </row>
    <row r="340" spans="1:6" ht="15" x14ac:dyDescent="0.4">
      <c r="A340" s="55" t="s">
        <v>716</v>
      </c>
      <c r="B340" s="54">
        <v>46061</v>
      </c>
      <c r="C340" s="55" t="s">
        <v>380</v>
      </c>
      <c r="D340" s="57">
        <v>150000</v>
      </c>
      <c r="E340" s="57">
        <v>0</v>
      </c>
      <c r="F340" s="57">
        <v>150000</v>
      </c>
    </row>
    <row r="341" spans="1:6" ht="15" x14ac:dyDescent="0.4">
      <c r="A341" s="55" t="s">
        <v>717</v>
      </c>
      <c r="B341" s="54">
        <v>46061</v>
      </c>
      <c r="C341" s="55" t="s">
        <v>380</v>
      </c>
      <c r="D341" s="57">
        <v>480000</v>
      </c>
      <c r="E341" s="57">
        <v>0</v>
      </c>
      <c r="F341" s="57">
        <v>480000</v>
      </c>
    </row>
    <row r="342" spans="1:6" ht="15" x14ac:dyDescent="0.4">
      <c r="A342" s="55" t="s">
        <v>718</v>
      </c>
      <c r="B342" s="54">
        <v>46062</v>
      </c>
      <c r="C342" s="55" t="s">
        <v>55</v>
      </c>
      <c r="D342" s="57">
        <v>150000</v>
      </c>
      <c r="E342" s="57">
        <v>0</v>
      </c>
      <c r="F342" s="57">
        <v>150000</v>
      </c>
    </row>
    <row r="343" spans="1:6" ht="15" x14ac:dyDescent="0.4">
      <c r="A343" s="55" t="s">
        <v>719</v>
      </c>
      <c r="B343" s="54">
        <v>46063</v>
      </c>
      <c r="C343" s="55" t="s">
        <v>62</v>
      </c>
      <c r="D343" s="57">
        <v>170000</v>
      </c>
      <c r="E343" s="57">
        <v>0</v>
      </c>
      <c r="F343" s="57">
        <v>170000</v>
      </c>
    </row>
    <row r="344" spans="1:6" ht="15" x14ac:dyDescent="0.4">
      <c r="A344" s="55" t="s">
        <v>720</v>
      </c>
      <c r="B344" s="54">
        <v>46064</v>
      </c>
      <c r="C344" s="55" t="s">
        <v>61</v>
      </c>
      <c r="D344" s="57">
        <v>170000</v>
      </c>
      <c r="E344" s="57">
        <v>0</v>
      </c>
      <c r="F344" s="57">
        <v>170000</v>
      </c>
    </row>
    <row r="345" spans="1:6" ht="15" x14ac:dyDescent="0.4">
      <c r="A345" s="55" t="s">
        <v>721</v>
      </c>
      <c r="B345" s="54">
        <v>46066</v>
      </c>
      <c r="C345" s="55" t="s">
        <v>386</v>
      </c>
      <c r="D345" s="57">
        <v>480000</v>
      </c>
      <c r="E345" s="57">
        <v>0</v>
      </c>
      <c r="F345" s="57">
        <v>480000</v>
      </c>
    </row>
    <row r="346" spans="1:6" ht="15" x14ac:dyDescent="0.4">
      <c r="A346" s="55" t="s">
        <v>722</v>
      </c>
      <c r="B346" s="54">
        <v>46067</v>
      </c>
      <c r="C346" s="55" t="s">
        <v>386</v>
      </c>
      <c r="D346" s="57">
        <v>170000</v>
      </c>
      <c r="E346" s="57">
        <v>0</v>
      </c>
      <c r="F346" s="57">
        <v>170000</v>
      </c>
    </row>
    <row r="347" spans="1:6" ht="15" x14ac:dyDescent="0.4">
      <c r="A347" s="55" t="s">
        <v>723</v>
      </c>
      <c r="B347" s="54">
        <v>46068</v>
      </c>
      <c r="C347" s="55" t="s">
        <v>55</v>
      </c>
      <c r="D347" s="57">
        <v>480000</v>
      </c>
      <c r="E347" s="57">
        <v>0</v>
      </c>
      <c r="F347" s="57">
        <v>480000</v>
      </c>
    </row>
    <row r="348" spans="1:6" ht="15" x14ac:dyDescent="0.4">
      <c r="A348" s="55" t="s">
        <v>724</v>
      </c>
      <c r="B348" s="54">
        <v>46069</v>
      </c>
      <c r="C348" s="55" t="s">
        <v>57</v>
      </c>
      <c r="D348" s="57">
        <v>480000</v>
      </c>
      <c r="E348" s="57">
        <v>0</v>
      </c>
      <c r="F348" s="57">
        <v>480000</v>
      </c>
    </row>
    <row r="349" spans="1:6" ht="15" x14ac:dyDescent="0.4">
      <c r="A349" s="55" t="s">
        <v>725</v>
      </c>
      <c r="B349" s="54">
        <v>46070</v>
      </c>
      <c r="C349" s="55" t="s">
        <v>62</v>
      </c>
      <c r="D349" s="57">
        <v>170000</v>
      </c>
      <c r="E349" s="57">
        <v>0</v>
      </c>
      <c r="F349" s="57">
        <v>170000</v>
      </c>
    </row>
    <row r="350" spans="1:6" ht="15" x14ac:dyDescent="0.4">
      <c r="A350" s="55" t="s">
        <v>726</v>
      </c>
      <c r="B350" s="54">
        <v>46072</v>
      </c>
      <c r="C350" s="55" t="s">
        <v>57</v>
      </c>
      <c r="D350" s="57">
        <v>150000</v>
      </c>
      <c r="E350" s="57">
        <v>0</v>
      </c>
      <c r="F350" s="57">
        <v>150000</v>
      </c>
    </row>
    <row r="351" spans="1:6" ht="15" x14ac:dyDescent="0.4">
      <c r="A351" s="55" t="s">
        <v>727</v>
      </c>
      <c r="B351" s="54">
        <v>46073</v>
      </c>
      <c r="C351" s="55" t="s">
        <v>55</v>
      </c>
      <c r="D351" s="57">
        <v>150000</v>
      </c>
      <c r="E351" s="57">
        <v>0</v>
      </c>
      <c r="F351" s="57">
        <v>150000</v>
      </c>
    </row>
    <row r="352" spans="1:6" ht="15" x14ac:dyDescent="0.4">
      <c r="A352" s="55" t="s">
        <v>728</v>
      </c>
      <c r="B352" s="54">
        <v>46074</v>
      </c>
      <c r="C352" s="55" t="s">
        <v>398</v>
      </c>
      <c r="D352" s="57">
        <v>480000</v>
      </c>
      <c r="E352" s="57">
        <v>0</v>
      </c>
      <c r="F352" s="57">
        <v>480000</v>
      </c>
    </row>
    <row r="353" spans="1:6" ht="15" x14ac:dyDescent="0.4">
      <c r="A353" s="55" t="s">
        <v>729</v>
      </c>
      <c r="B353" s="54">
        <v>46076</v>
      </c>
      <c r="C353" s="55" t="s">
        <v>55</v>
      </c>
      <c r="D353" s="57">
        <v>170000</v>
      </c>
      <c r="E353" s="57">
        <v>0</v>
      </c>
      <c r="F353" s="57">
        <v>170000</v>
      </c>
    </row>
    <row r="354" spans="1:6" ht="15" x14ac:dyDescent="0.4">
      <c r="A354" s="55" t="s">
        <v>730</v>
      </c>
      <c r="B354" s="54">
        <v>46076</v>
      </c>
      <c r="C354" s="55" t="s">
        <v>63</v>
      </c>
      <c r="D354" s="57">
        <v>480000</v>
      </c>
      <c r="E354" s="57">
        <v>0</v>
      </c>
      <c r="F354" s="57">
        <v>480000</v>
      </c>
    </row>
    <row r="355" spans="1:6" ht="15" x14ac:dyDescent="0.4">
      <c r="A355" s="55" t="s">
        <v>731</v>
      </c>
      <c r="B355" s="54">
        <v>46076</v>
      </c>
      <c r="C355" s="55" t="s">
        <v>55</v>
      </c>
      <c r="D355" s="57">
        <v>480000</v>
      </c>
      <c r="E355" s="57">
        <v>0</v>
      </c>
      <c r="F355" s="57">
        <v>480000</v>
      </c>
    </row>
    <row r="356" spans="1:6" ht="15" x14ac:dyDescent="0.4">
      <c r="A356" s="55" t="s">
        <v>732</v>
      </c>
      <c r="B356" s="54">
        <v>46077</v>
      </c>
      <c r="C356" s="55" t="s">
        <v>380</v>
      </c>
      <c r="D356" s="57">
        <v>170000</v>
      </c>
      <c r="E356" s="57">
        <v>0</v>
      </c>
      <c r="F356" s="57">
        <v>170000</v>
      </c>
    </row>
    <row r="357" spans="1:6" ht="15" x14ac:dyDescent="0.4">
      <c r="A357" s="55" t="s">
        <v>733</v>
      </c>
      <c r="B357" s="54">
        <v>46077</v>
      </c>
      <c r="C357" s="55" t="s">
        <v>63</v>
      </c>
      <c r="D357" s="57">
        <v>170000</v>
      </c>
      <c r="E357" s="57">
        <v>0</v>
      </c>
      <c r="F357" s="57">
        <v>170000</v>
      </c>
    </row>
    <row r="358" spans="1:6" ht="15" x14ac:dyDescent="0.4">
      <c r="A358" s="55" t="s">
        <v>734</v>
      </c>
      <c r="B358" s="54">
        <v>46079</v>
      </c>
      <c r="C358" s="55" t="s">
        <v>62</v>
      </c>
      <c r="D358" s="57">
        <v>480000</v>
      </c>
      <c r="E358" s="57">
        <v>0</v>
      </c>
      <c r="F358" s="57">
        <v>480000</v>
      </c>
    </row>
    <row r="359" spans="1:6" ht="15" x14ac:dyDescent="0.4">
      <c r="A359" s="55" t="s">
        <v>735</v>
      </c>
      <c r="B359" s="54">
        <v>46079</v>
      </c>
      <c r="C359" s="55" t="s">
        <v>398</v>
      </c>
      <c r="D359" s="57">
        <v>480000</v>
      </c>
      <c r="E359" s="57">
        <v>0</v>
      </c>
      <c r="F359" s="57">
        <v>480000</v>
      </c>
    </row>
    <row r="360" spans="1:6" ht="15" x14ac:dyDescent="0.4">
      <c r="A360" s="55" t="s">
        <v>736</v>
      </c>
      <c r="B360" s="54">
        <v>46080</v>
      </c>
      <c r="C360" s="55" t="s">
        <v>377</v>
      </c>
      <c r="D360" s="57">
        <v>480000</v>
      </c>
      <c r="E360" s="57">
        <v>0</v>
      </c>
      <c r="F360" s="57">
        <v>480000</v>
      </c>
    </row>
    <row r="361" spans="1:6" ht="15" x14ac:dyDescent="0.4">
      <c r="A361" s="55" t="s">
        <v>737</v>
      </c>
      <c r="B361" s="54">
        <v>46080</v>
      </c>
      <c r="C361" s="55" t="s">
        <v>59</v>
      </c>
      <c r="D361" s="57">
        <v>1500000</v>
      </c>
      <c r="E361" s="57">
        <v>0</v>
      </c>
      <c r="F361" s="57">
        <v>1500000</v>
      </c>
    </row>
    <row r="362" spans="1:6" ht="15" x14ac:dyDescent="0.4">
      <c r="A362" s="55" t="s">
        <v>738</v>
      </c>
      <c r="B362" s="54">
        <v>46080</v>
      </c>
      <c r="C362" s="55" t="s">
        <v>63</v>
      </c>
      <c r="D362" s="57">
        <v>170000</v>
      </c>
      <c r="E362" s="57">
        <v>0</v>
      </c>
      <c r="F362" s="57">
        <v>170000</v>
      </c>
    </row>
    <row r="363" spans="1:6" ht="15" x14ac:dyDescent="0.4">
      <c r="A363" s="55" t="s">
        <v>739</v>
      </c>
      <c r="B363" s="54">
        <v>46080</v>
      </c>
      <c r="C363" s="55" t="s">
        <v>55</v>
      </c>
      <c r="D363" s="57">
        <v>480000</v>
      </c>
      <c r="E363" s="57">
        <v>0</v>
      </c>
      <c r="F363" s="57">
        <v>480000</v>
      </c>
    </row>
    <row r="364" spans="1:6" ht="15" x14ac:dyDescent="0.4">
      <c r="A364" s="55" t="s">
        <v>740</v>
      </c>
      <c r="B364" s="54">
        <v>46081</v>
      </c>
      <c r="C364" s="55" t="s">
        <v>386</v>
      </c>
      <c r="D364" s="57">
        <v>170000</v>
      </c>
      <c r="E364" s="57">
        <v>0</v>
      </c>
      <c r="F364" s="57">
        <v>170000</v>
      </c>
    </row>
    <row r="365" spans="1:6" ht="15" x14ac:dyDescent="0.4">
      <c r="A365" s="55" t="s">
        <v>741</v>
      </c>
      <c r="B365" s="54">
        <v>46081</v>
      </c>
      <c r="C365" s="55" t="s">
        <v>59</v>
      </c>
      <c r="D365" s="57">
        <v>170000</v>
      </c>
      <c r="E365" s="57">
        <v>0</v>
      </c>
      <c r="F365" s="57">
        <v>170000</v>
      </c>
    </row>
    <row r="366" spans="1:6" ht="15" x14ac:dyDescent="0.4">
      <c r="A366" s="55" t="s">
        <v>742</v>
      </c>
      <c r="B366" s="54">
        <v>46082</v>
      </c>
      <c r="C366" s="55" t="s">
        <v>63</v>
      </c>
      <c r="D366" s="57">
        <v>170000</v>
      </c>
      <c r="E366" s="57">
        <v>0</v>
      </c>
      <c r="F366" s="57">
        <v>170000</v>
      </c>
    </row>
    <row r="367" spans="1:6" ht="15" x14ac:dyDescent="0.4">
      <c r="A367" s="55" t="s">
        <v>743</v>
      </c>
      <c r="B367" s="54">
        <v>46082</v>
      </c>
      <c r="C367" s="55" t="s">
        <v>398</v>
      </c>
      <c r="D367" s="57">
        <v>750000</v>
      </c>
      <c r="E367" s="57">
        <v>0</v>
      </c>
      <c r="F367" s="57">
        <v>750000</v>
      </c>
    </row>
    <row r="368" spans="1:6" ht="15" x14ac:dyDescent="0.4">
      <c r="A368" s="55" t="s">
        <v>744</v>
      </c>
      <c r="B368" s="54">
        <v>46082</v>
      </c>
      <c r="C368" s="55" t="s">
        <v>55</v>
      </c>
      <c r="D368" s="57">
        <v>480000</v>
      </c>
      <c r="E368" s="57">
        <v>0</v>
      </c>
      <c r="F368" s="57">
        <v>480000</v>
      </c>
    </row>
    <row r="369" spans="1:6" ht="15" x14ac:dyDescent="0.4">
      <c r="A369" s="55" t="s">
        <v>745</v>
      </c>
      <c r="B369" s="54">
        <v>46083</v>
      </c>
      <c r="C369" s="55" t="s">
        <v>59</v>
      </c>
      <c r="D369" s="57">
        <v>170000</v>
      </c>
      <c r="E369" s="57">
        <v>0</v>
      </c>
      <c r="F369" s="57">
        <v>170000</v>
      </c>
    </row>
    <row r="370" spans="1:6" ht="15" x14ac:dyDescent="0.4">
      <c r="A370" s="55" t="s">
        <v>746</v>
      </c>
      <c r="B370" s="54">
        <v>46083</v>
      </c>
      <c r="C370" s="55" t="s">
        <v>59</v>
      </c>
      <c r="D370" s="57">
        <v>170000</v>
      </c>
      <c r="E370" s="57">
        <v>0</v>
      </c>
      <c r="F370" s="57">
        <v>170000</v>
      </c>
    </row>
    <row r="371" spans="1:6" ht="15" x14ac:dyDescent="0.4">
      <c r="A371" s="55" t="s">
        <v>747</v>
      </c>
      <c r="B371" s="54">
        <v>46083</v>
      </c>
      <c r="C371" s="55" t="s">
        <v>398</v>
      </c>
      <c r="D371" s="57">
        <v>170000</v>
      </c>
      <c r="E371" s="57">
        <v>0</v>
      </c>
      <c r="F371" s="57">
        <v>170000</v>
      </c>
    </row>
    <row r="372" spans="1:6" ht="15" x14ac:dyDescent="0.4">
      <c r="A372" s="55" t="s">
        <v>748</v>
      </c>
      <c r="B372" s="54">
        <v>46084</v>
      </c>
      <c r="C372" s="55" t="s">
        <v>398</v>
      </c>
      <c r="D372" s="57">
        <v>150000</v>
      </c>
      <c r="E372" s="57">
        <v>0</v>
      </c>
      <c r="F372" s="57">
        <v>150000</v>
      </c>
    </row>
    <row r="373" spans="1:6" ht="15" x14ac:dyDescent="0.4">
      <c r="A373" s="55" t="s">
        <v>749</v>
      </c>
      <c r="B373" s="54">
        <v>46085</v>
      </c>
      <c r="C373" s="55" t="s">
        <v>62</v>
      </c>
      <c r="D373" s="57">
        <v>170000</v>
      </c>
      <c r="E373" s="57">
        <v>0</v>
      </c>
      <c r="F373" s="57">
        <v>170000</v>
      </c>
    </row>
    <row r="374" spans="1:6" ht="15" x14ac:dyDescent="0.4">
      <c r="A374" s="55" t="s">
        <v>750</v>
      </c>
      <c r="B374" s="54">
        <v>46085</v>
      </c>
      <c r="C374" s="55" t="s">
        <v>59</v>
      </c>
      <c r="D374" s="57">
        <v>750000</v>
      </c>
      <c r="E374" s="57">
        <v>750000</v>
      </c>
      <c r="F374" s="57">
        <v>0</v>
      </c>
    </row>
    <row r="375" spans="1:6" ht="15" x14ac:dyDescent="0.4">
      <c r="A375" s="55" t="s">
        <v>751</v>
      </c>
      <c r="B375" s="54">
        <v>46085</v>
      </c>
      <c r="C375" s="55" t="s">
        <v>63</v>
      </c>
      <c r="D375" s="57">
        <v>1500000</v>
      </c>
      <c r="E375" s="57">
        <v>0</v>
      </c>
      <c r="F375" s="57">
        <v>1500000</v>
      </c>
    </row>
    <row r="376" spans="1:6" ht="15" x14ac:dyDescent="0.4">
      <c r="A376" s="55" t="s">
        <v>752</v>
      </c>
      <c r="B376" s="54">
        <v>46087</v>
      </c>
      <c r="C376" s="55" t="s">
        <v>57</v>
      </c>
      <c r="D376" s="57">
        <v>170000</v>
      </c>
      <c r="E376" s="57">
        <v>0</v>
      </c>
      <c r="F376" s="57">
        <v>170000</v>
      </c>
    </row>
    <row r="377" spans="1:6" ht="15" x14ac:dyDescent="0.4">
      <c r="A377" s="55" t="s">
        <v>753</v>
      </c>
      <c r="B377" s="54">
        <v>46087</v>
      </c>
      <c r="C377" s="55" t="s">
        <v>62</v>
      </c>
      <c r="D377" s="57">
        <v>1500000</v>
      </c>
      <c r="E377" s="57">
        <v>0</v>
      </c>
      <c r="F377" s="57">
        <v>1500000</v>
      </c>
    </row>
    <row r="378" spans="1:6" ht="15" x14ac:dyDescent="0.4">
      <c r="A378" s="55" t="s">
        <v>754</v>
      </c>
      <c r="B378" s="54">
        <v>46088</v>
      </c>
      <c r="C378" s="55" t="s">
        <v>62</v>
      </c>
      <c r="D378" s="57">
        <v>150000</v>
      </c>
      <c r="E378" s="57">
        <v>0</v>
      </c>
      <c r="F378" s="57">
        <v>150000</v>
      </c>
    </row>
    <row r="379" spans="1:6" ht="15" x14ac:dyDescent="0.4">
      <c r="A379" s="55" t="s">
        <v>755</v>
      </c>
      <c r="B379" s="54">
        <v>46088</v>
      </c>
      <c r="C379" s="55" t="s">
        <v>386</v>
      </c>
      <c r="D379" s="57">
        <v>1500000</v>
      </c>
      <c r="E379" s="57">
        <v>0</v>
      </c>
      <c r="F379" s="57">
        <v>1500000</v>
      </c>
    </row>
    <row r="380" spans="1:6" ht="15" x14ac:dyDescent="0.4">
      <c r="A380" s="55" t="s">
        <v>756</v>
      </c>
      <c r="B380" s="54">
        <v>46089</v>
      </c>
      <c r="C380" s="55" t="s">
        <v>55</v>
      </c>
      <c r="D380" s="57">
        <v>170000</v>
      </c>
      <c r="E380" s="57">
        <v>0</v>
      </c>
      <c r="F380" s="57">
        <v>170000</v>
      </c>
    </row>
    <row r="381" spans="1:6" ht="15" x14ac:dyDescent="0.4">
      <c r="A381" s="55" t="s">
        <v>757</v>
      </c>
      <c r="B381" s="54">
        <v>46090</v>
      </c>
      <c r="C381" s="55" t="s">
        <v>398</v>
      </c>
      <c r="D381" s="57">
        <v>170000</v>
      </c>
      <c r="E381" s="57">
        <v>0</v>
      </c>
      <c r="F381" s="57">
        <v>170000</v>
      </c>
    </row>
    <row r="382" spans="1:6" ht="15" x14ac:dyDescent="0.4">
      <c r="A382" s="55" t="s">
        <v>758</v>
      </c>
      <c r="B382" s="54">
        <v>46090</v>
      </c>
      <c r="C382" s="55" t="s">
        <v>59</v>
      </c>
      <c r="D382" s="57">
        <v>150000</v>
      </c>
      <c r="E382" s="57">
        <v>0</v>
      </c>
      <c r="F382" s="57">
        <v>150000</v>
      </c>
    </row>
    <row r="383" spans="1:6" ht="15" x14ac:dyDescent="0.4">
      <c r="A383" s="55" t="s">
        <v>759</v>
      </c>
      <c r="B383" s="54">
        <v>46090</v>
      </c>
      <c r="C383" s="55" t="s">
        <v>386</v>
      </c>
      <c r="D383" s="57">
        <v>480000</v>
      </c>
      <c r="E383" s="57">
        <v>0</v>
      </c>
      <c r="F383" s="57">
        <v>480000</v>
      </c>
    </row>
    <row r="384" spans="1:6" ht="15" x14ac:dyDescent="0.4">
      <c r="A384" s="55" t="s">
        <v>760</v>
      </c>
      <c r="B384" s="54">
        <v>46091</v>
      </c>
      <c r="C384" s="55" t="s">
        <v>63</v>
      </c>
      <c r="D384" s="57">
        <v>170000</v>
      </c>
      <c r="E384" s="57">
        <v>0</v>
      </c>
      <c r="F384" s="57">
        <v>170000</v>
      </c>
    </row>
    <row r="385" spans="1:6" ht="15" x14ac:dyDescent="0.4">
      <c r="A385" s="55" t="s">
        <v>761</v>
      </c>
      <c r="B385" s="54">
        <v>46092</v>
      </c>
      <c r="C385" s="55" t="s">
        <v>61</v>
      </c>
      <c r="D385" s="57">
        <v>480000</v>
      </c>
      <c r="E385" s="57">
        <v>0</v>
      </c>
      <c r="F385" s="57">
        <v>480000</v>
      </c>
    </row>
    <row r="386" spans="1:6" ht="15" x14ac:dyDescent="0.4">
      <c r="A386" s="55" t="s">
        <v>762</v>
      </c>
      <c r="B386" s="54">
        <v>46092</v>
      </c>
      <c r="C386" s="55" t="s">
        <v>63</v>
      </c>
      <c r="D386" s="57">
        <v>480000</v>
      </c>
      <c r="E386" s="57">
        <v>0</v>
      </c>
      <c r="F386" s="57">
        <v>480000</v>
      </c>
    </row>
    <row r="387" spans="1:6" ht="15" x14ac:dyDescent="0.4">
      <c r="A387" s="55" t="s">
        <v>763</v>
      </c>
      <c r="B387" s="54">
        <v>46093</v>
      </c>
      <c r="C387" s="55" t="s">
        <v>62</v>
      </c>
      <c r="D387" s="57">
        <v>170000</v>
      </c>
      <c r="E387" s="57">
        <v>0</v>
      </c>
      <c r="F387" s="57">
        <v>170000</v>
      </c>
    </row>
    <row r="388" spans="1:6" ht="15" x14ac:dyDescent="0.4">
      <c r="A388" s="55" t="s">
        <v>764</v>
      </c>
      <c r="B388" s="54">
        <v>46093</v>
      </c>
      <c r="C388" s="55" t="s">
        <v>59</v>
      </c>
      <c r="D388" s="57">
        <v>150000</v>
      </c>
      <c r="E388" s="57">
        <v>0</v>
      </c>
      <c r="F388" s="57">
        <v>150000</v>
      </c>
    </row>
    <row r="389" spans="1:6" ht="15" x14ac:dyDescent="0.4">
      <c r="A389" s="55" t="s">
        <v>765</v>
      </c>
      <c r="B389" s="54">
        <v>46093</v>
      </c>
      <c r="C389" s="55" t="s">
        <v>61</v>
      </c>
      <c r="D389" s="57">
        <v>170000</v>
      </c>
      <c r="E389" s="57">
        <v>0</v>
      </c>
      <c r="F389" s="57">
        <v>170000</v>
      </c>
    </row>
    <row r="390" spans="1:6" ht="15" x14ac:dyDescent="0.4">
      <c r="A390" s="55" t="s">
        <v>766</v>
      </c>
      <c r="B390" s="54">
        <v>46093</v>
      </c>
      <c r="C390" s="55" t="s">
        <v>63</v>
      </c>
      <c r="D390" s="57">
        <v>170000</v>
      </c>
      <c r="E390" s="57">
        <v>0</v>
      </c>
      <c r="F390" s="57">
        <v>170000</v>
      </c>
    </row>
    <row r="391" spans="1:6" ht="15" x14ac:dyDescent="0.4">
      <c r="A391" s="55" t="s">
        <v>767</v>
      </c>
      <c r="B391" s="54">
        <v>46094</v>
      </c>
      <c r="C391" s="55" t="s">
        <v>55</v>
      </c>
      <c r="D391" s="57">
        <v>480000</v>
      </c>
      <c r="E391" s="57">
        <v>0</v>
      </c>
      <c r="F391" s="57">
        <v>480000</v>
      </c>
    </row>
    <row r="392" spans="1:6" ht="15" x14ac:dyDescent="0.4">
      <c r="A392" s="55" t="s">
        <v>768</v>
      </c>
      <c r="B392" s="54">
        <v>46094</v>
      </c>
      <c r="C392" s="55" t="s">
        <v>63</v>
      </c>
      <c r="D392" s="57">
        <v>1500000</v>
      </c>
      <c r="E392" s="57">
        <v>0</v>
      </c>
      <c r="F392" s="57">
        <v>1500000</v>
      </c>
    </row>
    <row r="393" spans="1:6" ht="15" x14ac:dyDescent="0.4">
      <c r="A393" s="55" t="s">
        <v>769</v>
      </c>
      <c r="B393" s="54">
        <v>46094</v>
      </c>
      <c r="C393" s="55" t="s">
        <v>59</v>
      </c>
      <c r="D393" s="57">
        <v>1500000</v>
      </c>
      <c r="E393" s="57">
        <v>0</v>
      </c>
      <c r="F393" s="57">
        <v>1500000</v>
      </c>
    </row>
    <row r="394" spans="1:6" ht="15" x14ac:dyDescent="0.4">
      <c r="A394" s="55" t="s">
        <v>770</v>
      </c>
      <c r="B394" s="54">
        <v>46095</v>
      </c>
      <c r="C394" s="55" t="s">
        <v>398</v>
      </c>
      <c r="D394" s="57">
        <v>480000</v>
      </c>
      <c r="E394" s="57">
        <v>0</v>
      </c>
      <c r="F394" s="57">
        <v>480000</v>
      </c>
    </row>
    <row r="395" spans="1:6" ht="15" x14ac:dyDescent="0.4">
      <c r="A395" s="55" t="s">
        <v>771</v>
      </c>
      <c r="B395" s="54">
        <v>46096</v>
      </c>
      <c r="C395" s="55" t="s">
        <v>63</v>
      </c>
      <c r="D395" s="57">
        <v>150000</v>
      </c>
      <c r="E395" s="57">
        <v>75000</v>
      </c>
      <c r="F395" s="57">
        <v>75000</v>
      </c>
    </row>
    <row r="396" spans="1:6" ht="15" x14ac:dyDescent="0.4">
      <c r="A396" s="55" t="s">
        <v>772</v>
      </c>
      <c r="B396" s="54">
        <v>46097</v>
      </c>
      <c r="C396" s="55" t="s">
        <v>59</v>
      </c>
      <c r="D396" s="57">
        <v>750000</v>
      </c>
      <c r="E396" s="57">
        <v>750000</v>
      </c>
      <c r="F396" s="57">
        <v>0</v>
      </c>
    </row>
    <row r="397" spans="1:6" ht="15" x14ac:dyDescent="0.4">
      <c r="A397" s="55" t="s">
        <v>773</v>
      </c>
      <c r="B397" s="54">
        <v>46097</v>
      </c>
      <c r="C397" s="55" t="s">
        <v>61</v>
      </c>
      <c r="D397" s="57">
        <v>480000</v>
      </c>
      <c r="E397" s="57">
        <v>0</v>
      </c>
      <c r="F397" s="57">
        <v>480000</v>
      </c>
    </row>
    <row r="398" spans="1:6" ht="15" x14ac:dyDescent="0.4">
      <c r="A398" s="55" t="s">
        <v>774</v>
      </c>
      <c r="B398" s="54">
        <v>46097</v>
      </c>
      <c r="C398" s="55" t="s">
        <v>55</v>
      </c>
      <c r="D398" s="57">
        <v>480000</v>
      </c>
      <c r="E398" s="57">
        <v>0</v>
      </c>
      <c r="F398" s="57">
        <v>480000</v>
      </c>
    </row>
    <row r="399" spans="1:6" ht="15" x14ac:dyDescent="0.4">
      <c r="A399" s="55" t="s">
        <v>775</v>
      </c>
      <c r="B399" s="54">
        <v>46097</v>
      </c>
      <c r="C399" s="55" t="s">
        <v>55</v>
      </c>
      <c r="D399" s="57">
        <v>480000</v>
      </c>
      <c r="E399" s="57">
        <v>0</v>
      </c>
      <c r="F399" s="57">
        <v>480000</v>
      </c>
    </row>
    <row r="400" spans="1:6" ht="15" x14ac:dyDescent="0.4">
      <c r="A400" s="55" t="s">
        <v>776</v>
      </c>
      <c r="B400" s="54">
        <v>46098</v>
      </c>
      <c r="C400" s="55" t="s">
        <v>398</v>
      </c>
      <c r="D400" s="57">
        <v>150000</v>
      </c>
      <c r="E400" s="57">
        <v>0</v>
      </c>
      <c r="F400" s="57">
        <v>150000</v>
      </c>
    </row>
    <row r="401" spans="1:6" ht="15" x14ac:dyDescent="0.4">
      <c r="A401" s="55" t="s">
        <v>777</v>
      </c>
      <c r="B401" s="54">
        <v>46098</v>
      </c>
      <c r="C401" s="55" t="s">
        <v>61</v>
      </c>
      <c r="D401" s="57">
        <v>480000</v>
      </c>
      <c r="E401" s="57">
        <v>0</v>
      </c>
      <c r="F401" s="57">
        <v>480000</v>
      </c>
    </row>
    <row r="402" spans="1:6" ht="15" x14ac:dyDescent="0.4">
      <c r="A402" s="55" t="s">
        <v>778</v>
      </c>
      <c r="B402" s="54">
        <v>46098</v>
      </c>
      <c r="C402" s="55" t="s">
        <v>386</v>
      </c>
      <c r="D402" s="57">
        <v>1500000</v>
      </c>
      <c r="E402" s="57">
        <v>0</v>
      </c>
      <c r="F402" s="57">
        <v>1500000</v>
      </c>
    </row>
    <row r="403" spans="1:6" ht="15" x14ac:dyDescent="0.4">
      <c r="A403" s="55" t="s">
        <v>779</v>
      </c>
      <c r="B403" s="54">
        <v>46099</v>
      </c>
      <c r="C403" s="55" t="s">
        <v>55</v>
      </c>
      <c r="D403" s="57">
        <v>150000</v>
      </c>
      <c r="E403" s="57">
        <v>0</v>
      </c>
      <c r="F403" s="57">
        <v>150000</v>
      </c>
    </row>
    <row r="404" spans="1:6" ht="15" x14ac:dyDescent="0.4">
      <c r="A404" s="55" t="s">
        <v>780</v>
      </c>
      <c r="B404" s="54">
        <v>46100</v>
      </c>
      <c r="C404" s="55" t="s">
        <v>62</v>
      </c>
      <c r="D404" s="57">
        <v>170000</v>
      </c>
      <c r="E404" s="57">
        <v>0</v>
      </c>
      <c r="F404" s="57">
        <v>170000</v>
      </c>
    </row>
    <row r="405" spans="1:6" ht="15" x14ac:dyDescent="0.4">
      <c r="A405" s="55" t="s">
        <v>781</v>
      </c>
      <c r="B405" s="54">
        <v>46101</v>
      </c>
      <c r="C405" s="55" t="s">
        <v>61</v>
      </c>
      <c r="D405" s="57">
        <v>480000</v>
      </c>
      <c r="E405" s="57">
        <v>0</v>
      </c>
      <c r="F405" s="57">
        <v>480000</v>
      </c>
    </row>
    <row r="406" spans="1:6" ht="15" x14ac:dyDescent="0.4">
      <c r="A406" s="55" t="s">
        <v>782</v>
      </c>
      <c r="B406" s="54">
        <v>46102</v>
      </c>
      <c r="C406" s="55" t="s">
        <v>386</v>
      </c>
      <c r="D406" s="57">
        <v>480000</v>
      </c>
      <c r="E406" s="57">
        <v>240000</v>
      </c>
      <c r="F406" s="57">
        <v>240000</v>
      </c>
    </row>
    <row r="407" spans="1:6" ht="15" x14ac:dyDescent="0.4">
      <c r="A407" s="55" t="s">
        <v>783</v>
      </c>
      <c r="B407" s="54">
        <v>46103</v>
      </c>
      <c r="C407" s="55" t="s">
        <v>57</v>
      </c>
      <c r="D407" s="57">
        <v>480000</v>
      </c>
      <c r="E407" s="57">
        <v>0</v>
      </c>
      <c r="F407" s="57">
        <v>480000</v>
      </c>
    </row>
    <row r="408" spans="1:6" ht="15" x14ac:dyDescent="0.4">
      <c r="A408" s="55" t="s">
        <v>784</v>
      </c>
      <c r="B408" s="54">
        <v>46103</v>
      </c>
      <c r="C408" s="55" t="s">
        <v>398</v>
      </c>
      <c r="D408" s="57">
        <v>750000</v>
      </c>
      <c r="E408" s="57">
        <v>0</v>
      </c>
      <c r="F408" s="57">
        <v>750000</v>
      </c>
    </row>
    <row r="409" spans="1:6" ht="15" x14ac:dyDescent="0.4">
      <c r="A409" s="55" t="s">
        <v>785</v>
      </c>
      <c r="B409" s="54">
        <v>46104</v>
      </c>
      <c r="C409" s="55" t="s">
        <v>63</v>
      </c>
      <c r="D409" s="57">
        <v>1500000</v>
      </c>
      <c r="E409" s="57">
        <v>0</v>
      </c>
      <c r="F409" s="57">
        <v>1500000</v>
      </c>
    </row>
    <row r="410" spans="1:6" ht="15" x14ac:dyDescent="0.4">
      <c r="A410" s="55" t="s">
        <v>786</v>
      </c>
      <c r="B410" s="54">
        <v>46105</v>
      </c>
      <c r="C410" s="55" t="s">
        <v>55</v>
      </c>
      <c r="D410" s="57">
        <v>480000</v>
      </c>
      <c r="E410" s="57">
        <v>480000</v>
      </c>
      <c r="F410" s="57">
        <v>0</v>
      </c>
    </row>
    <row r="411" spans="1:6" ht="15" x14ac:dyDescent="0.4">
      <c r="A411" s="55" t="s">
        <v>787</v>
      </c>
      <c r="B411" s="54">
        <v>46105</v>
      </c>
      <c r="C411" s="55" t="s">
        <v>55</v>
      </c>
      <c r="D411" s="57">
        <v>170000</v>
      </c>
      <c r="E411" s="57">
        <v>0</v>
      </c>
      <c r="F411" s="57">
        <v>170000</v>
      </c>
    </row>
    <row r="412" spans="1:6" ht="15" x14ac:dyDescent="0.4">
      <c r="A412" s="55" t="s">
        <v>788</v>
      </c>
      <c r="B412" s="54">
        <v>46106</v>
      </c>
      <c r="C412" s="55" t="s">
        <v>57</v>
      </c>
      <c r="D412" s="57">
        <v>170000</v>
      </c>
      <c r="E412" s="57">
        <v>0</v>
      </c>
      <c r="F412" s="57">
        <v>170000</v>
      </c>
    </row>
    <row r="413" spans="1:6" ht="15" x14ac:dyDescent="0.4">
      <c r="A413" s="55" t="s">
        <v>789</v>
      </c>
      <c r="B413" s="54">
        <v>46106</v>
      </c>
      <c r="C413" s="55" t="s">
        <v>59</v>
      </c>
      <c r="D413" s="57">
        <v>150000</v>
      </c>
      <c r="E413" s="57">
        <v>0</v>
      </c>
      <c r="F413" s="57">
        <v>150000</v>
      </c>
    </row>
    <row r="414" spans="1:6" ht="15" x14ac:dyDescent="0.4">
      <c r="A414" s="55" t="s">
        <v>790</v>
      </c>
      <c r="B414" s="54">
        <v>46107</v>
      </c>
      <c r="C414" s="55" t="s">
        <v>63</v>
      </c>
      <c r="D414" s="57">
        <v>170000</v>
      </c>
      <c r="E414" s="57">
        <v>0</v>
      </c>
      <c r="F414" s="57">
        <v>170000</v>
      </c>
    </row>
    <row r="415" spans="1:6" ht="15" x14ac:dyDescent="0.4">
      <c r="A415" s="55" t="s">
        <v>791</v>
      </c>
      <c r="B415" s="54">
        <v>46107</v>
      </c>
      <c r="C415" s="55" t="s">
        <v>62</v>
      </c>
      <c r="D415" s="57">
        <v>480000</v>
      </c>
      <c r="E415" s="57">
        <v>0</v>
      </c>
      <c r="F415" s="57">
        <v>480000</v>
      </c>
    </row>
    <row r="416" spans="1:6" ht="15" x14ac:dyDescent="0.4">
      <c r="A416" s="55" t="s">
        <v>792</v>
      </c>
      <c r="B416" s="54">
        <v>46109</v>
      </c>
      <c r="C416" s="55" t="s">
        <v>55</v>
      </c>
      <c r="D416" s="57">
        <v>480000</v>
      </c>
      <c r="E416" s="57">
        <v>0</v>
      </c>
      <c r="F416" s="57">
        <v>480000</v>
      </c>
    </row>
    <row r="417" spans="1:6" ht="15" x14ac:dyDescent="0.4">
      <c r="A417" s="55" t="s">
        <v>793</v>
      </c>
      <c r="B417" s="54">
        <v>46110</v>
      </c>
      <c r="C417" s="55" t="s">
        <v>63</v>
      </c>
      <c r="D417" s="57">
        <v>170000</v>
      </c>
      <c r="E417" s="57">
        <v>0</v>
      </c>
      <c r="F417" s="57">
        <v>170000</v>
      </c>
    </row>
    <row r="418" spans="1:6" ht="15" x14ac:dyDescent="0.4">
      <c r="A418" s="55" t="s">
        <v>794</v>
      </c>
      <c r="B418" s="54">
        <v>46110</v>
      </c>
      <c r="C418" s="55" t="s">
        <v>59</v>
      </c>
      <c r="D418" s="57">
        <v>1500000</v>
      </c>
      <c r="E418" s="57">
        <v>750000</v>
      </c>
      <c r="F418" s="57">
        <v>750000</v>
      </c>
    </row>
    <row r="419" spans="1:6" ht="15" x14ac:dyDescent="0.4">
      <c r="A419" s="55" t="s">
        <v>795</v>
      </c>
      <c r="B419" s="54">
        <v>46111</v>
      </c>
      <c r="C419" s="55" t="s">
        <v>386</v>
      </c>
      <c r="D419" s="57">
        <v>170000</v>
      </c>
      <c r="E419" s="57">
        <v>0</v>
      </c>
      <c r="F419" s="57">
        <v>170000</v>
      </c>
    </row>
    <row r="420" spans="1:6" ht="15" x14ac:dyDescent="0.4">
      <c r="A420" s="55" t="s">
        <v>796</v>
      </c>
      <c r="B420" s="54">
        <v>46111</v>
      </c>
      <c r="C420" s="55" t="s">
        <v>59</v>
      </c>
      <c r="D420" s="57">
        <v>170000</v>
      </c>
      <c r="E420" s="57">
        <v>0</v>
      </c>
      <c r="F420" s="57">
        <v>170000</v>
      </c>
    </row>
    <row r="421" spans="1:6" ht="15" x14ac:dyDescent="0.4">
      <c r="A421" s="55" t="s">
        <v>797</v>
      </c>
      <c r="B421" s="54">
        <v>46111</v>
      </c>
      <c r="C421" s="55" t="s">
        <v>386</v>
      </c>
      <c r="D421" s="57">
        <v>150000</v>
      </c>
      <c r="E421" s="57">
        <v>0</v>
      </c>
      <c r="F421" s="57">
        <v>150000</v>
      </c>
    </row>
    <row r="422" spans="1:6" ht="15" x14ac:dyDescent="0.4">
      <c r="A422" s="55" t="s">
        <v>798</v>
      </c>
      <c r="B422" s="54">
        <v>46111</v>
      </c>
      <c r="C422" s="55" t="s">
        <v>63</v>
      </c>
      <c r="D422" s="57">
        <v>480000</v>
      </c>
      <c r="E422" s="57">
        <v>0</v>
      </c>
      <c r="F422" s="57">
        <v>480000</v>
      </c>
    </row>
    <row r="423" spans="1:6" ht="15" x14ac:dyDescent="0.4">
      <c r="A423" s="55" t="s">
        <v>799</v>
      </c>
      <c r="B423" s="54">
        <v>46112</v>
      </c>
      <c r="C423" s="55" t="s">
        <v>63</v>
      </c>
      <c r="D423" s="57">
        <v>170000</v>
      </c>
      <c r="E423" s="57">
        <v>0</v>
      </c>
      <c r="F423" s="57">
        <v>170000</v>
      </c>
    </row>
    <row r="424" spans="1:6" ht="15" x14ac:dyDescent="0.4">
      <c r="A424" s="55" t="s">
        <v>800</v>
      </c>
      <c r="B424" s="54">
        <v>46112</v>
      </c>
      <c r="C424" s="55" t="s">
        <v>63</v>
      </c>
      <c r="D424" s="57">
        <v>750000</v>
      </c>
      <c r="E424" s="57">
        <v>0</v>
      </c>
      <c r="F424" s="57">
        <v>750000</v>
      </c>
    </row>
    <row r="425" spans="1:6" ht="15" x14ac:dyDescent="0.4">
      <c r="A425" s="55" t="s">
        <v>801</v>
      </c>
      <c r="B425" s="54">
        <v>46112</v>
      </c>
      <c r="C425" s="55" t="s">
        <v>55</v>
      </c>
      <c r="D425" s="57">
        <v>170000</v>
      </c>
      <c r="E425" s="57">
        <v>0</v>
      </c>
      <c r="F425" s="57">
        <v>170000</v>
      </c>
    </row>
    <row r="426" spans="1:6" ht="15" x14ac:dyDescent="0.4">
      <c r="A426" s="55" t="s">
        <v>802</v>
      </c>
      <c r="B426" s="54">
        <v>46112</v>
      </c>
      <c r="C426" s="55" t="s">
        <v>59</v>
      </c>
      <c r="D426" s="57">
        <v>480000</v>
      </c>
      <c r="E426" s="57">
        <v>0</v>
      </c>
      <c r="F426" s="57">
        <v>480000</v>
      </c>
    </row>
    <row r="427" spans="1:6" ht="15" x14ac:dyDescent="0.4">
      <c r="A427" s="55" t="s">
        <v>803</v>
      </c>
      <c r="B427" s="54">
        <v>46112</v>
      </c>
      <c r="C427" s="55" t="s">
        <v>402</v>
      </c>
      <c r="D427" s="57">
        <v>480000</v>
      </c>
      <c r="E427" s="57">
        <v>0</v>
      </c>
      <c r="F427" s="57">
        <v>480000</v>
      </c>
    </row>
    <row r="428" spans="1:6" ht="15" x14ac:dyDescent="0.4">
      <c r="A428" s="55" t="s">
        <v>804</v>
      </c>
      <c r="B428" s="54">
        <v>46113</v>
      </c>
      <c r="C428" s="55" t="s">
        <v>59</v>
      </c>
      <c r="D428" s="57">
        <v>170000</v>
      </c>
      <c r="E428" s="57">
        <v>0</v>
      </c>
      <c r="F428" s="57">
        <v>170000</v>
      </c>
    </row>
    <row r="429" spans="1:6" ht="15" x14ac:dyDescent="0.4">
      <c r="A429" s="55" t="s">
        <v>805</v>
      </c>
      <c r="B429" s="54">
        <v>46113</v>
      </c>
      <c r="C429" s="55" t="s">
        <v>59</v>
      </c>
      <c r="D429" s="57">
        <v>170000</v>
      </c>
      <c r="E429" s="57">
        <v>0</v>
      </c>
      <c r="F429" s="57">
        <v>170000</v>
      </c>
    </row>
    <row r="430" spans="1:6" ht="15" x14ac:dyDescent="0.4">
      <c r="A430" s="55" t="s">
        <v>806</v>
      </c>
      <c r="B430" s="54">
        <v>46113</v>
      </c>
      <c r="C430" s="55" t="s">
        <v>398</v>
      </c>
      <c r="D430" s="57">
        <v>170000</v>
      </c>
      <c r="E430" s="57">
        <v>0</v>
      </c>
      <c r="F430" s="57">
        <v>170000</v>
      </c>
    </row>
    <row r="431" spans="1:6" ht="15" x14ac:dyDescent="0.4">
      <c r="A431" s="55" t="s">
        <v>807</v>
      </c>
      <c r="B431" s="54">
        <v>46114</v>
      </c>
      <c r="C431" s="55" t="s">
        <v>55</v>
      </c>
      <c r="D431" s="57">
        <v>150000</v>
      </c>
      <c r="E431" s="57">
        <v>0</v>
      </c>
      <c r="F431" s="57">
        <v>150000</v>
      </c>
    </row>
    <row r="432" spans="1:6" ht="15" x14ac:dyDescent="0.4">
      <c r="A432" s="55" t="s">
        <v>808</v>
      </c>
      <c r="B432" s="54">
        <v>46114</v>
      </c>
      <c r="C432" s="55" t="s">
        <v>398</v>
      </c>
      <c r="D432" s="57">
        <v>150000</v>
      </c>
      <c r="E432" s="57">
        <v>0</v>
      </c>
      <c r="F432" s="57">
        <v>150000</v>
      </c>
    </row>
    <row r="433" spans="1:6" ht="15" x14ac:dyDescent="0.4">
      <c r="A433" s="55" t="s">
        <v>809</v>
      </c>
      <c r="B433" s="54">
        <v>46114</v>
      </c>
      <c r="C433" s="55" t="s">
        <v>386</v>
      </c>
      <c r="D433" s="57">
        <v>480000</v>
      </c>
      <c r="E433" s="57">
        <v>0</v>
      </c>
      <c r="F433" s="57">
        <v>480000</v>
      </c>
    </row>
    <row r="434" spans="1:6" ht="15" x14ac:dyDescent="0.4">
      <c r="A434" s="55" t="s">
        <v>810</v>
      </c>
      <c r="B434" s="54">
        <v>46115</v>
      </c>
      <c r="C434" s="55" t="s">
        <v>62</v>
      </c>
      <c r="D434" s="57">
        <v>170000</v>
      </c>
      <c r="E434" s="57">
        <v>0</v>
      </c>
      <c r="F434" s="57">
        <v>170000</v>
      </c>
    </row>
    <row r="435" spans="1:6" ht="15" x14ac:dyDescent="0.4">
      <c r="A435" s="55" t="s">
        <v>811</v>
      </c>
      <c r="B435" s="54">
        <v>46115</v>
      </c>
      <c r="C435" s="55" t="s">
        <v>59</v>
      </c>
      <c r="D435" s="57">
        <v>750000</v>
      </c>
      <c r="E435" s="57">
        <v>0</v>
      </c>
      <c r="F435" s="57">
        <v>750000</v>
      </c>
    </row>
    <row r="436" spans="1:6" ht="15" x14ac:dyDescent="0.4">
      <c r="A436" s="55" t="s">
        <v>812</v>
      </c>
      <c r="B436" s="54">
        <v>46115</v>
      </c>
      <c r="C436" s="55" t="s">
        <v>59</v>
      </c>
      <c r="D436" s="57">
        <v>1500000</v>
      </c>
      <c r="E436" s="57">
        <v>0</v>
      </c>
      <c r="F436" s="57">
        <v>1500000</v>
      </c>
    </row>
    <row r="437" spans="1:6" ht="15" x14ac:dyDescent="0.4">
      <c r="A437" s="55" t="s">
        <v>813</v>
      </c>
      <c r="B437" s="54">
        <v>46115</v>
      </c>
      <c r="C437" s="55" t="s">
        <v>380</v>
      </c>
      <c r="D437" s="57">
        <v>170000</v>
      </c>
      <c r="E437" s="57">
        <v>0</v>
      </c>
      <c r="F437" s="57">
        <v>170000</v>
      </c>
    </row>
    <row r="438" spans="1:6" ht="15" x14ac:dyDescent="0.4">
      <c r="A438" s="55" t="s">
        <v>814</v>
      </c>
      <c r="B438" s="54">
        <v>46116</v>
      </c>
      <c r="C438" s="55" t="s">
        <v>57</v>
      </c>
      <c r="D438" s="57">
        <v>150000</v>
      </c>
      <c r="E438" s="57">
        <v>0</v>
      </c>
      <c r="F438" s="57">
        <v>150000</v>
      </c>
    </row>
    <row r="439" spans="1:6" ht="15" x14ac:dyDescent="0.4">
      <c r="A439" s="55" t="s">
        <v>815</v>
      </c>
      <c r="B439" s="54">
        <v>46117</v>
      </c>
      <c r="C439" s="55" t="s">
        <v>57</v>
      </c>
      <c r="D439" s="57">
        <v>170000</v>
      </c>
      <c r="E439" s="57">
        <v>0</v>
      </c>
      <c r="F439" s="57">
        <v>170000</v>
      </c>
    </row>
    <row r="440" spans="1:6" ht="15" x14ac:dyDescent="0.4">
      <c r="A440" s="55" t="s">
        <v>816</v>
      </c>
      <c r="B440" s="54">
        <v>46118</v>
      </c>
      <c r="C440" s="55" t="s">
        <v>63</v>
      </c>
      <c r="D440" s="57">
        <v>170000</v>
      </c>
      <c r="E440" s="57">
        <v>0</v>
      </c>
      <c r="F440" s="57">
        <v>170000</v>
      </c>
    </row>
    <row r="441" spans="1:6" ht="15" x14ac:dyDescent="0.4">
      <c r="A441" s="55" t="s">
        <v>817</v>
      </c>
      <c r="B441" s="54">
        <v>46119</v>
      </c>
      <c r="C441" s="55" t="s">
        <v>55</v>
      </c>
      <c r="D441" s="57">
        <v>170000</v>
      </c>
      <c r="E441" s="57">
        <v>0</v>
      </c>
      <c r="F441" s="57">
        <v>170000</v>
      </c>
    </row>
    <row r="442" spans="1:6" ht="15" x14ac:dyDescent="0.4">
      <c r="A442" s="55" t="s">
        <v>818</v>
      </c>
      <c r="B442" s="54">
        <v>46120</v>
      </c>
      <c r="C442" s="55" t="s">
        <v>386</v>
      </c>
      <c r="D442" s="57">
        <v>150000</v>
      </c>
      <c r="E442" s="57">
        <v>0</v>
      </c>
      <c r="F442" s="57">
        <v>150000</v>
      </c>
    </row>
    <row r="443" spans="1:6" ht="15" x14ac:dyDescent="0.4">
      <c r="A443" s="55" t="s">
        <v>819</v>
      </c>
      <c r="B443" s="54">
        <v>46120</v>
      </c>
      <c r="C443" s="55" t="s">
        <v>402</v>
      </c>
      <c r="D443" s="57">
        <v>150000</v>
      </c>
      <c r="E443" s="57">
        <v>0</v>
      </c>
      <c r="F443" s="57">
        <v>150000</v>
      </c>
    </row>
    <row r="444" spans="1:6" ht="15" x14ac:dyDescent="0.4">
      <c r="A444" s="55" t="s">
        <v>820</v>
      </c>
      <c r="B444" s="54">
        <v>46121</v>
      </c>
      <c r="C444" s="55" t="s">
        <v>63</v>
      </c>
      <c r="D444" s="57">
        <v>170000</v>
      </c>
      <c r="E444" s="57">
        <v>0</v>
      </c>
      <c r="F444" s="57">
        <v>170000</v>
      </c>
    </row>
    <row r="445" spans="1:6" ht="15" x14ac:dyDescent="0.4">
      <c r="A445" s="55" t="s">
        <v>821</v>
      </c>
      <c r="B445" s="54">
        <v>46121</v>
      </c>
      <c r="C445" s="55" t="s">
        <v>402</v>
      </c>
      <c r="D445" s="57">
        <v>480000</v>
      </c>
      <c r="E445" s="57">
        <v>0</v>
      </c>
      <c r="F445" s="57">
        <v>480000</v>
      </c>
    </row>
    <row r="446" spans="1:6" ht="15" x14ac:dyDescent="0.4">
      <c r="A446" s="55" t="s">
        <v>822</v>
      </c>
      <c r="B446" s="54">
        <v>46121</v>
      </c>
      <c r="C446" s="55" t="s">
        <v>59</v>
      </c>
      <c r="D446" s="57">
        <v>1500000</v>
      </c>
      <c r="E446" s="57">
        <v>0</v>
      </c>
      <c r="F446" s="57">
        <v>1500000</v>
      </c>
    </row>
    <row r="447" spans="1:6" ht="15" x14ac:dyDescent="0.4">
      <c r="A447" s="55" t="s">
        <v>823</v>
      </c>
      <c r="B447" s="54">
        <v>46123</v>
      </c>
      <c r="C447" s="55" t="s">
        <v>61</v>
      </c>
      <c r="D447" s="57">
        <v>170000</v>
      </c>
      <c r="E447" s="57">
        <v>0</v>
      </c>
      <c r="F447" s="57">
        <v>170000</v>
      </c>
    </row>
    <row r="448" spans="1:6" ht="15" x14ac:dyDescent="0.4">
      <c r="A448" s="55" t="s">
        <v>824</v>
      </c>
      <c r="B448" s="54">
        <v>46123</v>
      </c>
      <c r="C448" s="55" t="s">
        <v>63</v>
      </c>
      <c r="D448" s="57">
        <v>170000</v>
      </c>
      <c r="E448" s="57">
        <v>0</v>
      </c>
      <c r="F448" s="57">
        <v>170000</v>
      </c>
    </row>
    <row r="449" spans="1:6" ht="15" x14ac:dyDescent="0.4">
      <c r="A449" s="55" t="s">
        <v>825</v>
      </c>
      <c r="B449" s="54">
        <v>46123</v>
      </c>
      <c r="C449" s="55" t="s">
        <v>63</v>
      </c>
      <c r="D449" s="57">
        <v>480000</v>
      </c>
      <c r="E449" s="57">
        <v>0</v>
      </c>
      <c r="F449" s="57">
        <v>480000</v>
      </c>
    </row>
    <row r="450" spans="1:6" ht="15" x14ac:dyDescent="0.4">
      <c r="A450" s="55" t="s">
        <v>826</v>
      </c>
      <c r="B450" s="54">
        <v>46125</v>
      </c>
      <c r="C450" s="55" t="s">
        <v>59</v>
      </c>
      <c r="D450" s="57">
        <v>750000</v>
      </c>
      <c r="E450" s="57">
        <v>0</v>
      </c>
      <c r="F450" s="57">
        <v>750000</v>
      </c>
    </row>
    <row r="451" spans="1:6" ht="15" x14ac:dyDescent="0.4">
      <c r="A451" s="55" t="s">
        <v>827</v>
      </c>
      <c r="B451" s="54">
        <v>46125</v>
      </c>
      <c r="C451" s="55" t="s">
        <v>63</v>
      </c>
      <c r="D451" s="57">
        <v>150000</v>
      </c>
      <c r="E451" s="57">
        <v>0</v>
      </c>
      <c r="F451" s="57">
        <v>150000</v>
      </c>
    </row>
    <row r="452" spans="1:6" ht="15" x14ac:dyDescent="0.4">
      <c r="A452" s="55" t="s">
        <v>828</v>
      </c>
      <c r="B452" s="54">
        <v>46125</v>
      </c>
      <c r="C452" s="55" t="s">
        <v>59</v>
      </c>
      <c r="D452" s="57">
        <v>150000</v>
      </c>
      <c r="E452" s="57">
        <v>0</v>
      </c>
      <c r="F452" s="57">
        <v>150000</v>
      </c>
    </row>
    <row r="453" spans="1:6" ht="15" x14ac:dyDescent="0.4">
      <c r="A453" s="55" t="s">
        <v>829</v>
      </c>
      <c r="B453" s="54">
        <v>46126</v>
      </c>
      <c r="C453" s="55" t="s">
        <v>59</v>
      </c>
      <c r="D453" s="57">
        <v>150000</v>
      </c>
      <c r="E453" s="57">
        <v>0</v>
      </c>
      <c r="F453" s="57">
        <v>150000</v>
      </c>
    </row>
    <row r="454" spans="1:6" ht="15" x14ac:dyDescent="0.4">
      <c r="A454" s="55" t="s">
        <v>830</v>
      </c>
      <c r="B454" s="54">
        <v>46127</v>
      </c>
      <c r="C454" s="55" t="s">
        <v>59</v>
      </c>
      <c r="D454" s="57">
        <v>750000</v>
      </c>
      <c r="E454" s="57">
        <v>0</v>
      </c>
      <c r="F454" s="57">
        <v>750000</v>
      </c>
    </row>
    <row r="455" spans="1:6" ht="15" x14ac:dyDescent="0.4">
      <c r="A455" s="55" t="s">
        <v>831</v>
      </c>
      <c r="B455" s="54">
        <v>46127</v>
      </c>
      <c r="C455" s="55" t="s">
        <v>402</v>
      </c>
      <c r="D455" s="57">
        <v>150000</v>
      </c>
      <c r="E455" s="57">
        <v>0</v>
      </c>
      <c r="F455" s="57">
        <v>150000</v>
      </c>
    </row>
    <row r="456" spans="1:6" ht="15" x14ac:dyDescent="0.4">
      <c r="A456" s="55" t="s">
        <v>832</v>
      </c>
      <c r="B456" s="54">
        <v>46127</v>
      </c>
      <c r="C456" s="55" t="s">
        <v>63</v>
      </c>
      <c r="D456" s="57">
        <v>1500000</v>
      </c>
      <c r="E456" s="57">
        <v>0</v>
      </c>
      <c r="F456" s="57">
        <v>1500000</v>
      </c>
    </row>
    <row r="457" spans="1:6" ht="15" x14ac:dyDescent="0.4">
      <c r="A457" s="55" t="s">
        <v>833</v>
      </c>
      <c r="B457" s="54">
        <v>46128</v>
      </c>
      <c r="C457" s="55" t="s">
        <v>62</v>
      </c>
      <c r="D457" s="57">
        <v>480000</v>
      </c>
      <c r="E457" s="57">
        <v>0</v>
      </c>
      <c r="F457" s="57">
        <v>480000</v>
      </c>
    </row>
    <row r="458" spans="1:6" ht="15" x14ac:dyDescent="0.4">
      <c r="A458" s="55" t="s">
        <v>834</v>
      </c>
      <c r="B458" s="54">
        <v>46129</v>
      </c>
      <c r="C458" s="55" t="s">
        <v>55</v>
      </c>
      <c r="D458" s="57">
        <v>170000</v>
      </c>
      <c r="E458" s="57">
        <v>0</v>
      </c>
      <c r="F458" s="57">
        <v>170000</v>
      </c>
    </row>
    <row r="459" spans="1:6" ht="15" x14ac:dyDescent="0.4">
      <c r="A459" s="55" t="s">
        <v>835</v>
      </c>
      <c r="B459" s="54">
        <v>46129</v>
      </c>
      <c r="C459" s="55" t="s">
        <v>386</v>
      </c>
      <c r="D459" s="57">
        <v>170000</v>
      </c>
      <c r="E459" s="57">
        <v>0</v>
      </c>
      <c r="F459" s="57">
        <v>170000</v>
      </c>
    </row>
    <row r="460" spans="1:6" ht="15" x14ac:dyDescent="0.4">
      <c r="A460" s="55" t="s">
        <v>836</v>
      </c>
      <c r="B460" s="54">
        <v>46129</v>
      </c>
      <c r="C460" s="55" t="s">
        <v>59</v>
      </c>
      <c r="D460" s="57">
        <v>480000</v>
      </c>
      <c r="E460" s="57">
        <v>0</v>
      </c>
      <c r="F460" s="57">
        <v>480000</v>
      </c>
    </row>
    <row r="461" spans="1:6" ht="15" x14ac:dyDescent="0.4">
      <c r="A461" s="55" t="s">
        <v>837</v>
      </c>
      <c r="B461" s="54">
        <v>46130</v>
      </c>
      <c r="C461" s="55" t="s">
        <v>59</v>
      </c>
      <c r="D461" s="57">
        <v>750000</v>
      </c>
      <c r="E461" s="57">
        <v>0</v>
      </c>
      <c r="F461" s="57">
        <v>750000</v>
      </c>
    </row>
    <row r="462" spans="1:6" ht="15" x14ac:dyDescent="0.4">
      <c r="A462" s="55" t="s">
        <v>838</v>
      </c>
      <c r="B462" s="54">
        <v>46131</v>
      </c>
      <c r="C462" s="55" t="s">
        <v>63</v>
      </c>
      <c r="D462" s="57">
        <v>480000</v>
      </c>
      <c r="E462" s="57">
        <v>0</v>
      </c>
      <c r="F462" s="57">
        <v>480000</v>
      </c>
    </row>
    <row r="463" spans="1:6" ht="15" x14ac:dyDescent="0.4">
      <c r="A463" s="55" t="s">
        <v>839</v>
      </c>
      <c r="B463" s="54">
        <v>46132</v>
      </c>
      <c r="C463" s="55" t="s">
        <v>63</v>
      </c>
      <c r="D463" s="57">
        <v>170000</v>
      </c>
      <c r="E463" s="57">
        <v>0</v>
      </c>
      <c r="F463" s="57">
        <v>170000</v>
      </c>
    </row>
    <row r="464" spans="1:6" ht="15" x14ac:dyDescent="0.4">
      <c r="A464" s="55" t="s">
        <v>840</v>
      </c>
      <c r="B464" s="54">
        <v>46132</v>
      </c>
      <c r="C464" s="55" t="s">
        <v>59</v>
      </c>
      <c r="D464" s="57">
        <v>480000</v>
      </c>
      <c r="E464" s="57">
        <v>0</v>
      </c>
      <c r="F464" s="57">
        <v>480000</v>
      </c>
    </row>
    <row r="465" spans="1:6" ht="15" x14ac:dyDescent="0.4">
      <c r="A465" s="55" t="s">
        <v>841</v>
      </c>
      <c r="B465" s="54">
        <v>46133</v>
      </c>
      <c r="C465" s="55" t="s">
        <v>398</v>
      </c>
      <c r="D465" s="57">
        <v>750000</v>
      </c>
      <c r="E465" s="57">
        <v>0</v>
      </c>
      <c r="F465" s="57">
        <v>750000</v>
      </c>
    </row>
    <row r="466" spans="1:6" ht="15" x14ac:dyDescent="0.4">
      <c r="A466" s="55" t="s">
        <v>842</v>
      </c>
      <c r="B466" s="54">
        <v>46134</v>
      </c>
      <c r="C466" s="55" t="s">
        <v>380</v>
      </c>
      <c r="D466" s="57">
        <v>480000</v>
      </c>
      <c r="E466" s="57">
        <v>0</v>
      </c>
      <c r="F466" s="57">
        <v>480000</v>
      </c>
    </row>
    <row r="467" spans="1:6" ht="15" x14ac:dyDescent="0.4">
      <c r="A467" s="55" t="s">
        <v>843</v>
      </c>
      <c r="B467" s="54">
        <v>46135</v>
      </c>
      <c r="C467" s="55" t="s">
        <v>55</v>
      </c>
      <c r="D467" s="57">
        <v>170000</v>
      </c>
      <c r="E467" s="57">
        <v>0</v>
      </c>
      <c r="F467" s="57">
        <v>170000</v>
      </c>
    </row>
    <row r="468" spans="1:6" ht="15" x14ac:dyDescent="0.4">
      <c r="A468" s="55" t="s">
        <v>844</v>
      </c>
      <c r="B468" s="54">
        <v>46136</v>
      </c>
      <c r="C468" s="55" t="s">
        <v>57</v>
      </c>
      <c r="D468" s="57">
        <v>170000</v>
      </c>
      <c r="E468" s="57">
        <v>0</v>
      </c>
      <c r="F468" s="57">
        <v>170000</v>
      </c>
    </row>
    <row r="469" spans="1:6" ht="15" x14ac:dyDescent="0.4">
      <c r="A469" s="55" t="s">
        <v>845</v>
      </c>
      <c r="B469" s="54">
        <v>46136</v>
      </c>
      <c r="C469" s="55" t="s">
        <v>59</v>
      </c>
      <c r="D469" s="57">
        <v>1500000</v>
      </c>
      <c r="E469" s="57">
        <v>0</v>
      </c>
      <c r="F469" s="57">
        <v>1500000</v>
      </c>
    </row>
    <row r="470" spans="1:6" ht="15" x14ac:dyDescent="0.4">
      <c r="A470" s="55" t="s">
        <v>846</v>
      </c>
      <c r="B470" s="54">
        <v>46136</v>
      </c>
      <c r="C470" s="55" t="s">
        <v>386</v>
      </c>
      <c r="D470" s="57">
        <v>150000</v>
      </c>
      <c r="E470" s="57">
        <v>0</v>
      </c>
      <c r="F470" s="57">
        <v>150000</v>
      </c>
    </row>
    <row r="471" spans="1:6" ht="15" x14ac:dyDescent="0.4">
      <c r="A471" s="55" t="s">
        <v>847</v>
      </c>
      <c r="B471" s="54">
        <v>46137</v>
      </c>
      <c r="C471" s="55" t="s">
        <v>63</v>
      </c>
      <c r="D471" s="57">
        <v>150000</v>
      </c>
      <c r="E471" s="57">
        <v>0</v>
      </c>
      <c r="F471" s="57">
        <v>150000</v>
      </c>
    </row>
    <row r="472" spans="1:6" ht="15" x14ac:dyDescent="0.4">
      <c r="A472" s="55" t="s">
        <v>848</v>
      </c>
      <c r="B472" s="54">
        <v>46138</v>
      </c>
      <c r="C472" s="55" t="s">
        <v>386</v>
      </c>
      <c r="D472" s="57">
        <v>170000</v>
      </c>
      <c r="E472" s="57">
        <v>0</v>
      </c>
      <c r="F472" s="57">
        <v>170000</v>
      </c>
    </row>
    <row r="473" spans="1:6" ht="15" x14ac:dyDescent="0.4">
      <c r="A473" s="55" t="s">
        <v>849</v>
      </c>
      <c r="B473" s="54">
        <v>46139</v>
      </c>
      <c r="C473" s="55" t="s">
        <v>59</v>
      </c>
      <c r="D473" s="57">
        <v>480000</v>
      </c>
      <c r="E473" s="57">
        <v>0</v>
      </c>
      <c r="F473" s="57">
        <v>480000</v>
      </c>
    </row>
    <row r="474" spans="1:6" ht="15" x14ac:dyDescent="0.4">
      <c r="A474" s="55" t="s">
        <v>850</v>
      </c>
      <c r="B474" s="54">
        <v>46140</v>
      </c>
      <c r="C474" s="55" t="s">
        <v>63</v>
      </c>
      <c r="D474" s="57">
        <v>170000</v>
      </c>
      <c r="E474" s="57">
        <v>0</v>
      </c>
      <c r="F474" s="57">
        <v>170000</v>
      </c>
    </row>
    <row r="475" spans="1:6" ht="15" x14ac:dyDescent="0.4">
      <c r="A475" s="55" t="s">
        <v>851</v>
      </c>
      <c r="B475" s="54">
        <v>46140</v>
      </c>
      <c r="C475" s="55" t="s">
        <v>380</v>
      </c>
      <c r="D475" s="57">
        <v>150000</v>
      </c>
      <c r="E475" s="57">
        <v>0</v>
      </c>
      <c r="F475" s="57">
        <v>150000</v>
      </c>
    </row>
    <row r="476" spans="1:6" ht="15" x14ac:dyDescent="0.4">
      <c r="A476" s="55" t="s">
        <v>852</v>
      </c>
      <c r="B476" s="54">
        <v>46140</v>
      </c>
      <c r="C476" s="55" t="s">
        <v>63</v>
      </c>
      <c r="D476" s="57">
        <v>480000</v>
      </c>
      <c r="E476" s="57">
        <v>0</v>
      </c>
      <c r="F476" s="57">
        <v>480000</v>
      </c>
    </row>
    <row r="477" spans="1:6" ht="15" x14ac:dyDescent="0.4">
      <c r="A477" s="55" t="s">
        <v>853</v>
      </c>
      <c r="B477" s="54">
        <v>46140</v>
      </c>
      <c r="C477" s="55" t="s">
        <v>386</v>
      </c>
      <c r="D477" s="57">
        <v>170000</v>
      </c>
      <c r="E477" s="57">
        <v>0</v>
      </c>
      <c r="F477" s="57">
        <v>170000</v>
      </c>
    </row>
    <row r="478" spans="1:6" ht="15" x14ac:dyDescent="0.4">
      <c r="A478" s="55" t="s">
        <v>854</v>
      </c>
      <c r="B478" s="54">
        <v>46141</v>
      </c>
      <c r="C478" s="55" t="s">
        <v>386</v>
      </c>
      <c r="D478" s="57">
        <v>170000</v>
      </c>
      <c r="E478" s="57">
        <v>0</v>
      </c>
      <c r="F478" s="57">
        <v>170000</v>
      </c>
    </row>
    <row r="479" spans="1:6" ht="15" x14ac:dyDescent="0.4">
      <c r="A479" s="55" t="s">
        <v>855</v>
      </c>
      <c r="B479" s="54">
        <v>46141</v>
      </c>
      <c r="C479" s="55" t="s">
        <v>59</v>
      </c>
      <c r="D479" s="57">
        <v>170000</v>
      </c>
      <c r="E479" s="57">
        <v>0</v>
      </c>
      <c r="F479" s="57">
        <v>170000</v>
      </c>
    </row>
    <row r="480" spans="1:6" ht="15" x14ac:dyDescent="0.4">
      <c r="A480" s="55" t="s">
        <v>856</v>
      </c>
      <c r="B480" s="54">
        <v>46141</v>
      </c>
      <c r="C480" s="55" t="s">
        <v>55</v>
      </c>
      <c r="D480" s="57">
        <v>150000</v>
      </c>
      <c r="E480" s="57">
        <v>0</v>
      </c>
      <c r="F480" s="57">
        <v>150000</v>
      </c>
    </row>
    <row r="481" spans="1:6" ht="15" x14ac:dyDescent="0.4">
      <c r="A481" s="55" t="s">
        <v>857</v>
      </c>
      <c r="B481" s="54">
        <v>46142</v>
      </c>
      <c r="C481" s="55" t="s">
        <v>63</v>
      </c>
      <c r="D481" s="57">
        <v>750000</v>
      </c>
      <c r="E481" s="57">
        <v>0</v>
      </c>
      <c r="F481" s="57">
        <v>750000</v>
      </c>
    </row>
    <row r="482" spans="1:6" ht="15" x14ac:dyDescent="0.4">
      <c r="A482" s="55" t="s">
        <v>858</v>
      </c>
      <c r="B482" s="54">
        <v>46142</v>
      </c>
      <c r="C482" s="55" t="s">
        <v>55</v>
      </c>
      <c r="D482" s="57">
        <v>480000</v>
      </c>
      <c r="E482" s="57">
        <v>0</v>
      </c>
      <c r="F482" s="57">
        <v>480000</v>
      </c>
    </row>
    <row r="483" spans="1:6" ht="15" x14ac:dyDescent="0.4">
      <c r="A483" s="55" t="s">
        <v>859</v>
      </c>
      <c r="B483" s="54">
        <v>46142</v>
      </c>
      <c r="C483" s="55" t="s">
        <v>586</v>
      </c>
      <c r="D483" s="57">
        <v>750000</v>
      </c>
      <c r="E483" s="57">
        <v>0</v>
      </c>
      <c r="F483" s="57">
        <v>750000</v>
      </c>
    </row>
    <row r="484" spans="1:6" ht="15" x14ac:dyDescent="0.4">
      <c r="A484" s="55" t="s">
        <v>860</v>
      </c>
      <c r="B484" s="54">
        <v>46143</v>
      </c>
      <c r="C484" s="55" t="s">
        <v>59</v>
      </c>
      <c r="D484" s="57">
        <v>170000</v>
      </c>
      <c r="E484" s="57">
        <v>0</v>
      </c>
      <c r="F484" s="57">
        <v>170000</v>
      </c>
    </row>
    <row r="485" spans="1:6" ht="15" x14ac:dyDescent="0.4">
      <c r="A485" s="55" t="s">
        <v>861</v>
      </c>
      <c r="B485" s="54">
        <v>46143</v>
      </c>
      <c r="C485" s="55" t="s">
        <v>398</v>
      </c>
      <c r="D485" s="57">
        <v>170000</v>
      </c>
      <c r="E485" s="57">
        <v>0</v>
      </c>
      <c r="F485" s="57">
        <v>170000</v>
      </c>
    </row>
    <row r="486" spans="1:6" ht="15" x14ac:dyDescent="0.4">
      <c r="A486" s="55" t="s">
        <v>862</v>
      </c>
      <c r="B486" s="54">
        <v>46143</v>
      </c>
      <c r="C486" s="55" t="s">
        <v>380</v>
      </c>
      <c r="D486" s="57">
        <v>170000</v>
      </c>
      <c r="E486" s="57">
        <v>0</v>
      </c>
      <c r="F486" s="57">
        <v>170000</v>
      </c>
    </row>
    <row r="487" spans="1:6" ht="15" x14ac:dyDescent="0.4">
      <c r="A487" s="55" t="s">
        <v>863</v>
      </c>
      <c r="B487" s="54">
        <v>46143</v>
      </c>
      <c r="C487" s="55" t="s">
        <v>386</v>
      </c>
      <c r="D487" s="57">
        <v>1500000</v>
      </c>
      <c r="E487" s="57">
        <v>0</v>
      </c>
      <c r="F487" s="57">
        <v>1500000</v>
      </c>
    </row>
    <row r="488" spans="1:6" ht="15" x14ac:dyDescent="0.4">
      <c r="A488" s="55" t="s">
        <v>864</v>
      </c>
      <c r="B488" s="54">
        <v>46143</v>
      </c>
      <c r="C488" s="55" t="s">
        <v>586</v>
      </c>
      <c r="D488" s="57">
        <v>170000</v>
      </c>
      <c r="E488" s="57">
        <v>0</v>
      </c>
      <c r="F488" s="57">
        <v>170000</v>
      </c>
    </row>
    <row r="489" spans="1:6" ht="15" x14ac:dyDescent="0.4">
      <c r="A489" s="55" t="s">
        <v>865</v>
      </c>
      <c r="B489" s="54">
        <v>46144</v>
      </c>
      <c r="C489" s="55" t="s">
        <v>63</v>
      </c>
      <c r="D489" s="57">
        <v>170000</v>
      </c>
      <c r="E489" s="57">
        <v>0</v>
      </c>
      <c r="F489" s="57">
        <v>170000</v>
      </c>
    </row>
    <row r="490" spans="1:6" ht="15" x14ac:dyDescent="0.4">
      <c r="A490" s="55" t="s">
        <v>866</v>
      </c>
      <c r="B490" s="54">
        <v>46144</v>
      </c>
      <c r="C490" s="55" t="s">
        <v>59</v>
      </c>
      <c r="D490" s="57">
        <v>480000</v>
      </c>
      <c r="E490" s="57">
        <v>0</v>
      </c>
      <c r="F490" s="57">
        <v>480000</v>
      </c>
    </row>
    <row r="491" spans="1:6" ht="15" x14ac:dyDescent="0.4">
      <c r="A491" s="55" t="s">
        <v>867</v>
      </c>
      <c r="B491" s="54">
        <v>46145</v>
      </c>
      <c r="C491" s="55" t="s">
        <v>380</v>
      </c>
      <c r="D491" s="57">
        <v>170000</v>
      </c>
      <c r="E491" s="57">
        <v>0</v>
      </c>
      <c r="F491" s="57">
        <v>170000</v>
      </c>
    </row>
    <row r="492" spans="1:6" ht="15" x14ac:dyDescent="0.4">
      <c r="A492" s="55" t="s">
        <v>868</v>
      </c>
      <c r="B492" s="54">
        <v>46145</v>
      </c>
      <c r="C492" s="55" t="s">
        <v>59</v>
      </c>
      <c r="D492" s="57">
        <v>1500000</v>
      </c>
      <c r="E492" s="57">
        <v>0</v>
      </c>
      <c r="F492" s="57">
        <v>1500000</v>
      </c>
    </row>
    <row r="493" spans="1:6" ht="15" x14ac:dyDescent="0.4">
      <c r="A493" s="55" t="s">
        <v>869</v>
      </c>
      <c r="B493" s="54">
        <v>46145</v>
      </c>
      <c r="C493" s="55" t="s">
        <v>59</v>
      </c>
      <c r="D493" s="57">
        <v>1500000</v>
      </c>
      <c r="E493" s="57">
        <v>0</v>
      </c>
      <c r="F493" s="57">
        <v>1500000</v>
      </c>
    </row>
    <row r="494" spans="1:6" ht="15" x14ac:dyDescent="0.4">
      <c r="A494" s="55" t="s">
        <v>870</v>
      </c>
      <c r="B494" s="54">
        <v>46145</v>
      </c>
      <c r="C494" s="55" t="s">
        <v>59</v>
      </c>
      <c r="D494" s="57">
        <v>150000</v>
      </c>
      <c r="E494" s="57">
        <v>0</v>
      </c>
      <c r="F494" s="57">
        <v>150000</v>
      </c>
    </row>
    <row r="495" spans="1:6" ht="15" x14ac:dyDescent="0.4">
      <c r="A495" s="55" t="s">
        <v>871</v>
      </c>
      <c r="B495" s="54">
        <v>46146</v>
      </c>
      <c r="C495" s="55" t="s">
        <v>55</v>
      </c>
      <c r="D495" s="57">
        <v>170000</v>
      </c>
      <c r="E495" s="57">
        <v>0</v>
      </c>
      <c r="F495" s="57">
        <v>170000</v>
      </c>
    </row>
    <row r="496" spans="1:6" ht="15" x14ac:dyDescent="0.4">
      <c r="A496" s="55" t="s">
        <v>872</v>
      </c>
      <c r="B496" s="54">
        <v>46146</v>
      </c>
      <c r="C496" s="55" t="s">
        <v>377</v>
      </c>
      <c r="D496" s="57">
        <v>480000</v>
      </c>
      <c r="E496" s="57">
        <v>0</v>
      </c>
      <c r="F496" s="57">
        <v>480000</v>
      </c>
    </row>
    <row r="497" spans="1:6" ht="15" x14ac:dyDescent="0.4">
      <c r="A497" s="55" t="s">
        <v>873</v>
      </c>
      <c r="B497" s="54">
        <v>46147</v>
      </c>
      <c r="C497" s="55" t="s">
        <v>55</v>
      </c>
      <c r="D497" s="57">
        <v>170000</v>
      </c>
      <c r="E497" s="57">
        <v>0</v>
      </c>
      <c r="F497" s="57">
        <v>170000</v>
      </c>
    </row>
    <row r="498" spans="1:6" ht="15" x14ac:dyDescent="0.4">
      <c r="A498" s="55" t="s">
        <v>874</v>
      </c>
      <c r="B498" s="54">
        <v>46148</v>
      </c>
      <c r="C498" s="55" t="s">
        <v>63</v>
      </c>
      <c r="D498" s="57">
        <v>170000</v>
      </c>
      <c r="E498" s="57">
        <v>0</v>
      </c>
      <c r="F498" s="57">
        <v>170000</v>
      </c>
    </row>
    <row r="499" spans="1:6" ht="15" x14ac:dyDescent="0.4">
      <c r="A499" s="55" t="s">
        <v>875</v>
      </c>
      <c r="B499" s="54">
        <v>46148</v>
      </c>
      <c r="C499" s="55" t="s">
        <v>386</v>
      </c>
      <c r="D499" s="57">
        <v>1500000</v>
      </c>
      <c r="E499" s="57">
        <v>0</v>
      </c>
      <c r="F499" s="57">
        <v>1500000</v>
      </c>
    </row>
    <row r="500" spans="1:6" ht="15" x14ac:dyDescent="0.4">
      <c r="A500" s="55" t="s">
        <v>876</v>
      </c>
      <c r="B500" s="54">
        <v>46149</v>
      </c>
      <c r="C500" s="55" t="s">
        <v>63</v>
      </c>
      <c r="D500" s="57">
        <v>150000</v>
      </c>
      <c r="E500" s="57">
        <v>0</v>
      </c>
      <c r="F500" s="57">
        <v>150000</v>
      </c>
    </row>
    <row r="501" spans="1:6" ht="15" x14ac:dyDescent="0.4">
      <c r="A501" s="55" t="s">
        <v>877</v>
      </c>
      <c r="B501" s="54">
        <v>46149</v>
      </c>
      <c r="C501" s="55" t="s">
        <v>402</v>
      </c>
      <c r="D501" s="57">
        <v>170000</v>
      </c>
      <c r="E501" s="57">
        <v>0</v>
      </c>
      <c r="F501" s="57">
        <v>170000</v>
      </c>
    </row>
    <row r="502" spans="1:6" ht="15" x14ac:dyDescent="0.4">
      <c r="A502" s="55" t="s">
        <v>878</v>
      </c>
      <c r="B502" s="54">
        <v>46150</v>
      </c>
      <c r="C502" s="55" t="s">
        <v>63</v>
      </c>
      <c r="D502" s="57">
        <v>480000</v>
      </c>
      <c r="E502" s="57">
        <v>0</v>
      </c>
      <c r="F502" s="57">
        <v>480000</v>
      </c>
    </row>
    <row r="503" spans="1:6" ht="15" x14ac:dyDescent="0.4">
      <c r="A503" s="55" t="s">
        <v>879</v>
      </c>
      <c r="B503" s="54">
        <v>46151</v>
      </c>
      <c r="C503" s="55" t="s">
        <v>63</v>
      </c>
      <c r="D503" s="57">
        <v>170000</v>
      </c>
      <c r="E503" s="57">
        <v>0</v>
      </c>
      <c r="F503" s="57">
        <v>170000</v>
      </c>
    </row>
    <row r="504" spans="1:6" ht="15" x14ac:dyDescent="0.4">
      <c r="A504" s="55" t="s">
        <v>880</v>
      </c>
      <c r="B504" s="54">
        <v>46151</v>
      </c>
      <c r="C504" s="55" t="s">
        <v>377</v>
      </c>
      <c r="D504" s="57">
        <v>480000</v>
      </c>
      <c r="E504" s="57">
        <v>0</v>
      </c>
      <c r="F504" s="57">
        <v>480000</v>
      </c>
    </row>
    <row r="505" spans="1:6" ht="15" x14ac:dyDescent="0.4">
      <c r="A505" s="55" t="s">
        <v>881</v>
      </c>
      <c r="B505" s="54">
        <v>46151</v>
      </c>
      <c r="C505" s="55" t="s">
        <v>377</v>
      </c>
      <c r="D505" s="57">
        <v>150000</v>
      </c>
      <c r="E505" s="57">
        <v>0</v>
      </c>
      <c r="F505" s="57">
        <v>150000</v>
      </c>
    </row>
    <row r="506" spans="1:6" ht="15" x14ac:dyDescent="0.4">
      <c r="A506" s="55" t="s">
        <v>882</v>
      </c>
      <c r="B506" s="54">
        <v>46151</v>
      </c>
      <c r="C506" s="55" t="s">
        <v>377</v>
      </c>
      <c r="D506" s="57">
        <v>480000</v>
      </c>
      <c r="E506" s="57">
        <v>0</v>
      </c>
      <c r="F506" s="57">
        <v>480000</v>
      </c>
    </row>
    <row r="507" spans="1:6" ht="15" x14ac:dyDescent="0.4">
      <c r="A507" s="55" t="s">
        <v>883</v>
      </c>
      <c r="B507" s="54">
        <v>46152</v>
      </c>
      <c r="C507" s="55" t="s">
        <v>55</v>
      </c>
      <c r="D507" s="57">
        <v>750000</v>
      </c>
      <c r="E507" s="57">
        <v>0</v>
      </c>
      <c r="F507" s="57">
        <v>750000</v>
      </c>
    </row>
    <row r="508" spans="1:6" ht="15" x14ac:dyDescent="0.4">
      <c r="A508" s="55" t="s">
        <v>884</v>
      </c>
      <c r="B508" s="54">
        <v>46152</v>
      </c>
      <c r="C508" s="55" t="s">
        <v>386</v>
      </c>
      <c r="D508" s="57">
        <v>480000</v>
      </c>
      <c r="E508" s="57">
        <v>0</v>
      </c>
      <c r="F508" s="57">
        <v>480000</v>
      </c>
    </row>
    <row r="509" spans="1:6" ht="15" x14ac:dyDescent="0.4">
      <c r="A509" s="55" t="s">
        <v>885</v>
      </c>
      <c r="B509" s="54">
        <v>46153</v>
      </c>
      <c r="C509" s="55" t="s">
        <v>61</v>
      </c>
      <c r="D509" s="57">
        <v>170000</v>
      </c>
      <c r="E509" s="57">
        <v>0</v>
      </c>
      <c r="F509" s="57">
        <v>170000</v>
      </c>
    </row>
    <row r="510" spans="1:6" ht="15" x14ac:dyDescent="0.4">
      <c r="A510" s="55" t="s">
        <v>886</v>
      </c>
      <c r="B510" s="54">
        <v>46153</v>
      </c>
      <c r="C510" s="55" t="s">
        <v>63</v>
      </c>
      <c r="D510" s="57">
        <v>170000</v>
      </c>
      <c r="E510" s="57">
        <v>0</v>
      </c>
      <c r="F510" s="57">
        <v>170000</v>
      </c>
    </row>
    <row r="511" spans="1:6" ht="15" x14ac:dyDescent="0.4">
      <c r="A511" s="55" t="s">
        <v>887</v>
      </c>
      <c r="B511" s="54">
        <v>46153</v>
      </c>
      <c r="C511" s="55" t="s">
        <v>386</v>
      </c>
      <c r="D511" s="57">
        <v>150000</v>
      </c>
      <c r="E511" s="57">
        <v>0</v>
      </c>
      <c r="F511" s="57">
        <v>150000</v>
      </c>
    </row>
    <row r="512" spans="1:6" ht="15" x14ac:dyDescent="0.4">
      <c r="A512" s="55" t="s">
        <v>888</v>
      </c>
      <c r="B512" s="54">
        <v>46153</v>
      </c>
      <c r="C512" s="55" t="s">
        <v>59</v>
      </c>
      <c r="D512" s="57">
        <v>750000</v>
      </c>
      <c r="E512" s="57">
        <v>0</v>
      </c>
      <c r="F512" s="57">
        <v>750000</v>
      </c>
    </row>
    <row r="513" spans="1:6" ht="15" x14ac:dyDescent="0.4">
      <c r="A513" s="55" t="s">
        <v>889</v>
      </c>
      <c r="B513" s="54">
        <v>46154</v>
      </c>
      <c r="C513" s="55" t="s">
        <v>55</v>
      </c>
      <c r="D513" s="57">
        <v>150000</v>
      </c>
      <c r="E513" s="57">
        <v>0</v>
      </c>
      <c r="F513" s="57">
        <v>150000</v>
      </c>
    </row>
    <row r="514" spans="1:6" ht="15" x14ac:dyDescent="0.4">
      <c r="A514" s="55" t="s">
        <v>890</v>
      </c>
      <c r="B514" s="54">
        <v>46155</v>
      </c>
      <c r="C514" s="55" t="s">
        <v>59</v>
      </c>
      <c r="D514" s="57">
        <v>750000</v>
      </c>
      <c r="E514" s="57">
        <v>0</v>
      </c>
      <c r="F514" s="57">
        <v>750000</v>
      </c>
    </row>
    <row r="515" spans="1:6" ht="15" x14ac:dyDescent="0.4">
      <c r="A515" s="55" t="s">
        <v>891</v>
      </c>
      <c r="B515" s="54">
        <v>46155</v>
      </c>
      <c r="C515" s="55" t="s">
        <v>55</v>
      </c>
      <c r="D515" s="57">
        <v>480000</v>
      </c>
      <c r="E515" s="57">
        <v>0</v>
      </c>
      <c r="F515" s="57">
        <v>480000</v>
      </c>
    </row>
    <row r="516" spans="1:6" ht="15" x14ac:dyDescent="0.4">
      <c r="A516" s="55" t="s">
        <v>892</v>
      </c>
      <c r="B516" s="54">
        <v>46156</v>
      </c>
      <c r="C516" s="55" t="s">
        <v>386</v>
      </c>
      <c r="D516" s="57">
        <v>170000</v>
      </c>
      <c r="E516" s="57">
        <v>0</v>
      </c>
      <c r="F516" s="57">
        <v>170000</v>
      </c>
    </row>
    <row r="517" spans="1:6" ht="15" x14ac:dyDescent="0.4">
      <c r="A517" s="55" t="s">
        <v>893</v>
      </c>
      <c r="B517" s="54">
        <v>46156</v>
      </c>
      <c r="C517" s="55" t="s">
        <v>55</v>
      </c>
      <c r="D517" s="57">
        <v>170000</v>
      </c>
      <c r="E517" s="57">
        <v>0</v>
      </c>
      <c r="F517" s="57">
        <v>170000</v>
      </c>
    </row>
    <row r="518" spans="1:6" ht="15" x14ac:dyDescent="0.4">
      <c r="A518" s="55" t="s">
        <v>894</v>
      </c>
      <c r="B518" s="54">
        <v>46156</v>
      </c>
      <c r="C518" s="55" t="s">
        <v>59</v>
      </c>
      <c r="D518" s="57">
        <v>150000</v>
      </c>
      <c r="E518" s="57">
        <v>0</v>
      </c>
      <c r="F518" s="57">
        <v>150000</v>
      </c>
    </row>
    <row r="519" spans="1:6" ht="15" x14ac:dyDescent="0.4">
      <c r="A519" s="55" t="s">
        <v>895</v>
      </c>
      <c r="B519" s="54">
        <v>46156</v>
      </c>
      <c r="C519" s="55" t="s">
        <v>55</v>
      </c>
      <c r="D519" s="57">
        <v>170000</v>
      </c>
      <c r="E519" s="57">
        <v>0</v>
      </c>
      <c r="F519" s="57">
        <v>170000</v>
      </c>
    </row>
    <row r="520" spans="1:6" ht="15" x14ac:dyDescent="0.4">
      <c r="A520" s="55" t="s">
        <v>896</v>
      </c>
      <c r="B520" s="54">
        <v>46156</v>
      </c>
      <c r="C520" s="55" t="s">
        <v>62</v>
      </c>
      <c r="D520" s="57">
        <v>480000</v>
      </c>
      <c r="E520" s="57">
        <v>0</v>
      </c>
      <c r="F520" s="57">
        <v>480000</v>
      </c>
    </row>
    <row r="521" spans="1:6" ht="15" x14ac:dyDescent="0.4">
      <c r="A521" s="55" t="s">
        <v>897</v>
      </c>
      <c r="B521" s="54">
        <v>46157</v>
      </c>
      <c r="C521" s="55" t="s">
        <v>386</v>
      </c>
      <c r="D521" s="57">
        <v>150000</v>
      </c>
      <c r="E521" s="57">
        <v>0</v>
      </c>
      <c r="F521" s="57">
        <v>150000</v>
      </c>
    </row>
    <row r="522" spans="1:6" ht="15" x14ac:dyDescent="0.4">
      <c r="A522" s="55" t="s">
        <v>898</v>
      </c>
      <c r="B522" s="54">
        <v>46157</v>
      </c>
      <c r="C522" s="55" t="s">
        <v>55</v>
      </c>
      <c r="D522" s="57">
        <v>150000</v>
      </c>
      <c r="E522" s="57">
        <v>0</v>
      </c>
      <c r="F522" s="57">
        <v>150000</v>
      </c>
    </row>
    <row r="523" spans="1:6" ht="15" x14ac:dyDescent="0.4">
      <c r="A523" s="55" t="s">
        <v>899</v>
      </c>
      <c r="B523" s="54">
        <v>46157</v>
      </c>
      <c r="C523" s="55" t="s">
        <v>57</v>
      </c>
      <c r="D523" s="57">
        <v>480000</v>
      </c>
      <c r="E523" s="57">
        <v>0</v>
      </c>
      <c r="F523" s="57">
        <v>480000</v>
      </c>
    </row>
    <row r="524" spans="1:6" ht="15" x14ac:dyDescent="0.4">
      <c r="A524" s="55" t="s">
        <v>900</v>
      </c>
      <c r="B524" s="54">
        <v>46157</v>
      </c>
      <c r="C524" s="55" t="s">
        <v>402</v>
      </c>
      <c r="D524" s="57">
        <v>480000</v>
      </c>
      <c r="E524" s="57">
        <v>0</v>
      </c>
      <c r="F524" s="57">
        <v>480000</v>
      </c>
    </row>
    <row r="525" spans="1:6" ht="15" x14ac:dyDescent="0.4">
      <c r="A525" s="55" t="s">
        <v>901</v>
      </c>
      <c r="B525" s="54">
        <v>46158</v>
      </c>
      <c r="C525" s="55" t="s">
        <v>62</v>
      </c>
      <c r="D525" s="57">
        <v>480000</v>
      </c>
      <c r="E525" s="57">
        <v>0</v>
      </c>
      <c r="F525" s="57">
        <v>480000</v>
      </c>
    </row>
    <row r="526" spans="1:6" ht="15" x14ac:dyDescent="0.4">
      <c r="A526" s="55" t="s">
        <v>902</v>
      </c>
      <c r="B526" s="54">
        <v>46159</v>
      </c>
      <c r="C526" s="55" t="s">
        <v>55</v>
      </c>
      <c r="D526" s="57">
        <v>170000</v>
      </c>
      <c r="E526" s="57">
        <v>0</v>
      </c>
      <c r="F526" s="57">
        <v>170000</v>
      </c>
    </row>
    <row r="527" spans="1:6" ht="15" x14ac:dyDescent="0.4">
      <c r="A527" s="55" t="s">
        <v>903</v>
      </c>
      <c r="B527" s="54">
        <v>46159</v>
      </c>
      <c r="C527" s="55" t="s">
        <v>386</v>
      </c>
      <c r="D527" s="57">
        <v>170000</v>
      </c>
      <c r="E527" s="57">
        <v>0</v>
      </c>
      <c r="F527" s="57">
        <v>170000</v>
      </c>
    </row>
    <row r="528" spans="1:6" ht="15" x14ac:dyDescent="0.4">
      <c r="A528" s="55" t="s">
        <v>904</v>
      </c>
      <c r="B528" s="54">
        <v>46159</v>
      </c>
      <c r="C528" s="55" t="s">
        <v>380</v>
      </c>
      <c r="D528" s="57">
        <v>480000</v>
      </c>
      <c r="E528" s="57">
        <v>0</v>
      </c>
      <c r="F528" s="57">
        <v>480000</v>
      </c>
    </row>
    <row r="529" spans="1:6" ht="15" x14ac:dyDescent="0.4">
      <c r="A529" s="55" t="s">
        <v>905</v>
      </c>
      <c r="B529" s="54">
        <v>46160</v>
      </c>
      <c r="C529" s="55" t="s">
        <v>55</v>
      </c>
      <c r="D529" s="57">
        <v>480000</v>
      </c>
      <c r="E529" s="57">
        <v>0</v>
      </c>
      <c r="F529" s="57">
        <v>480000</v>
      </c>
    </row>
    <row r="530" spans="1:6" ht="15" x14ac:dyDescent="0.4">
      <c r="A530" s="55" t="s">
        <v>906</v>
      </c>
      <c r="B530" s="54">
        <v>46162</v>
      </c>
      <c r="C530" s="55" t="s">
        <v>63</v>
      </c>
      <c r="D530" s="57">
        <v>170000</v>
      </c>
      <c r="E530" s="57">
        <v>0</v>
      </c>
      <c r="F530" s="57">
        <v>170000</v>
      </c>
    </row>
    <row r="531" spans="1:6" ht="15" x14ac:dyDescent="0.4">
      <c r="A531" s="55" t="s">
        <v>907</v>
      </c>
      <c r="B531" s="54">
        <v>46162</v>
      </c>
      <c r="C531" s="55" t="s">
        <v>55</v>
      </c>
      <c r="D531" s="57">
        <v>150000</v>
      </c>
      <c r="E531" s="57">
        <v>0</v>
      </c>
      <c r="F531" s="57">
        <v>150000</v>
      </c>
    </row>
    <row r="532" spans="1:6" ht="15" x14ac:dyDescent="0.4">
      <c r="A532" s="55" t="s">
        <v>908</v>
      </c>
      <c r="B532" s="54">
        <v>46162</v>
      </c>
      <c r="C532" s="55" t="s">
        <v>63</v>
      </c>
      <c r="D532" s="57">
        <v>150000</v>
      </c>
      <c r="E532" s="57">
        <v>0</v>
      </c>
      <c r="F532" s="57">
        <v>150000</v>
      </c>
    </row>
    <row r="533" spans="1:6" ht="15" x14ac:dyDescent="0.4">
      <c r="A533" s="55" t="s">
        <v>909</v>
      </c>
      <c r="B533" s="54">
        <v>46162</v>
      </c>
      <c r="C533" s="55" t="s">
        <v>402</v>
      </c>
      <c r="D533" s="57">
        <v>150000</v>
      </c>
      <c r="E533" s="57">
        <v>0</v>
      </c>
      <c r="F533" s="57">
        <v>150000</v>
      </c>
    </row>
    <row r="534" spans="1:6" ht="15" x14ac:dyDescent="0.4">
      <c r="A534" s="55" t="s">
        <v>910</v>
      </c>
      <c r="B534" s="54">
        <v>46163</v>
      </c>
      <c r="C534" s="55" t="s">
        <v>55</v>
      </c>
      <c r="D534" s="57">
        <v>150000</v>
      </c>
      <c r="E534" s="57">
        <v>0</v>
      </c>
      <c r="F534" s="57">
        <v>150000</v>
      </c>
    </row>
    <row r="535" spans="1:6" ht="15" x14ac:dyDescent="0.4">
      <c r="A535" s="55" t="s">
        <v>911</v>
      </c>
      <c r="B535" s="54">
        <v>46163</v>
      </c>
      <c r="C535" s="55" t="s">
        <v>55</v>
      </c>
      <c r="D535" s="57">
        <v>170000</v>
      </c>
      <c r="E535" s="57">
        <v>0</v>
      </c>
      <c r="F535" s="57">
        <v>170000</v>
      </c>
    </row>
    <row r="536" spans="1:6" ht="15" x14ac:dyDescent="0.4">
      <c r="A536" s="55" t="s">
        <v>912</v>
      </c>
      <c r="B536" s="54">
        <v>46163</v>
      </c>
      <c r="C536" s="55" t="s">
        <v>57</v>
      </c>
      <c r="D536" s="57">
        <v>170000</v>
      </c>
      <c r="E536" s="57">
        <v>0</v>
      </c>
      <c r="F536" s="57">
        <v>170000</v>
      </c>
    </row>
    <row r="537" spans="1:6" ht="15" x14ac:dyDescent="0.4">
      <c r="A537" s="55" t="s">
        <v>913</v>
      </c>
      <c r="B537" s="54">
        <v>46163</v>
      </c>
      <c r="C537" s="55" t="s">
        <v>63</v>
      </c>
      <c r="D537" s="57">
        <v>480000</v>
      </c>
      <c r="E537" s="57">
        <v>240000</v>
      </c>
      <c r="F537" s="57">
        <v>240000</v>
      </c>
    </row>
    <row r="538" spans="1:6" ht="15" x14ac:dyDescent="0.4">
      <c r="A538" s="55" t="s">
        <v>914</v>
      </c>
      <c r="B538" s="54">
        <v>46164</v>
      </c>
      <c r="C538" s="55" t="s">
        <v>63</v>
      </c>
      <c r="D538" s="57">
        <v>480000</v>
      </c>
      <c r="E538" s="57">
        <v>0</v>
      </c>
      <c r="F538" s="57">
        <v>480000</v>
      </c>
    </row>
    <row r="539" spans="1:6" ht="15" x14ac:dyDescent="0.4">
      <c r="A539" s="55" t="s">
        <v>915</v>
      </c>
      <c r="B539" s="54">
        <v>46165</v>
      </c>
      <c r="C539" s="55" t="s">
        <v>55</v>
      </c>
      <c r="D539" s="57">
        <v>170000</v>
      </c>
      <c r="E539" s="57">
        <v>0</v>
      </c>
      <c r="F539" s="57">
        <v>170000</v>
      </c>
    </row>
    <row r="540" spans="1:6" ht="15" x14ac:dyDescent="0.4">
      <c r="A540" s="55" t="s">
        <v>916</v>
      </c>
      <c r="B540" s="54">
        <v>46165</v>
      </c>
      <c r="C540" s="55" t="s">
        <v>402</v>
      </c>
      <c r="D540" s="57">
        <v>150000</v>
      </c>
      <c r="E540" s="57">
        <v>0</v>
      </c>
      <c r="F540" s="57">
        <v>150000</v>
      </c>
    </row>
    <row r="541" spans="1:6" ht="15" x14ac:dyDescent="0.4">
      <c r="A541" s="55" t="s">
        <v>917</v>
      </c>
      <c r="B541" s="54">
        <v>46166</v>
      </c>
      <c r="C541" s="55" t="s">
        <v>57</v>
      </c>
      <c r="D541" s="57">
        <v>170000</v>
      </c>
      <c r="E541" s="57">
        <v>0</v>
      </c>
      <c r="F541" s="57">
        <v>170000</v>
      </c>
    </row>
    <row r="542" spans="1:6" ht="15" x14ac:dyDescent="0.4">
      <c r="A542" s="55" t="s">
        <v>918</v>
      </c>
      <c r="B542" s="54">
        <v>46166</v>
      </c>
      <c r="C542" s="55" t="s">
        <v>63</v>
      </c>
      <c r="D542" s="57">
        <v>480000</v>
      </c>
      <c r="E542" s="57">
        <v>0</v>
      </c>
      <c r="F542" s="57">
        <v>480000</v>
      </c>
    </row>
    <row r="543" spans="1:6" ht="15" x14ac:dyDescent="0.4">
      <c r="A543" s="55" t="s">
        <v>919</v>
      </c>
      <c r="B543" s="54">
        <v>46168</v>
      </c>
      <c r="C543" s="55" t="s">
        <v>386</v>
      </c>
      <c r="D543" s="57">
        <v>170000</v>
      </c>
      <c r="E543" s="57">
        <v>0</v>
      </c>
      <c r="F543" s="57">
        <v>170000</v>
      </c>
    </row>
    <row r="544" spans="1:6" ht="15" x14ac:dyDescent="0.4">
      <c r="A544" s="55" t="s">
        <v>920</v>
      </c>
      <c r="B544" s="54">
        <v>46168</v>
      </c>
      <c r="C544" s="55" t="s">
        <v>57</v>
      </c>
      <c r="D544" s="57">
        <v>480000</v>
      </c>
      <c r="E544" s="57">
        <v>0</v>
      </c>
      <c r="F544" s="57">
        <v>480000</v>
      </c>
    </row>
    <row r="545" spans="1:6" ht="15" x14ac:dyDescent="0.4">
      <c r="A545" s="55" t="s">
        <v>921</v>
      </c>
      <c r="B545" s="54">
        <v>46168</v>
      </c>
      <c r="C545" s="55" t="s">
        <v>63</v>
      </c>
      <c r="D545" s="57">
        <v>150000</v>
      </c>
      <c r="E545" s="57">
        <v>0</v>
      </c>
      <c r="F545" s="57">
        <v>150000</v>
      </c>
    </row>
    <row r="546" spans="1:6" ht="15" x14ac:dyDescent="0.4">
      <c r="A546" s="55" t="s">
        <v>922</v>
      </c>
      <c r="B546" s="54">
        <v>46168</v>
      </c>
      <c r="C546" s="55" t="s">
        <v>63</v>
      </c>
      <c r="D546" s="57">
        <v>480000</v>
      </c>
      <c r="E546" s="57">
        <v>0</v>
      </c>
      <c r="F546" s="57">
        <v>480000</v>
      </c>
    </row>
    <row r="547" spans="1:6" ht="15" x14ac:dyDescent="0.4">
      <c r="A547" s="55" t="s">
        <v>923</v>
      </c>
      <c r="B547" s="54">
        <v>46168</v>
      </c>
      <c r="C547" s="55" t="s">
        <v>63</v>
      </c>
      <c r="D547" s="57">
        <v>150000</v>
      </c>
      <c r="E547" s="57">
        <v>0</v>
      </c>
      <c r="F547" s="57">
        <v>150000</v>
      </c>
    </row>
    <row r="548" spans="1:6" ht="15" x14ac:dyDescent="0.4">
      <c r="A548" s="55" t="s">
        <v>924</v>
      </c>
      <c r="B548" s="54">
        <v>46168</v>
      </c>
      <c r="C548" s="55" t="s">
        <v>402</v>
      </c>
      <c r="D548" s="57">
        <v>170000</v>
      </c>
      <c r="E548" s="57">
        <v>0</v>
      </c>
      <c r="F548" s="57">
        <v>170000</v>
      </c>
    </row>
    <row r="549" spans="1:6" ht="15" x14ac:dyDescent="0.4">
      <c r="A549" s="55" t="s">
        <v>925</v>
      </c>
      <c r="B549" s="54">
        <v>46169</v>
      </c>
      <c r="C549" s="55" t="s">
        <v>377</v>
      </c>
      <c r="D549" s="57">
        <v>170000</v>
      </c>
      <c r="E549" s="57">
        <v>170000</v>
      </c>
      <c r="F549" s="57">
        <v>0</v>
      </c>
    </row>
    <row r="550" spans="1:6" ht="15" x14ac:dyDescent="0.4">
      <c r="A550" s="55" t="s">
        <v>926</v>
      </c>
      <c r="B550" s="54">
        <v>46169</v>
      </c>
      <c r="C550" s="55" t="s">
        <v>402</v>
      </c>
      <c r="D550" s="57">
        <v>150000</v>
      </c>
      <c r="E550" s="57">
        <v>0</v>
      </c>
      <c r="F550" s="57">
        <v>150000</v>
      </c>
    </row>
    <row r="551" spans="1:6" ht="15" x14ac:dyDescent="0.4">
      <c r="A551" s="55" t="s">
        <v>927</v>
      </c>
      <c r="B551" s="54">
        <v>46170</v>
      </c>
      <c r="C551" s="55" t="s">
        <v>386</v>
      </c>
      <c r="D551" s="57">
        <v>170000</v>
      </c>
      <c r="E551" s="57">
        <v>0</v>
      </c>
      <c r="F551" s="57">
        <v>170000</v>
      </c>
    </row>
    <row r="552" spans="1:6" ht="15" x14ac:dyDescent="0.4">
      <c r="A552" s="55" t="s">
        <v>928</v>
      </c>
      <c r="B552" s="54">
        <v>46170</v>
      </c>
      <c r="C552" s="55" t="s">
        <v>59</v>
      </c>
      <c r="D552" s="57">
        <v>480000</v>
      </c>
      <c r="E552" s="57">
        <v>0</v>
      </c>
      <c r="F552" s="57">
        <v>480000</v>
      </c>
    </row>
    <row r="553" spans="1:6" ht="15" x14ac:dyDescent="0.4">
      <c r="A553" s="55" t="s">
        <v>929</v>
      </c>
      <c r="B553" s="54">
        <v>46171</v>
      </c>
      <c r="C553" s="55" t="s">
        <v>55</v>
      </c>
      <c r="D553" s="57">
        <v>150000</v>
      </c>
      <c r="E553" s="57">
        <v>0</v>
      </c>
      <c r="F553" s="57">
        <v>150000</v>
      </c>
    </row>
    <row r="554" spans="1:6" ht="15" x14ac:dyDescent="0.4">
      <c r="A554" s="55" t="s">
        <v>930</v>
      </c>
      <c r="B554" s="54">
        <v>46171</v>
      </c>
      <c r="C554" s="55" t="s">
        <v>386</v>
      </c>
      <c r="D554" s="57">
        <v>480000</v>
      </c>
      <c r="E554" s="57">
        <v>0</v>
      </c>
      <c r="F554" s="57">
        <v>480000</v>
      </c>
    </row>
    <row r="555" spans="1:6" ht="15" x14ac:dyDescent="0.4">
      <c r="A555" s="55" t="s">
        <v>931</v>
      </c>
      <c r="B555" s="54">
        <v>46172</v>
      </c>
      <c r="C555" s="55" t="s">
        <v>586</v>
      </c>
      <c r="D555" s="57">
        <v>750000</v>
      </c>
      <c r="E555" s="57">
        <v>0</v>
      </c>
      <c r="F555" s="57">
        <v>750000</v>
      </c>
    </row>
    <row r="556" spans="1:6" ht="15" x14ac:dyDescent="0.4">
      <c r="A556" s="55" t="s">
        <v>932</v>
      </c>
      <c r="B556" s="54">
        <v>46172</v>
      </c>
      <c r="C556" s="55" t="s">
        <v>63</v>
      </c>
      <c r="D556" s="57">
        <v>170000</v>
      </c>
      <c r="E556" s="57">
        <v>0</v>
      </c>
      <c r="F556" s="57">
        <v>170000</v>
      </c>
    </row>
    <row r="557" spans="1:6" ht="15" x14ac:dyDescent="0.4">
      <c r="A557" s="55" t="s">
        <v>933</v>
      </c>
      <c r="B557" s="54">
        <v>46172</v>
      </c>
      <c r="C557" s="55" t="s">
        <v>63</v>
      </c>
      <c r="D557" s="57">
        <v>170000</v>
      </c>
      <c r="E557" s="57">
        <v>0</v>
      </c>
      <c r="F557" s="57">
        <v>170000</v>
      </c>
    </row>
    <row r="558" spans="1:6" ht="15" x14ac:dyDescent="0.4">
      <c r="A558" s="55" t="s">
        <v>934</v>
      </c>
      <c r="B558" s="54">
        <v>46173</v>
      </c>
      <c r="C558" s="55" t="s">
        <v>380</v>
      </c>
      <c r="D558" s="57">
        <v>170000</v>
      </c>
      <c r="E558" s="57">
        <v>0</v>
      </c>
      <c r="F558" s="57">
        <v>170000</v>
      </c>
    </row>
    <row r="559" spans="1:6" ht="15" x14ac:dyDescent="0.4">
      <c r="A559" s="55" t="s">
        <v>935</v>
      </c>
      <c r="B559" s="54">
        <v>46173</v>
      </c>
      <c r="C559" s="55" t="s">
        <v>586</v>
      </c>
      <c r="D559" s="57">
        <v>170000</v>
      </c>
      <c r="E559" s="57">
        <v>0</v>
      </c>
      <c r="F559" s="57">
        <v>170000</v>
      </c>
    </row>
    <row r="560" spans="1:6" ht="15" x14ac:dyDescent="0.4">
      <c r="A560" s="55" t="s">
        <v>936</v>
      </c>
      <c r="B560" s="54">
        <v>46174</v>
      </c>
      <c r="C560" s="55" t="s">
        <v>63</v>
      </c>
      <c r="D560" s="57">
        <v>170000</v>
      </c>
      <c r="E560" s="57">
        <v>0</v>
      </c>
      <c r="F560" s="57">
        <v>170000</v>
      </c>
    </row>
    <row r="561" spans="1:6" ht="15" x14ac:dyDescent="0.4">
      <c r="A561" s="55" t="s">
        <v>937</v>
      </c>
      <c r="B561" s="54">
        <v>46175</v>
      </c>
      <c r="C561" s="55" t="s">
        <v>380</v>
      </c>
      <c r="D561" s="57">
        <v>170000</v>
      </c>
      <c r="E561" s="57">
        <v>0</v>
      </c>
      <c r="F561" s="57">
        <v>170000</v>
      </c>
    </row>
    <row r="562" spans="1:6" ht="15" x14ac:dyDescent="0.4">
      <c r="A562" s="55" t="s">
        <v>938</v>
      </c>
      <c r="B562" s="54">
        <v>46175</v>
      </c>
      <c r="C562" s="55" t="s">
        <v>63</v>
      </c>
      <c r="D562" s="57">
        <v>1500000</v>
      </c>
      <c r="E562" s="57">
        <v>0</v>
      </c>
      <c r="F562" s="57">
        <v>1500000</v>
      </c>
    </row>
    <row r="563" spans="1:6" ht="15" x14ac:dyDescent="0.4">
      <c r="A563" s="55" t="s">
        <v>939</v>
      </c>
      <c r="B563" s="54">
        <v>46176</v>
      </c>
      <c r="C563" s="55" t="s">
        <v>55</v>
      </c>
      <c r="D563" s="57">
        <v>170000</v>
      </c>
      <c r="E563" s="57">
        <v>0</v>
      </c>
      <c r="F563" s="57">
        <v>170000</v>
      </c>
    </row>
    <row r="564" spans="1:6" ht="15" x14ac:dyDescent="0.4">
      <c r="A564" s="55" t="s">
        <v>940</v>
      </c>
      <c r="B564" s="54">
        <v>46176</v>
      </c>
      <c r="C564" s="55" t="s">
        <v>55</v>
      </c>
      <c r="D564" s="57">
        <v>1500000</v>
      </c>
      <c r="E564" s="57">
        <v>0</v>
      </c>
      <c r="F564" s="57">
        <v>1500000</v>
      </c>
    </row>
    <row r="565" spans="1:6" ht="15" x14ac:dyDescent="0.4">
      <c r="A565" s="55" t="s">
        <v>941</v>
      </c>
      <c r="B565" s="54">
        <v>46176</v>
      </c>
      <c r="C565" s="55" t="s">
        <v>62</v>
      </c>
      <c r="D565" s="57">
        <v>480000</v>
      </c>
      <c r="E565" s="57">
        <v>480000</v>
      </c>
      <c r="F565" s="57">
        <v>0</v>
      </c>
    </row>
    <row r="566" spans="1:6" ht="15" x14ac:dyDescent="0.4">
      <c r="A566" s="55" t="s">
        <v>942</v>
      </c>
      <c r="B566" s="54">
        <v>46177</v>
      </c>
      <c r="C566" s="55" t="s">
        <v>55</v>
      </c>
      <c r="D566" s="57">
        <v>170000</v>
      </c>
      <c r="E566" s="57">
        <v>0</v>
      </c>
      <c r="F566" s="57">
        <v>170000</v>
      </c>
    </row>
    <row r="567" spans="1:6" ht="15" x14ac:dyDescent="0.4">
      <c r="A567" s="55" t="s">
        <v>943</v>
      </c>
      <c r="B567" s="54">
        <v>46178</v>
      </c>
      <c r="C567" s="55" t="s">
        <v>63</v>
      </c>
      <c r="D567" s="57">
        <v>170000</v>
      </c>
      <c r="E567" s="57">
        <v>0</v>
      </c>
      <c r="F567" s="57">
        <v>170000</v>
      </c>
    </row>
    <row r="568" spans="1:6" ht="15" x14ac:dyDescent="0.4">
      <c r="A568" s="55" t="s">
        <v>944</v>
      </c>
      <c r="B568" s="54">
        <v>46178</v>
      </c>
      <c r="C568" s="55" t="s">
        <v>63</v>
      </c>
      <c r="D568" s="57">
        <v>150000</v>
      </c>
      <c r="E568" s="57">
        <v>0</v>
      </c>
      <c r="F568" s="57">
        <v>150000</v>
      </c>
    </row>
    <row r="569" spans="1:6" ht="15" x14ac:dyDescent="0.4">
      <c r="A569" s="55" t="s">
        <v>945</v>
      </c>
      <c r="B569" s="54">
        <v>46178</v>
      </c>
      <c r="C569" s="55" t="s">
        <v>63</v>
      </c>
      <c r="D569" s="57">
        <v>150000</v>
      </c>
      <c r="E569" s="57">
        <v>0</v>
      </c>
      <c r="F569" s="57">
        <v>150000</v>
      </c>
    </row>
    <row r="570" spans="1:6" ht="15" x14ac:dyDescent="0.4">
      <c r="A570" s="55" t="s">
        <v>946</v>
      </c>
      <c r="B570" s="54">
        <v>46178</v>
      </c>
      <c r="C570" s="55" t="s">
        <v>63</v>
      </c>
      <c r="D570" s="57">
        <v>480000</v>
      </c>
      <c r="E570" s="57">
        <v>0</v>
      </c>
      <c r="F570" s="57">
        <v>480000</v>
      </c>
    </row>
    <row r="571" spans="1:6" ht="15" x14ac:dyDescent="0.4">
      <c r="A571" s="55" t="s">
        <v>947</v>
      </c>
      <c r="B571" s="54">
        <v>46178</v>
      </c>
      <c r="C571" s="55" t="s">
        <v>59</v>
      </c>
      <c r="D571" s="57">
        <v>1500000</v>
      </c>
      <c r="E571" s="57">
        <v>0</v>
      </c>
      <c r="F571" s="57">
        <v>1500000</v>
      </c>
    </row>
    <row r="572" spans="1:6" ht="15" x14ac:dyDescent="0.4">
      <c r="A572" s="55" t="s">
        <v>948</v>
      </c>
      <c r="B572" s="54">
        <v>46179</v>
      </c>
      <c r="C572" s="55" t="s">
        <v>402</v>
      </c>
      <c r="D572" s="57">
        <v>170000</v>
      </c>
      <c r="E572" s="57">
        <v>0</v>
      </c>
      <c r="F572" s="57">
        <v>170000</v>
      </c>
    </row>
    <row r="573" spans="1:6" ht="15" x14ac:dyDescent="0.4">
      <c r="A573" s="55" t="s">
        <v>949</v>
      </c>
      <c r="B573" s="54">
        <v>46179</v>
      </c>
      <c r="C573" s="55" t="s">
        <v>402</v>
      </c>
      <c r="D573" s="57">
        <v>1500000</v>
      </c>
      <c r="E573" s="57">
        <v>0</v>
      </c>
      <c r="F573" s="57">
        <v>1500000</v>
      </c>
    </row>
    <row r="574" spans="1:6" ht="15" x14ac:dyDescent="0.4">
      <c r="A574" s="55" t="s">
        <v>950</v>
      </c>
      <c r="B574" s="54">
        <v>46180</v>
      </c>
      <c r="C574" s="55" t="s">
        <v>63</v>
      </c>
      <c r="D574" s="57">
        <v>150000</v>
      </c>
      <c r="E574" s="57">
        <v>0</v>
      </c>
      <c r="F574" s="57">
        <v>150000</v>
      </c>
    </row>
    <row r="575" spans="1:6" ht="15" x14ac:dyDescent="0.4">
      <c r="A575" s="55" t="s">
        <v>951</v>
      </c>
      <c r="B575" s="54">
        <v>46180</v>
      </c>
      <c r="C575" s="55" t="s">
        <v>55</v>
      </c>
      <c r="D575" s="57">
        <v>480000</v>
      </c>
      <c r="E575" s="57">
        <v>0</v>
      </c>
      <c r="F575" s="57">
        <v>480000</v>
      </c>
    </row>
    <row r="576" spans="1:6" ht="15" x14ac:dyDescent="0.4">
      <c r="A576" s="55" t="s">
        <v>952</v>
      </c>
      <c r="B576" s="54">
        <v>46180</v>
      </c>
      <c r="C576" s="55" t="s">
        <v>62</v>
      </c>
      <c r="D576" s="57">
        <v>480000</v>
      </c>
      <c r="E576" s="57">
        <v>0</v>
      </c>
      <c r="F576" s="57">
        <v>480000</v>
      </c>
    </row>
    <row r="577" spans="1:6" ht="15" x14ac:dyDescent="0.4">
      <c r="A577" s="55" t="s">
        <v>953</v>
      </c>
      <c r="B577" s="54">
        <v>46180</v>
      </c>
      <c r="C577" s="55" t="s">
        <v>59</v>
      </c>
      <c r="D577" s="57">
        <v>750000</v>
      </c>
      <c r="E577" s="57">
        <v>0</v>
      </c>
      <c r="F577" s="57">
        <v>750000</v>
      </c>
    </row>
    <row r="578" spans="1:6" ht="15" x14ac:dyDescent="0.4">
      <c r="A578" s="55" t="s">
        <v>954</v>
      </c>
      <c r="B578" s="54">
        <v>46181</v>
      </c>
      <c r="C578" s="55" t="s">
        <v>380</v>
      </c>
      <c r="D578" s="57">
        <v>480000</v>
      </c>
      <c r="E578" s="57">
        <v>0</v>
      </c>
      <c r="F578" s="57">
        <v>480000</v>
      </c>
    </row>
    <row r="579" spans="1:6" ht="15" x14ac:dyDescent="0.4">
      <c r="A579" s="55" t="s">
        <v>955</v>
      </c>
      <c r="B579" s="54">
        <v>46182</v>
      </c>
      <c r="C579" s="55" t="s">
        <v>55</v>
      </c>
      <c r="D579" s="57">
        <v>750000</v>
      </c>
      <c r="E579" s="57">
        <v>0</v>
      </c>
      <c r="F579" s="57">
        <v>750000</v>
      </c>
    </row>
    <row r="580" spans="1:6" ht="15" x14ac:dyDescent="0.4">
      <c r="A580" s="55" t="s">
        <v>956</v>
      </c>
      <c r="B580" s="54">
        <v>46183</v>
      </c>
      <c r="C580" s="55" t="s">
        <v>59</v>
      </c>
      <c r="D580" s="57">
        <v>750000</v>
      </c>
      <c r="E580" s="57">
        <v>0</v>
      </c>
      <c r="F580" s="57">
        <v>750000</v>
      </c>
    </row>
    <row r="581" spans="1:6" ht="15" x14ac:dyDescent="0.4">
      <c r="A581" s="55" t="s">
        <v>957</v>
      </c>
      <c r="B581" s="54">
        <v>46183</v>
      </c>
      <c r="C581" s="55" t="s">
        <v>398</v>
      </c>
      <c r="D581" s="57">
        <v>170000</v>
      </c>
      <c r="E581" s="57">
        <v>0</v>
      </c>
      <c r="F581" s="57">
        <v>170000</v>
      </c>
    </row>
    <row r="582" spans="1:6" ht="15" x14ac:dyDescent="0.4">
      <c r="A582" s="55" t="s">
        <v>958</v>
      </c>
      <c r="B582" s="54">
        <v>46184</v>
      </c>
      <c r="C582" s="55" t="s">
        <v>62</v>
      </c>
      <c r="D582" s="57">
        <v>1500000</v>
      </c>
      <c r="E582" s="57">
        <v>0</v>
      </c>
      <c r="F582" s="57">
        <v>1500000</v>
      </c>
    </row>
    <row r="583" spans="1:6" ht="15" x14ac:dyDescent="0.4">
      <c r="A583" s="55" t="s">
        <v>959</v>
      </c>
      <c r="B583" s="54">
        <v>46185</v>
      </c>
      <c r="C583" s="55" t="s">
        <v>62</v>
      </c>
      <c r="D583" s="57">
        <v>150000</v>
      </c>
      <c r="E583" s="57">
        <v>150000</v>
      </c>
      <c r="F583" s="57">
        <v>0</v>
      </c>
    </row>
    <row r="584" spans="1:6" ht="15" x14ac:dyDescent="0.4">
      <c r="A584" s="55" t="s">
        <v>960</v>
      </c>
      <c r="B584" s="54">
        <v>46186</v>
      </c>
      <c r="C584" s="55" t="s">
        <v>386</v>
      </c>
      <c r="D584" s="57">
        <v>170000</v>
      </c>
      <c r="E584" s="57">
        <v>0</v>
      </c>
      <c r="F584" s="57">
        <v>170000</v>
      </c>
    </row>
    <row r="585" spans="1:6" ht="15" x14ac:dyDescent="0.4">
      <c r="A585" s="55" t="s">
        <v>961</v>
      </c>
      <c r="B585" s="54">
        <v>46186</v>
      </c>
      <c r="C585" s="55" t="s">
        <v>55</v>
      </c>
      <c r="D585" s="57">
        <v>170000</v>
      </c>
      <c r="E585" s="57">
        <v>0</v>
      </c>
      <c r="F585" s="57">
        <v>170000</v>
      </c>
    </row>
    <row r="586" spans="1:6" ht="15" x14ac:dyDescent="0.4">
      <c r="A586" s="55" t="s">
        <v>962</v>
      </c>
      <c r="B586" s="54">
        <v>46186</v>
      </c>
      <c r="C586" s="55" t="s">
        <v>55</v>
      </c>
      <c r="D586" s="57">
        <v>170000</v>
      </c>
      <c r="E586" s="57">
        <v>0</v>
      </c>
      <c r="F586" s="57">
        <v>170000</v>
      </c>
    </row>
    <row r="587" spans="1:6" ht="15" x14ac:dyDescent="0.4">
      <c r="A587" s="55" t="s">
        <v>963</v>
      </c>
      <c r="B587" s="54">
        <v>46186</v>
      </c>
      <c r="C587" s="55" t="s">
        <v>63</v>
      </c>
      <c r="D587" s="57">
        <v>480000</v>
      </c>
      <c r="E587" s="57">
        <v>0</v>
      </c>
      <c r="F587" s="57">
        <v>480000</v>
      </c>
    </row>
    <row r="588" spans="1:6" ht="15" x14ac:dyDescent="0.4">
      <c r="A588" s="55" t="s">
        <v>964</v>
      </c>
      <c r="B588" s="54">
        <v>46186</v>
      </c>
      <c r="C588" s="55" t="s">
        <v>62</v>
      </c>
      <c r="D588" s="57">
        <v>480000</v>
      </c>
      <c r="E588" s="57">
        <v>0</v>
      </c>
      <c r="F588" s="57">
        <v>480000</v>
      </c>
    </row>
    <row r="589" spans="1:6" ht="15" x14ac:dyDescent="0.4">
      <c r="A589" s="55" t="s">
        <v>965</v>
      </c>
      <c r="B589" s="54">
        <v>46187</v>
      </c>
      <c r="C589" s="55" t="s">
        <v>55</v>
      </c>
      <c r="D589" s="57">
        <v>480000</v>
      </c>
      <c r="E589" s="57">
        <v>0</v>
      </c>
      <c r="F589" s="57">
        <v>480000</v>
      </c>
    </row>
    <row r="590" spans="1:6" ht="15" x14ac:dyDescent="0.4">
      <c r="A590" s="55" t="s">
        <v>966</v>
      </c>
      <c r="B590" s="54">
        <v>46188</v>
      </c>
      <c r="C590" s="55" t="s">
        <v>59</v>
      </c>
      <c r="D590" s="57">
        <v>150000</v>
      </c>
      <c r="E590" s="57">
        <v>0</v>
      </c>
      <c r="F590" s="57">
        <v>150000</v>
      </c>
    </row>
    <row r="591" spans="1:6" ht="15" x14ac:dyDescent="0.4">
      <c r="A591" s="55" t="s">
        <v>967</v>
      </c>
      <c r="B591" s="54">
        <v>46189</v>
      </c>
      <c r="C591" s="55" t="s">
        <v>55</v>
      </c>
      <c r="D591" s="57">
        <v>170000</v>
      </c>
      <c r="E591" s="57">
        <v>0</v>
      </c>
      <c r="F591" s="57">
        <v>170000</v>
      </c>
    </row>
    <row r="592" spans="1:6" ht="15" x14ac:dyDescent="0.4">
      <c r="A592" s="55" t="s">
        <v>968</v>
      </c>
      <c r="B592" s="54">
        <v>46189</v>
      </c>
      <c r="C592" s="55" t="s">
        <v>386</v>
      </c>
      <c r="D592" s="57">
        <v>170000</v>
      </c>
      <c r="E592" s="57">
        <v>0</v>
      </c>
      <c r="F592" s="57">
        <v>170000</v>
      </c>
    </row>
    <row r="593" spans="1:6" ht="15" x14ac:dyDescent="0.4">
      <c r="A593" s="55" t="s">
        <v>969</v>
      </c>
      <c r="B593" s="54">
        <v>46189</v>
      </c>
      <c r="C593" s="55" t="s">
        <v>402</v>
      </c>
      <c r="D593" s="57">
        <v>150000</v>
      </c>
      <c r="E593" s="57">
        <v>0</v>
      </c>
      <c r="F593" s="57">
        <v>150000</v>
      </c>
    </row>
    <row r="594" spans="1:6" ht="15" x14ac:dyDescent="0.4">
      <c r="A594" s="55" t="s">
        <v>970</v>
      </c>
      <c r="B594" s="54">
        <v>46189</v>
      </c>
      <c r="C594" s="55" t="s">
        <v>62</v>
      </c>
      <c r="D594" s="57">
        <v>150000</v>
      </c>
      <c r="E594" s="57">
        <v>0</v>
      </c>
      <c r="F594" s="57">
        <v>150000</v>
      </c>
    </row>
    <row r="595" spans="1:6" ht="15" x14ac:dyDescent="0.4">
      <c r="A595" s="55" t="s">
        <v>971</v>
      </c>
      <c r="B595" s="54">
        <v>46191</v>
      </c>
      <c r="C595" s="55" t="s">
        <v>63</v>
      </c>
      <c r="D595" s="57">
        <v>480000</v>
      </c>
      <c r="E595" s="57">
        <v>0</v>
      </c>
      <c r="F595" s="57">
        <v>480000</v>
      </c>
    </row>
    <row r="596" spans="1:6" ht="15" x14ac:dyDescent="0.4">
      <c r="A596" s="55" t="s">
        <v>972</v>
      </c>
      <c r="B596" s="54">
        <v>46191</v>
      </c>
      <c r="C596" s="55" t="s">
        <v>386</v>
      </c>
      <c r="D596" s="57">
        <v>170000</v>
      </c>
      <c r="E596" s="57">
        <v>0</v>
      </c>
      <c r="F596" s="57">
        <v>170000</v>
      </c>
    </row>
    <row r="597" spans="1:6" ht="15" x14ac:dyDescent="0.4">
      <c r="A597" s="55" t="s">
        <v>973</v>
      </c>
      <c r="B597" s="54">
        <v>46192</v>
      </c>
      <c r="C597" s="55" t="s">
        <v>63</v>
      </c>
      <c r="D597" s="57">
        <v>170000</v>
      </c>
      <c r="E597" s="57">
        <v>0</v>
      </c>
      <c r="F597" s="57">
        <v>170000</v>
      </c>
    </row>
    <row r="598" spans="1:6" ht="15" x14ac:dyDescent="0.4">
      <c r="A598" s="55" t="s">
        <v>974</v>
      </c>
      <c r="B598" s="54">
        <v>46193</v>
      </c>
      <c r="C598" s="55" t="s">
        <v>55</v>
      </c>
      <c r="D598" s="57">
        <v>170000</v>
      </c>
      <c r="E598" s="57">
        <v>0</v>
      </c>
      <c r="F598" s="57">
        <v>170000</v>
      </c>
    </row>
    <row r="599" spans="1:6" ht="15" x14ac:dyDescent="0.4">
      <c r="A599" s="55" t="s">
        <v>975</v>
      </c>
      <c r="B599" s="54">
        <v>46193</v>
      </c>
      <c r="C599" s="55" t="s">
        <v>57</v>
      </c>
      <c r="D599" s="57">
        <v>170000</v>
      </c>
      <c r="E599" s="57">
        <v>0</v>
      </c>
      <c r="F599" s="57">
        <v>170000</v>
      </c>
    </row>
    <row r="600" spans="1:6" ht="15" x14ac:dyDescent="0.4">
      <c r="A600" s="55" t="s">
        <v>976</v>
      </c>
      <c r="B600" s="54">
        <v>46193</v>
      </c>
      <c r="C600" s="55" t="s">
        <v>62</v>
      </c>
      <c r="D600" s="57">
        <v>150000</v>
      </c>
      <c r="E600" s="57">
        <v>0</v>
      </c>
      <c r="F600" s="57">
        <v>150000</v>
      </c>
    </row>
    <row r="601" spans="1:6" ht="15" x14ac:dyDescent="0.4">
      <c r="A601" s="55" t="s">
        <v>977</v>
      </c>
      <c r="B601" s="54">
        <v>46193</v>
      </c>
      <c r="C601" s="55" t="s">
        <v>59</v>
      </c>
      <c r="D601" s="57">
        <v>1500000</v>
      </c>
      <c r="E601" s="57">
        <v>0</v>
      </c>
      <c r="F601" s="57">
        <v>1500000</v>
      </c>
    </row>
    <row r="602" spans="1:6" ht="15" x14ac:dyDescent="0.4">
      <c r="A602" s="55" t="s">
        <v>978</v>
      </c>
      <c r="B602" s="54">
        <v>46193</v>
      </c>
      <c r="C602" s="55" t="s">
        <v>62</v>
      </c>
      <c r="D602" s="57">
        <v>480000</v>
      </c>
      <c r="E602" s="57">
        <v>0</v>
      </c>
      <c r="F602" s="57">
        <v>480000</v>
      </c>
    </row>
    <row r="603" spans="1:6" ht="15" x14ac:dyDescent="0.4">
      <c r="A603" s="55" t="s">
        <v>979</v>
      </c>
      <c r="B603" s="54">
        <v>46194</v>
      </c>
      <c r="C603" s="55" t="s">
        <v>380</v>
      </c>
      <c r="D603" s="57">
        <v>480000</v>
      </c>
      <c r="E603" s="57">
        <v>0</v>
      </c>
      <c r="F603" s="57">
        <v>480000</v>
      </c>
    </row>
    <row r="604" spans="1:6" ht="15" x14ac:dyDescent="0.4">
      <c r="A604" s="55" t="s">
        <v>980</v>
      </c>
      <c r="B604" s="54">
        <v>46196</v>
      </c>
      <c r="C604" s="55" t="s">
        <v>59</v>
      </c>
      <c r="D604" s="57">
        <v>150000</v>
      </c>
      <c r="E604" s="57">
        <v>0</v>
      </c>
      <c r="F604" s="57">
        <v>150000</v>
      </c>
    </row>
    <row r="605" spans="1:6" ht="15" x14ac:dyDescent="0.4">
      <c r="A605" s="55" t="s">
        <v>981</v>
      </c>
      <c r="B605" s="54">
        <v>46198</v>
      </c>
      <c r="C605" s="55" t="s">
        <v>386</v>
      </c>
      <c r="D605" s="57">
        <v>170000</v>
      </c>
      <c r="E605" s="57">
        <v>0</v>
      </c>
      <c r="F605" s="57">
        <v>170000</v>
      </c>
    </row>
    <row r="606" spans="1:6" ht="15" x14ac:dyDescent="0.4">
      <c r="A606" s="55" t="s">
        <v>982</v>
      </c>
      <c r="B606" s="54">
        <v>46198</v>
      </c>
      <c r="C606" s="55" t="s">
        <v>402</v>
      </c>
      <c r="D606" s="57">
        <v>170000</v>
      </c>
      <c r="E606" s="57">
        <v>0</v>
      </c>
      <c r="F606" s="57">
        <v>170000</v>
      </c>
    </row>
    <row r="607" spans="1:6" ht="15" x14ac:dyDescent="0.4">
      <c r="A607" s="55" t="s">
        <v>983</v>
      </c>
      <c r="B607" s="54">
        <v>46199</v>
      </c>
      <c r="C607" s="55" t="s">
        <v>377</v>
      </c>
      <c r="D607" s="57">
        <v>170000</v>
      </c>
      <c r="E607" s="57">
        <v>0</v>
      </c>
      <c r="F607" s="57">
        <v>170000</v>
      </c>
    </row>
    <row r="608" spans="1:6" ht="15" x14ac:dyDescent="0.4">
      <c r="A608" s="55" t="s">
        <v>984</v>
      </c>
      <c r="B608" s="54">
        <v>46200</v>
      </c>
      <c r="C608" s="55" t="s">
        <v>377</v>
      </c>
      <c r="D608" s="57">
        <v>170000</v>
      </c>
      <c r="E608" s="57">
        <v>0</v>
      </c>
      <c r="F608" s="57">
        <v>170000</v>
      </c>
    </row>
    <row r="609" spans="1:6" ht="15" x14ac:dyDescent="0.4">
      <c r="A609" s="55" t="s">
        <v>985</v>
      </c>
      <c r="B609" s="54">
        <v>46200</v>
      </c>
      <c r="C609" s="55" t="s">
        <v>59</v>
      </c>
      <c r="D609" s="57">
        <v>750000</v>
      </c>
      <c r="E609" s="57">
        <v>0</v>
      </c>
      <c r="F609" s="57">
        <v>750000</v>
      </c>
    </row>
    <row r="610" spans="1:6" ht="15" x14ac:dyDescent="0.4">
      <c r="A610" s="55" t="s">
        <v>986</v>
      </c>
      <c r="B610" s="54">
        <v>46202</v>
      </c>
      <c r="C610" s="55" t="s">
        <v>63</v>
      </c>
      <c r="D610" s="57">
        <v>170000</v>
      </c>
      <c r="E610" s="57">
        <v>0</v>
      </c>
      <c r="F610" s="57">
        <v>170000</v>
      </c>
    </row>
    <row r="611" spans="1:6" ht="15" x14ac:dyDescent="0.4">
      <c r="A611" s="55" t="s">
        <v>987</v>
      </c>
      <c r="B611" s="54">
        <v>46202</v>
      </c>
      <c r="C611" s="55" t="s">
        <v>63</v>
      </c>
      <c r="D611" s="57">
        <v>480000</v>
      </c>
      <c r="E611" s="57">
        <v>0</v>
      </c>
      <c r="F611" s="57">
        <v>480000</v>
      </c>
    </row>
    <row r="612" spans="1:6" ht="15" x14ac:dyDescent="0.4">
      <c r="A612" s="55" t="s">
        <v>988</v>
      </c>
      <c r="B612" s="54">
        <v>46203</v>
      </c>
      <c r="C612" s="55" t="s">
        <v>380</v>
      </c>
      <c r="D612" s="57">
        <v>170000</v>
      </c>
      <c r="E612" s="57">
        <v>0</v>
      </c>
      <c r="F612" s="57">
        <v>170000</v>
      </c>
    </row>
    <row r="613" spans="1:6" ht="15" x14ac:dyDescent="0.4">
      <c r="A613" s="55" t="s">
        <v>989</v>
      </c>
      <c r="B613" s="54">
        <v>46203</v>
      </c>
      <c r="C613" s="55" t="s">
        <v>586</v>
      </c>
      <c r="D613" s="57">
        <v>170000</v>
      </c>
      <c r="E613" s="57">
        <v>0</v>
      </c>
      <c r="F613" s="57">
        <v>170000</v>
      </c>
    </row>
    <row r="614" spans="1:6" ht="15" x14ac:dyDescent="0.4">
      <c r="A614" s="55" t="s">
        <v>990</v>
      </c>
      <c r="B614" s="54">
        <v>46203</v>
      </c>
      <c r="C614" s="55" t="s">
        <v>59</v>
      </c>
      <c r="D614" s="57">
        <v>1500000</v>
      </c>
      <c r="E614" s="57">
        <v>0</v>
      </c>
      <c r="F614" s="57">
        <v>1500000</v>
      </c>
    </row>
    <row r="615" spans="1:6" ht="15" x14ac:dyDescent="0.4">
      <c r="A615" s="55" t="s">
        <v>991</v>
      </c>
      <c r="B615" s="54">
        <v>46203</v>
      </c>
      <c r="C615" s="55" t="s">
        <v>386</v>
      </c>
      <c r="D615" s="57">
        <v>480000</v>
      </c>
      <c r="E615" s="57">
        <v>0</v>
      </c>
      <c r="F615" s="57">
        <v>480000</v>
      </c>
    </row>
    <row r="616" spans="1:6" ht="15" x14ac:dyDescent="0.4">
      <c r="A616" s="55" t="s">
        <v>992</v>
      </c>
      <c r="B616" s="54">
        <v>46204</v>
      </c>
      <c r="C616" s="55" t="s">
        <v>63</v>
      </c>
      <c r="D616" s="57">
        <v>170000</v>
      </c>
      <c r="E616" s="57">
        <v>0</v>
      </c>
      <c r="F616" s="57">
        <v>170000</v>
      </c>
    </row>
    <row r="617" spans="1:6" ht="15" x14ac:dyDescent="0.4">
      <c r="A617" s="55" t="s">
        <v>993</v>
      </c>
      <c r="B617" s="54">
        <v>46204</v>
      </c>
      <c r="C617" s="55" t="s">
        <v>55</v>
      </c>
      <c r="D617" s="57">
        <v>170000</v>
      </c>
      <c r="E617" s="57">
        <v>0</v>
      </c>
      <c r="F617" s="57">
        <v>170000</v>
      </c>
    </row>
    <row r="618" spans="1:6" ht="15" x14ac:dyDescent="0.4">
      <c r="A618" s="55" t="s">
        <v>994</v>
      </c>
      <c r="B618" s="54">
        <v>46204</v>
      </c>
      <c r="C618" s="55" t="s">
        <v>402</v>
      </c>
      <c r="D618" s="57">
        <v>170000</v>
      </c>
      <c r="E618" s="57">
        <v>0</v>
      </c>
      <c r="F618" s="57">
        <v>170000</v>
      </c>
    </row>
    <row r="619" spans="1:6" ht="15" x14ac:dyDescent="0.4">
      <c r="A619" s="55" t="s">
        <v>995</v>
      </c>
      <c r="B619" s="54">
        <v>46206</v>
      </c>
      <c r="C619" s="55" t="s">
        <v>586</v>
      </c>
      <c r="D619" s="57">
        <v>480000</v>
      </c>
      <c r="E619" s="57">
        <v>0</v>
      </c>
      <c r="F619" s="57">
        <v>480000</v>
      </c>
    </row>
    <row r="620" spans="1:6" ht="15" x14ac:dyDescent="0.4">
      <c r="A620" s="55" t="s">
        <v>996</v>
      </c>
      <c r="B620" s="54">
        <v>46206</v>
      </c>
      <c r="C620" s="55" t="s">
        <v>63</v>
      </c>
      <c r="D620" s="57">
        <v>170000</v>
      </c>
      <c r="E620" s="57">
        <v>0</v>
      </c>
      <c r="F620" s="57">
        <v>170000</v>
      </c>
    </row>
    <row r="621" spans="1:6" ht="15" x14ac:dyDescent="0.4">
      <c r="A621" s="55" t="s">
        <v>997</v>
      </c>
      <c r="B621" s="54">
        <v>46207</v>
      </c>
      <c r="C621" s="55" t="s">
        <v>55</v>
      </c>
      <c r="D621" s="57">
        <v>170000</v>
      </c>
      <c r="E621" s="57">
        <v>0</v>
      </c>
      <c r="F621" s="57">
        <v>170000</v>
      </c>
    </row>
    <row r="622" spans="1:6" ht="15" x14ac:dyDescent="0.4">
      <c r="A622" s="55" t="s">
        <v>998</v>
      </c>
      <c r="B622" s="54">
        <v>46207</v>
      </c>
      <c r="C622" s="55" t="s">
        <v>380</v>
      </c>
      <c r="D622" s="57">
        <v>150000</v>
      </c>
      <c r="E622" s="57">
        <v>0</v>
      </c>
      <c r="F622" s="57">
        <v>150000</v>
      </c>
    </row>
    <row r="623" spans="1:6" ht="15" x14ac:dyDescent="0.4">
      <c r="A623" s="55" t="s">
        <v>999</v>
      </c>
      <c r="B623" s="54">
        <v>46207</v>
      </c>
      <c r="C623" s="55" t="s">
        <v>386</v>
      </c>
      <c r="D623" s="57">
        <v>170000</v>
      </c>
      <c r="E623" s="57">
        <v>0</v>
      </c>
      <c r="F623" s="57">
        <v>170000</v>
      </c>
    </row>
    <row r="624" spans="1:6" ht="15" x14ac:dyDescent="0.4">
      <c r="A624" s="55" t="s">
        <v>1000</v>
      </c>
      <c r="B624" s="54">
        <v>46207</v>
      </c>
      <c r="C624" s="55" t="s">
        <v>55</v>
      </c>
      <c r="D624" s="57">
        <v>750000</v>
      </c>
      <c r="E624" s="57">
        <v>0</v>
      </c>
      <c r="F624" s="57">
        <v>750000</v>
      </c>
    </row>
    <row r="625" spans="1:6" ht="15" x14ac:dyDescent="0.4">
      <c r="A625" s="55" t="s">
        <v>1001</v>
      </c>
      <c r="B625" s="54">
        <v>46208</v>
      </c>
      <c r="C625" s="55" t="s">
        <v>63</v>
      </c>
      <c r="D625" s="57">
        <v>1500000</v>
      </c>
      <c r="E625" s="57">
        <v>0</v>
      </c>
      <c r="F625" s="57">
        <v>1500000</v>
      </c>
    </row>
    <row r="626" spans="1:6" ht="15" x14ac:dyDescent="0.4">
      <c r="A626" s="55" t="s">
        <v>1002</v>
      </c>
      <c r="B626" s="54">
        <v>46208</v>
      </c>
      <c r="C626" s="55" t="s">
        <v>55</v>
      </c>
      <c r="D626" s="57">
        <v>150000</v>
      </c>
      <c r="E626" s="57">
        <v>0</v>
      </c>
      <c r="F626" s="57">
        <v>150000</v>
      </c>
    </row>
    <row r="627" spans="1:6" ht="15" x14ac:dyDescent="0.4">
      <c r="A627" s="55" t="s">
        <v>1003</v>
      </c>
      <c r="B627" s="54">
        <v>46209</v>
      </c>
      <c r="C627" s="55" t="s">
        <v>402</v>
      </c>
      <c r="D627" s="57">
        <v>170000</v>
      </c>
      <c r="E627" s="57">
        <v>0</v>
      </c>
      <c r="F627" s="57">
        <v>170000</v>
      </c>
    </row>
    <row r="628" spans="1:6" ht="15" x14ac:dyDescent="0.4">
      <c r="A628" s="55" t="s">
        <v>1004</v>
      </c>
      <c r="B628" s="54">
        <v>46210</v>
      </c>
      <c r="C628" s="55" t="s">
        <v>59</v>
      </c>
      <c r="D628" s="57">
        <v>750000</v>
      </c>
      <c r="E628" s="57">
        <v>0</v>
      </c>
      <c r="F628" s="57">
        <v>750000</v>
      </c>
    </row>
    <row r="629" spans="1:6" ht="15" x14ac:dyDescent="0.4">
      <c r="A629" s="55" t="s">
        <v>1005</v>
      </c>
      <c r="B629" s="54">
        <v>46210</v>
      </c>
      <c r="C629" s="55" t="s">
        <v>55</v>
      </c>
      <c r="D629" s="57">
        <v>1500000</v>
      </c>
      <c r="E629" s="57">
        <v>1500000</v>
      </c>
      <c r="F629" s="57">
        <v>0</v>
      </c>
    </row>
    <row r="630" spans="1:6" ht="15" x14ac:dyDescent="0.4">
      <c r="A630" s="55" t="s">
        <v>1006</v>
      </c>
      <c r="B630" s="54">
        <v>46211</v>
      </c>
      <c r="C630" s="55" t="s">
        <v>63</v>
      </c>
      <c r="D630" s="57">
        <v>150000</v>
      </c>
      <c r="E630" s="57">
        <v>0</v>
      </c>
      <c r="F630" s="57">
        <v>150000</v>
      </c>
    </row>
    <row r="631" spans="1:6" ht="15" x14ac:dyDescent="0.4">
      <c r="A631" s="55" t="s">
        <v>1007</v>
      </c>
      <c r="B631" s="54">
        <v>46211</v>
      </c>
      <c r="C631" s="55" t="s">
        <v>386</v>
      </c>
      <c r="D631" s="57">
        <v>150000</v>
      </c>
      <c r="E631" s="57">
        <v>0</v>
      </c>
      <c r="F631" s="57">
        <v>150000</v>
      </c>
    </row>
    <row r="632" spans="1:6" ht="15" x14ac:dyDescent="0.4">
      <c r="A632" s="55" t="s">
        <v>1008</v>
      </c>
      <c r="B632" s="54">
        <v>46211</v>
      </c>
      <c r="C632" s="55" t="s">
        <v>63</v>
      </c>
      <c r="D632" s="57">
        <v>170000</v>
      </c>
      <c r="E632" s="57">
        <v>0</v>
      </c>
      <c r="F632" s="57">
        <v>170000</v>
      </c>
    </row>
    <row r="633" spans="1:6" ht="15" x14ac:dyDescent="0.4">
      <c r="A633" s="55" t="s">
        <v>1009</v>
      </c>
      <c r="B633" s="54">
        <v>46213</v>
      </c>
      <c r="C633" s="55" t="s">
        <v>398</v>
      </c>
      <c r="D633" s="57">
        <v>170000</v>
      </c>
      <c r="E633" s="57">
        <v>0</v>
      </c>
      <c r="F633" s="57">
        <v>170000</v>
      </c>
    </row>
    <row r="634" spans="1:6" ht="15" x14ac:dyDescent="0.4">
      <c r="A634" s="55" t="s">
        <v>1010</v>
      </c>
      <c r="B634" s="54">
        <v>46213</v>
      </c>
      <c r="C634" s="55" t="s">
        <v>55</v>
      </c>
      <c r="D634" s="57">
        <v>170000</v>
      </c>
      <c r="E634" s="57">
        <v>0</v>
      </c>
      <c r="F634" s="57">
        <v>170000</v>
      </c>
    </row>
    <row r="635" spans="1:6" ht="15" x14ac:dyDescent="0.4">
      <c r="A635" s="55" t="s">
        <v>1011</v>
      </c>
      <c r="B635" s="54">
        <v>46213</v>
      </c>
      <c r="C635" s="55" t="s">
        <v>59</v>
      </c>
      <c r="D635" s="57">
        <v>170000</v>
      </c>
      <c r="E635" s="57">
        <v>0</v>
      </c>
      <c r="F635" s="57">
        <v>170000</v>
      </c>
    </row>
    <row r="636" spans="1:6" ht="15" x14ac:dyDescent="0.4">
      <c r="A636" s="55" t="s">
        <v>1012</v>
      </c>
      <c r="B636" s="54">
        <v>46215</v>
      </c>
      <c r="C636" s="55" t="s">
        <v>377</v>
      </c>
      <c r="D636" s="57">
        <v>1500000</v>
      </c>
      <c r="E636" s="57">
        <v>0</v>
      </c>
      <c r="F636" s="57">
        <v>1500000</v>
      </c>
    </row>
    <row r="637" spans="1:6" ht="15" x14ac:dyDescent="0.4">
      <c r="A637" s="55" t="s">
        <v>1013</v>
      </c>
      <c r="B637" s="54">
        <v>46215</v>
      </c>
      <c r="C637" s="55" t="s">
        <v>63</v>
      </c>
      <c r="D637" s="57">
        <v>1500000</v>
      </c>
      <c r="E637" s="57">
        <v>0</v>
      </c>
      <c r="F637" s="57">
        <v>1500000</v>
      </c>
    </row>
    <row r="638" spans="1:6" ht="15" x14ac:dyDescent="0.4">
      <c r="A638" s="55" t="s">
        <v>1014</v>
      </c>
      <c r="B638" s="54">
        <v>46216</v>
      </c>
      <c r="C638" s="55" t="s">
        <v>386</v>
      </c>
      <c r="D638" s="57">
        <v>170000</v>
      </c>
      <c r="E638" s="57">
        <v>0</v>
      </c>
      <c r="F638" s="57">
        <v>170000</v>
      </c>
    </row>
    <row r="639" spans="1:6" ht="15" x14ac:dyDescent="0.4">
      <c r="A639" s="55" t="s">
        <v>1015</v>
      </c>
      <c r="B639" s="54">
        <v>46216</v>
      </c>
      <c r="C639" s="55" t="s">
        <v>55</v>
      </c>
      <c r="D639" s="57">
        <v>170000</v>
      </c>
      <c r="E639" s="57">
        <v>0</v>
      </c>
      <c r="F639" s="57">
        <v>170000</v>
      </c>
    </row>
    <row r="640" spans="1:6" ht="15" x14ac:dyDescent="0.4">
      <c r="A640" s="55" t="s">
        <v>1016</v>
      </c>
      <c r="B640" s="54">
        <v>46216</v>
      </c>
      <c r="C640" s="55" t="s">
        <v>55</v>
      </c>
      <c r="D640" s="57">
        <v>170000</v>
      </c>
      <c r="E640" s="57">
        <v>0</v>
      </c>
      <c r="F640" s="57">
        <v>170000</v>
      </c>
    </row>
    <row r="641" spans="1:6" ht="15" x14ac:dyDescent="0.4">
      <c r="A641" s="55" t="s">
        <v>1017</v>
      </c>
      <c r="B641" s="54">
        <v>46217</v>
      </c>
      <c r="C641" s="55" t="s">
        <v>55</v>
      </c>
      <c r="D641" s="57">
        <v>150000</v>
      </c>
      <c r="E641" s="57">
        <v>0</v>
      </c>
      <c r="F641" s="57">
        <v>150000</v>
      </c>
    </row>
    <row r="642" spans="1:6" ht="15" x14ac:dyDescent="0.4">
      <c r="A642" s="55" t="s">
        <v>1018</v>
      </c>
      <c r="B642" s="54">
        <v>46217</v>
      </c>
      <c r="C642" s="55" t="s">
        <v>63</v>
      </c>
      <c r="D642" s="57">
        <v>150000</v>
      </c>
      <c r="E642" s="57">
        <v>0</v>
      </c>
      <c r="F642" s="57">
        <v>150000</v>
      </c>
    </row>
    <row r="643" spans="1:6" ht="15" x14ac:dyDescent="0.4">
      <c r="A643" s="55" t="s">
        <v>1019</v>
      </c>
      <c r="B643" s="54">
        <v>46218</v>
      </c>
      <c r="C643" s="55" t="s">
        <v>62</v>
      </c>
      <c r="D643" s="57">
        <v>170000</v>
      </c>
      <c r="E643" s="57">
        <v>0</v>
      </c>
      <c r="F643" s="57">
        <v>170000</v>
      </c>
    </row>
    <row r="644" spans="1:6" ht="15" x14ac:dyDescent="0.4">
      <c r="A644" s="55" t="s">
        <v>1020</v>
      </c>
      <c r="B644" s="54">
        <v>46218</v>
      </c>
      <c r="C644" s="55" t="s">
        <v>59</v>
      </c>
      <c r="D644" s="57">
        <v>1500000</v>
      </c>
      <c r="E644" s="57">
        <v>0</v>
      </c>
      <c r="F644" s="57">
        <v>1500000</v>
      </c>
    </row>
    <row r="645" spans="1:6" ht="15" x14ac:dyDescent="0.4">
      <c r="A645" s="55" t="s">
        <v>1021</v>
      </c>
      <c r="B645" s="54">
        <v>46220</v>
      </c>
      <c r="C645" s="55" t="s">
        <v>59</v>
      </c>
      <c r="D645" s="57">
        <v>150000</v>
      </c>
      <c r="E645" s="57">
        <v>0</v>
      </c>
      <c r="F645" s="57">
        <v>150000</v>
      </c>
    </row>
    <row r="646" spans="1:6" ht="15" x14ac:dyDescent="0.4">
      <c r="A646" s="55" t="s">
        <v>1022</v>
      </c>
      <c r="B646" s="54">
        <v>46221</v>
      </c>
      <c r="C646" s="55" t="s">
        <v>386</v>
      </c>
      <c r="D646" s="57">
        <v>170000</v>
      </c>
      <c r="E646" s="57">
        <v>0</v>
      </c>
      <c r="F646" s="57">
        <v>170000</v>
      </c>
    </row>
    <row r="647" spans="1:6" ht="15" x14ac:dyDescent="0.4">
      <c r="A647" s="55" t="s">
        <v>1023</v>
      </c>
      <c r="B647" s="54">
        <v>46222</v>
      </c>
      <c r="C647" s="55" t="s">
        <v>62</v>
      </c>
      <c r="D647" s="57">
        <v>480000</v>
      </c>
      <c r="E647" s="57">
        <v>0</v>
      </c>
      <c r="F647" s="57">
        <v>480000</v>
      </c>
    </row>
    <row r="648" spans="1:6" ht="15" x14ac:dyDescent="0.4">
      <c r="A648" s="55" t="s">
        <v>1024</v>
      </c>
      <c r="B648" s="54">
        <v>46223</v>
      </c>
      <c r="C648" s="55" t="s">
        <v>55</v>
      </c>
      <c r="D648" s="57">
        <v>170000</v>
      </c>
      <c r="E648" s="57">
        <v>0</v>
      </c>
      <c r="F648" s="57">
        <v>170000</v>
      </c>
    </row>
    <row r="649" spans="1:6" ht="15" x14ac:dyDescent="0.4">
      <c r="A649" s="55" t="s">
        <v>1025</v>
      </c>
      <c r="B649" s="54">
        <v>46223</v>
      </c>
      <c r="C649" s="55" t="s">
        <v>57</v>
      </c>
      <c r="D649" s="57">
        <v>170000</v>
      </c>
      <c r="E649" s="57">
        <v>0</v>
      </c>
      <c r="F649" s="57">
        <v>170000</v>
      </c>
    </row>
    <row r="650" spans="1:6" ht="15" x14ac:dyDescent="0.4">
      <c r="A650" s="55" t="s">
        <v>1026</v>
      </c>
      <c r="B650" s="54">
        <v>46224</v>
      </c>
      <c r="C650" s="55" t="s">
        <v>55</v>
      </c>
      <c r="D650" s="57">
        <v>150000</v>
      </c>
      <c r="E650" s="57">
        <v>0</v>
      </c>
      <c r="F650" s="57">
        <v>150000</v>
      </c>
    </row>
    <row r="651" spans="1:6" ht="15" x14ac:dyDescent="0.4">
      <c r="A651" s="55" t="s">
        <v>1027</v>
      </c>
      <c r="B651" s="54">
        <v>46224</v>
      </c>
      <c r="C651" s="55" t="s">
        <v>62</v>
      </c>
      <c r="D651" s="57">
        <v>150000</v>
      </c>
      <c r="E651" s="57">
        <v>0</v>
      </c>
      <c r="F651" s="57">
        <v>150000</v>
      </c>
    </row>
    <row r="652" spans="1:6" ht="15" x14ac:dyDescent="0.4">
      <c r="A652" s="55" t="s">
        <v>1028</v>
      </c>
      <c r="B652" s="54">
        <v>46224</v>
      </c>
      <c r="C652" s="55" t="s">
        <v>386</v>
      </c>
      <c r="D652" s="57">
        <v>170000</v>
      </c>
      <c r="E652" s="57">
        <v>0</v>
      </c>
      <c r="F652" s="57">
        <v>170000</v>
      </c>
    </row>
    <row r="653" spans="1:6" ht="15" x14ac:dyDescent="0.4">
      <c r="A653" s="55" t="s">
        <v>1029</v>
      </c>
      <c r="B653" s="54">
        <v>46224</v>
      </c>
      <c r="C653" s="55" t="s">
        <v>398</v>
      </c>
      <c r="D653" s="57">
        <v>480000</v>
      </c>
      <c r="E653" s="57">
        <v>240000</v>
      </c>
      <c r="F653" s="57">
        <v>240000</v>
      </c>
    </row>
    <row r="654" spans="1:6" ht="15" x14ac:dyDescent="0.4">
      <c r="A654" s="55" t="s">
        <v>1030</v>
      </c>
      <c r="B654" s="54">
        <v>46226</v>
      </c>
      <c r="C654" s="55" t="s">
        <v>59</v>
      </c>
      <c r="D654" s="57">
        <v>150000</v>
      </c>
      <c r="E654" s="57">
        <v>0</v>
      </c>
      <c r="F654" s="57">
        <v>150000</v>
      </c>
    </row>
    <row r="655" spans="1:6" ht="15" x14ac:dyDescent="0.4">
      <c r="A655" s="55" t="s">
        <v>1031</v>
      </c>
      <c r="B655" s="54">
        <v>46226</v>
      </c>
      <c r="C655" s="55" t="s">
        <v>55</v>
      </c>
      <c r="D655" s="57">
        <v>750000</v>
      </c>
      <c r="E655" s="57">
        <v>750000</v>
      </c>
      <c r="F655" s="57">
        <v>0</v>
      </c>
    </row>
    <row r="656" spans="1:6" ht="15" x14ac:dyDescent="0.4">
      <c r="A656" s="55" t="s">
        <v>1032</v>
      </c>
      <c r="B656" s="54">
        <v>46226</v>
      </c>
      <c r="C656" s="55" t="s">
        <v>386</v>
      </c>
      <c r="D656" s="57">
        <v>1500000</v>
      </c>
      <c r="E656" s="57">
        <v>0</v>
      </c>
      <c r="F656" s="57">
        <v>1500000</v>
      </c>
    </row>
    <row r="657" spans="1:6" ht="15" x14ac:dyDescent="0.4">
      <c r="A657" s="55" t="s">
        <v>1033</v>
      </c>
      <c r="B657" s="54">
        <v>46227</v>
      </c>
      <c r="C657" s="55" t="s">
        <v>398</v>
      </c>
      <c r="D657" s="57">
        <v>480000</v>
      </c>
      <c r="E657" s="57">
        <v>0</v>
      </c>
      <c r="F657" s="57">
        <v>480000</v>
      </c>
    </row>
    <row r="658" spans="1:6" ht="15" x14ac:dyDescent="0.4">
      <c r="A658" s="55" t="s">
        <v>1034</v>
      </c>
      <c r="B658" s="54">
        <v>46227</v>
      </c>
      <c r="C658" s="55" t="s">
        <v>380</v>
      </c>
      <c r="D658" s="57">
        <v>170000</v>
      </c>
      <c r="E658" s="57">
        <v>0</v>
      </c>
      <c r="F658" s="57">
        <v>170000</v>
      </c>
    </row>
    <row r="659" spans="1:6" ht="15" x14ac:dyDescent="0.4">
      <c r="A659" s="55" t="s">
        <v>1035</v>
      </c>
      <c r="B659" s="54">
        <v>46228</v>
      </c>
      <c r="C659" s="55" t="s">
        <v>402</v>
      </c>
      <c r="D659" s="57">
        <v>170000</v>
      </c>
      <c r="E659" s="57">
        <v>0</v>
      </c>
      <c r="F659" s="57">
        <v>170000</v>
      </c>
    </row>
    <row r="660" spans="1:6" ht="15" x14ac:dyDescent="0.4">
      <c r="A660" s="55" t="s">
        <v>1036</v>
      </c>
      <c r="B660" s="54">
        <v>46228</v>
      </c>
      <c r="C660" s="55" t="s">
        <v>62</v>
      </c>
      <c r="D660" s="57">
        <v>170000</v>
      </c>
      <c r="E660" s="57">
        <v>0</v>
      </c>
      <c r="F660" s="57">
        <v>170000</v>
      </c>
    </row>
    <row r="661" spans="1:6" ht="15" x14ac:dyDescent="0.4">
      <c r="A661" s="55" t="s">
        <v>1037</v>
      </c>
      <c r="B661" s="54">
        <v>46228</v>
      </c>
      <c r="C661" s="55" t="s">
        <v>63</v>
      </c>
      <c r="D661" s="57">
        <v>750000</v>
      </c>
      <c r="E661" s="57">
        <v>0</v>
      </c>
      <c r="F661" s="57">
        <v>750000</v>
      </c>
    </row>
    <row r="662" spans="1:6" ht="15" x14ac:dyDescent="0.4">
      <c r="A662" s="55" t="s">
        <v>1038</v>
      </c>
      <c r="B662" s="54">
        <v>46228</v>
      </c>
      <c r="C662" s="55" t="s">
        <v>386</v>
      </c>
      <c r="D662" s="57">
        <v>150000</v>
      </c>
      <c r="E662" s="57">
        <v>0</v>
      </c>
      <c r="F662" s="57">
        <v>150000</v>
      </c>
    </row>
    <row r="663" spans="1:6" ht="15" x14ac:dyDescent="0.4">
      <c r="A663" s="55" t="s">
        <v>1039</v>
      </c>
      <c r="B663" s="54">
        <v>46229</v>
      </c>
      <c r="C663" s="55" t="s">
        <v>377</v>
      </c>
      <c r="D663" s="57">
        <v>170000</v>
      </c>
      <c r="E663" s="57">
        <v>0</v>
      </c>
      <c r="F663" s="57">
        <v>170000</v>
      </c>
    </row>
    <row r="664" spans="1:6" ht="15" x14ac:dyDescent="0.4">
      <c r="A664" s="55" t="s">
        <v>1040</v>
      </c>
      <c r="B664" s="54">
        <v>46229</v>
      </c>
      <c r="C664" s="55" t="s">
        <v>63</v>
      </c>
      <c r="D664" s="57">
        <v>150000</v>
      </c>
      <c r="E664" s="57">
        <v>150000</v>
      </c>
      <c r="F664" s="57">
        <v>0</v>
      </c>
    </row>
    <row r="665" spans="1:6" ht="15" x14ac:dyDescent="0.4">
      <c r="A665" s="55" t="s">
        <v>1041</v>
      </c>
      <c r="B665" s="54">
        <v>46229</v>
      </c>
      <c r="C665" s="55" t="s">
        <v>59</v>
      </c>
      <c r="D665" s="57">
        <v>1500000</v>
      </c>
      <c r="E665" s="57">
        <v>0</v>
      </c>
      <c r="F665" s="57">
        <v>1500000</v>
      </c>
    </row>
    <row r="666" spans="1:6" ht="15" x14ac:dyDescent="0.4">
      <c r="A666" s="55" t="s">
        <v>1042</v>
      </c>
      <c r="B666" s="54">
        <v>46229</v>
      </c>
      <c r="C666" s="55" t="s">
        <v>55</v>
      </c>
      <c r="D666" s="57">
        <v>480000</v>
      </c>
      <c r="E666" s="57">
        <v>0</v>
      </c>
      <c r="F666" s="57">
        <v>480000</v>
      </c>
    </row>
    <row r="667" spans="1:6" ht="15" x14ac:dyDescent="0.4">
      <c r="A667" s="55" t="s">
        <v>1043</v>
      </c>
      <c r="B667" s="54">
        <v>46230</v>
      </c>
      <c r="C667" s="55" t="s">
        <v>380</v>
      </c>
      <c r="D667" s="57">
        <v>150000</v>
      </c>
      <c r="E667" s="57">
        <v>0</v>
      </c>
      <c r="F667" s="57">
        <v>150000</v>
      </c>
    </row>
    <row r="668" spans="1:6" ht="15" x14ac:dyDescent="0.4">
      <c r="A668" s="55" t="s">
        <v>1044</v>
      </c>
      <c r="B668" s="54">
        <v>46230</v>
      </c>
      <c r="C668" s="55" t="s">
        <v>377</v>
      </c>
      <c r="D668" s="57">
        <v>170000</v>
      </c>
      <c r="E668" s="57">
        <v>0</v>
      </c>
      <c r="F668" s="57">
        <v>170000</v>
      </c>
    </row>
    <row r="669" spans="1:6" ht="15" x14ac:dyDescent="0.4">
      <c r="A669" s="55" t="s">
        <v>1045</v>
      </c>
      <c r="B669" s="54">
        <v>46230</v>
      </c>
      <c r="C669" s="55" t="s">
        <v>59</v>
      </c>
      <c r="D669" s="57">
        <v>750000</v>
      </c>
      <c r="E669" s="57">
        <v>0</v>
      </c>
      <c r="F669" s="57">
        <v>750000</v>
      </c>
    </row>
    <row r="670" spans="1:6" ht="15" x14ac:dyDescent="0.4">
      <c r="A670" s="55" t="s">
        <v>1046</v>
      </c>
      <c r="B670" s="54">
        <v>46230</v>
      </c>
      <c r="C670" s="55" t="s">
        <v>59</v>
      </c>
      <c r="D670" s="57">
        <v>480000</v>
      </c>
      <c r="E670" s="57">
        <v>0</v>
      </c>
      <c r="F670" s="57">
        <v>480000</v>
      </c>
    </row>
    <row r="671" spans="1:6" ht="15" x14ac:dyDescent="0.4">
      <c r="A671" s="55" t="s">
        <v>1047</v>
      </c>
      <c r="B671" s="54">
        <v>46230</v>
      </c>
      <c r="C671" s="55" t="s">
        <v>402</v>
      </c>
      <c r="D671" s="57">
        <v>750000</v>
      </c>
      <c r="E671" s="57">
        <v>0</v>
      </c>
      <c r="F671" s="57">
        <v>750000</v>
      </c>
    </row>
    <row r="672" spans="1:6" ht="15" x14ac:dyDescent="0.4">
      <c r="A672" s="55" t="s">
        <v>1048</v>
      </c>
      <c r="B672" s="54">
        <v>46231</v>
      </c>
      <c r="C672" s="55" t="s">
        <v>55</v>
      </c>
      <c r="D672" s="57">
        <v>480000</v>
      </c>
      <c r="E672" s="57">
        <v>240000</v>
      </c>
      <c r="F672" s="57">
        <v>240000</v>
      </c>
    </row>
    <row r="673" spans="1:6" ht="15" x14ac:dyDescent="0.4">
      <c r="A673" s="55" t="s">
        <v>1049</v>
      </c>
      <c r="B673" s="54">
        <v>46232</v>
      </c>
      <c r="C673" s="55" t="s">
        <v>62</v>
      </c>
      <c r="D673" s="57">
        <v>150000</v>
      </c>
      <c r="E673" s="57">
        <v>0</v>
      </c>
      <c r="F673" s="57">
        <v>150000</v>
      </c>
    </row>
    <row r="674" spans="1:6" ht="15" x14ac:dyDescent="0.4">
      <c r="A674" s="55" t="s">
        <v>1050</v>
      </c>
      <c r="B674" s="54">
        <v>46232</v>
      </c>
      <c r="C674" s="55" t="s">
        <v>63</v>
      </c>
      <c r="D674" s="57">
        <v>170000</v>
      </c>
      <c r="E674" s="57">
        <v>0</v>
      </c>
      <c r="F674" s="57">
        <v>170000</v>
      </c>
    </row>
    <row r="675" spans="1:6" ht="15" x14ac:dyDescent="0.4">
      <c r="A675" s="55" t="s">
        <v>1051</v>
      </c>
      <c r="B675" s="54">
        <v>46232</v>
      </c>
      <c r="C675" s="55" t="s">
        <v>55</v>
      </c>
      <c r="D675" s="57">
        <v>150000</v>
      </c>
      <c r="E675" s="57">
        <v>0</v>
      </c>
      <c r="F675" s="57">
        <v>150000</v>
      </c>
    </row>
    <row r="676" spans="1:6" ht="15" x14ac:dyDescent="0.4">
      <c r="A676" s="55" t="s">
        <v>1052</v>
      </c>
      <c r="B676" s="54">
        <v>46233</v>
      </c>
      <c r="C676" s="55" t="s">
        <v>386</v>
      </c>
      <c r="D676" s="57">
        <v>170000</v>
      </c>
      <c r="E676" s="57">
        <v>0</v>
      </c>
      <c r="F676" s="57">
        <v>170000</v>
      </c>
    </row>
    <row r="677" spans="1:6" ht="15" x14ac:dyDescent="0.4">
      <c r="A677" s="55" t="s">
        <v>1053</v>
      </c>
      <c r="B677" s="54">
        <v>46234</v>
      </c>
      <c r="C677" s="55" t="s">
        <v>55</v>
      </c>
      <c r="D677" s="57">
        <v>170000</v>
      </c>
      <c r="E677" s="57">
        <v>0</v>
      </c>
      <c r="F677" s="57">
        <v>170000</v>
      </c>
    </row>
    <row r="678" spans="1:6" ht="15" x14ac:dyDescent="0.4">
      <c r="A678" s="55" t="s">
        <v>1054</v>
      </c>
      <c r="B678" s="54">
        <v>46234</v>
      </c>
      <c r="C678" s="55" t="s">
        <v>402</v>
      </c>
      <c r="D678" s="57">
        <v>170000</v>
      </c>
      <c r="E678" s="57">
        <v>0</v>
      </c>
      <c r="F678" s="57">
        <v>170000</v>
      </c>
    </row>
    <row r="679" spans="1:6" ht="15" x14ac:dyDescent="0.4">
      <c r="A679" s="55" t="s">
        <v>1055</v>
      </c>
      <c r="B679" s="54">
        <v>46235</v>
      </c>
      <c r="C679" s="55" t="s">
        <v>59</v>
      </c>
      <c r="D679" s="57">
        <v>750000</v>
      </c>
      <c r="E679" s="57">
        <v>0</v>
      </c>
      <c r="F679" s="57">
        <v>750000</v>
      </c>
    </row>
    <row r="680" spans="1:6" ht="15" x14ac:dyDescent="0.4">
      <c r="A680" s="55" t="s">
        <v>1056</v>
      </c>
      <c r="B680" s="54">
        <v>46236</v>
      </c>
      <c r="C680" s="55" t="s">
        <v>377</v>
      </c>
      <c r="D680" s="57">
        <v>150000</v>
      </c>
      <c r="E680" s="57">
        <v>0</v>
      </c>
      <c r="F680" s="57">
        <v>150000</v>
      </c>
    </row>
    <row r="681" spans="1:6" ht="15" x14ac:dyDescent="0.4">
      <c r="A681" s="55" t="s">
        <v>1057</v>
      </c>
      <c r="B681" s="54">
        <v>46236</v>
      </c>
      <c r="C681" s="55" t="s">
        <v>63</v>
      </c>
      <c r="D681" s="57">
        <v>170000</v>
      </c>
      <c r="E681" s="57">
        <v>0</v>
      </c>
      <c r="F681" s="57">
        <v>170000</v>
      </c>
    </row>
    <row r="682" spans="1:6" ht="15" x14ac:dyDescent="0.4">
      <c r="A682" s="55" t="s">
        <v>1058</v>
      </c>
      <c r="B682" s="54">
        <v>46236</v>
      </c>
      <c r="C682" s="55" t="s">
        <v>386</v>
      </c>
      <c r="D682" s="57">
        <v>480000</v>
      </c>
      <c r="E682" s="57">
        <v>0</v>
      </c>
      <c r="F682" s="57">
        <v>480000</v>
      </c>
    </row>
    <row r="683" spans="1:6" ht="15" x14ac:dyDescent="0.4">
      <c r="A683" s="55" t="s">
        <v>1059</v>
      </c>
      <c r="B683" s="54">
        <v>46236</v>
      </c>
      <c r="C683" s="55" t="s">
        <v>386</v>
      </c>
      <c r="D683" s="57">
        <v>480000</v>
      </c>
      <c r="E683" s="57">
        <v>0</v>
      </c>
      <c r="F683" s="57">
        <v>480000</v>
      </c>
    </row>
    <row r="684" spans="1:6" ht="15" x14ac:dyDescent="0.4">
      <c r="A684" s="55" t="s">
        <v>1060</v>
      </c>
      <c r="B684" s="54">
        <v>46236</v>
      </c>
      <c r="C684" s="55" t="s">
        <v>55</v>
      </c>
      <c r="D684" s="57">
        <v>170000</v>
      </c>
      <c r="E684" s="57">
        <v>0</v>
      </c>
      <c r="F684" s="57">
        <v>170000</v>
      </c>
    </row>
    <row r="685" spans="1:6" ht="15" x14ac:dyDescent="0.4">
      <c r="A685" s="55" t="s">
        <v>1061</v>
      </c>
      <c r="B685" s="54">
        <v>46237</v>
      </c>
      <c r="C685" s="55" t="s">
        <v>55</v>
      </c>
      <c r="D685" s="57">
        <v>750000</v>
      </c>
      <c r="E685" s="57">
        <v>0</v>
      </c>
      <c r="F685" s="57">
        <v>750000</v>
      </c>
    </row>
    <row r="686" spans="1:6" ht="15" x14ac:dyDescent="0.4">
      <c r="A686" s="55" t="s">
        <v>1062</v>
      </c>
      <c r="B686" s="54">
        <v>46237</v>
      </c>
      <c r="C686" s="55" t="s">
        <v>55</v>
      </c>
      <c r="D686" s="57">
        <v>150000</v>
      </c>
      <c r="E686" s="57">
        <v>0</v>
      </c>
      <c r="F686" s="57">
        <v>150000</v>
      </c>
    </row>
    <row r="687" spans="1:6" ht="15" x14ac:dyDescent="0.4">
      <c r="A687" s="55" t="s">
        <v>1063</v>
      </c>
      <c r="B687" s="54">
        <v>46237</v>
      </c>
      <c r="C687" s="55" t="s">
        <v>386</v>
      </c>
      <c r="D687" s="57">
        <v>1500000</v>
      </c>
      <c r="E687" s="57">
        <v>0</v>
      </c>
      <c r="F687" s="57">
        <v>1500000</v>
      </c>
    </row>
    <row r="688" spans="1:6" ht="15" x14ac:dyDescent="0.4">
      <c r="A688" s="55" t="s">
        <v>1064</v>
      </c>
      <c r="B688" s="54">
        <v>46237</v>
      </c>
      <c r="C688" s="55" t="s">
        <v>62</v>
      </c>
      <c r="D688" s="57">
        <v>170000</v>
      </c>
      <c r="E688" s="57">
        <v>0</v>
      </c>
      <c r="F688" s="57">
        <v>170000</v>
      </c>
    </row>
    <row r="689" spans="1:6" ht="15" x14ac:dyDescent="0.4">
      <c r="A689" s="55" t="s">
        <v>1065</v>
      </c>
      <c r="B689" s="54">
        <v>46240</v>
      </c>
      <c r="C689" s="55" t="s">
        <v>386</v>
      </c>
      <c r="D689" s="57">
        <v>150000</v>
      </c>
      <c r="E689" s="57">
        <v>0</v>
      </c>
      <c r="F689" s="57">
        <v>150000</v>
      </c>
    </row>
    <row r="690" spans="1:6" ht="15" x14ac:dyDescent="0.4">
      <c r="A690" s="55" t="s">
        <v>1066</v>
      </c>
      <c r="B690" s="54">
        <v>46240</v>
      </c>
      <c r="C690" s="55" t="s">
        <v>386</v>
      </c>
      <c r="D690" s="57">
        <v>150000</v>
      </c>
      <c r="E690" s="57">
        <v>0</v>
      </c>
      <c r="F690" s="57">
        <v>150000</v>
      </c>
    </row>
    <row r="691" spans="1:6" ht="15" x14ac:dyDescent="0.4">
      <c r="A691" s="55" t="s">
        <v>1067</v>
      </c>
      <c r="B691" s="54">
        <v>46240</v>
      </c>
      <c r="C691" s="55" t="s">
        <v>57</v>
      </c>
      <c r="D691" s="57">
        <v>170000</v>
      </c>
      <c r="E691" s="57">
        <v>0</v>
      </c>
      <c r="F691" s="57">
        <v>170000</v>
      </c>
    </row>
    <row r="692" spans="1:6" ht="15" x14ac:dyDescent="0.4">
      <c r="A692" s="55" t="s">
        <v>1068</v>
      </c>
      <c r="B692" s="54">
        <v>46241</v>
      </c>
      <c r="C692" s="55" t="s">
        <v>386</v>
      </c>
      <c r="D692" s="57">
        <v>170000</v>
      </c>
      <c r="E692" s="57">
        <v>0</v>
      </c>
      <c r="F692" s="57">
        <v>170000</v>
      </c>
    </row>
    <row r="693" spans="1:6" ht="15" x14ac:dyDescent="0.4">
      <c r="A693" s="55" t="s">
        <v>1069</v>
      </c>
      <c r="B693" s="54">
        <v>46241</v>
      </c>
      <c r="C693" s="55" t="s">
        <v>63</v>
      </c>
      <c r="D693" s="57">
        <v>170000</v>
      </c>
      <c r="E693" s="57">
        <v>0</v>
      </c>
      <c r="F693" s="57">
        <v>170000</v>
      </c>
    </row>
    <row r="694" spans="1:6" ht="15" x14ac:dyDescent="0.4">
      <c r="A694" s="55" t="s">
        <v>1070</v>
      </c>
      <c r="B694" s="54">
        <v>46241</v>
      </c>
      <c r="C694" s="55" t="s">
        <v>63</v>
      </c>
      <c r="D694" s="57">
        <v>1500000</v>
      </c>
      <c r="E694" s="57">
        <v>0</v>
      </c>
      <c r="F694" s="57">
        <v>1500000</v>
      </c>
    </row>
    <row r="695" spans="1:6" ht="15" x14ac:dyDescent="0.4">
      <c r="A695" s="55" t="s">
        <v>1071</v>
      </c>
      <c r="B695" s="54">
        <v>46242</v>
      </c>
      <c r="C695" s="55" t="s">
        <v>55</v>
      </c>
      <c r="D695" s="57">
        <v>150000</v>
      </c>
      <c r="E695" s="57">
        <v>0</v>
      </c>
      <c r="F695" s="57">
        <v>150000</v>
      </c>
    </row>
    <row r="696" spans="1:6" ht="15" x14ac:dyDescent="0.4">
      <c r="A696" s="55" t="s">
        <v>1072</v>
      </c>
      <c r="B696" s="54">
        <v>46243</v>
      </c>
      <c r="C696" s="55" t="s">
        <v>398</v>
      </c>
      <c r="D696" s="57">
        <v>170000</v>
      </c>
      <c r="E696" s="57">
        <v>0</v>
      </c>
      <c r="F696" s="57">
        <v>170000</v>
      </c>
    </row>
    <row r="697" spans="1:6" ht="15" x14ac:dyDescent="0.4">
      <c r="A697" s="55" t="s">
        <v>1073</v>
      </c>
      <c r="B697" s="54">
        <v>46243</v>
      </c>
      <c r="C697" s="55" t="s">
        <v>59</v>
      </c>
      <c r="D697" s="57">
        <v>170000</v>
      </c>
      <c r="E697" s="57">
        <v>0</v>
      </c>
      <c r="F697" s="57">
        <v>170000</v>
      </c>
    </row>
    <row r="698" spans="1:6" ht="15" x14ac:dyDescent="0.4">
      <c r="A698" s="55" t="s">
        <v>1074</v>
      </c>
      <c r="B698" s="54">
        <v>46243</v>
      </c>
      <c r="C698" s="55" t="s">
        <v>62</v>
      </c>
      <c r="D698" s="57">
        <v>480000</v>
      </c>
      <c r="E698" s="57">
        <v>480000</v>
      </c>
      <c r="F698" s="57">
        <v>0</v>
      </c>
    </row>
    <row r="699" spans="1:6" ht="15" x14ac:dyDescent="0.4">
      <c r="A699" s="55" t="s">
        <v>1075</v>
      </c>
      <c r="B699" s="54">
        <v>46244</v>
      </c>
      <c r="C699" s="55" t="s">
        <v>55</v>
      </c>
      <c r="D699" s="57">
        <v>170000</v>
      </c>
      <c r="E699" s="57">
        <v>0</v>
      </c>
      <c r="F699" s="57">
        <v>170000</v>
      </c>
    </row>
    <row r="700" spans="1:6" ht="15" x14ac:dyDescent="0.4">
      <c r="A700" s="55" t="s">
        <v>1076</v>
      </c>
      <c r="B700" s="54">
        <v>46245</v>
      </c>
      <c r="C700" s="55" t="s">
        <v>59</v>
      </c>
      <c r="D700" s="57">
        <v>1500000</v>
      </c>
      <c r="E700" s="57">
        <v>0</v>
      </c>
      <c r="F700" s="57">
        <v>1500000</v>
      </c>
    </row>
    <row r="701" spans="1:6" ht="15" x14ac:dyDescent="0.4">
      <c r="A701" s="55" t="s">
        <v>1077</v>
      </c>
      <c r="B701" s="54">
        <v>46245</v>
      </c>
      <c r="C701" s="55" t="s">
        <v>59</v>
      </c>
      <c r="D701" s="57">
        <v>1500000</v>
      </c>
      <c r="E701" s="57">
        <v>0</v>
      </c>
      <c r="F701" s="57">
        <v>1500000</v>
      </c>
    </row>
    <row r="702" spans="1:6" ht="15" x14ac:dyDescent="0.4">
      <c r="A702" s="55" t="s">
        <v>1078</v>
      </c>
      <c r="B702" s="54">
        <v>46246</v>
      </c>
      <c r="C702" s="55" t="s">
        <v>377</v>
      </c>
      <c r="D702" s="57">
        <v>1500000</v>
      </c>
      <c r="E702" s="57">
        <v>0</v>
      </c>
      <c r="F702" s="57">
        <v>1500000</v>
      </c>
    </row>
    <row r="703" spans="1:6" ht="15" x14ac:dyDescent="0.4">
      <c r="A703" s="55" t="s">
        <v>1079</v>
      </c>
      <c r="B703" s="54">
        <v>46246</v>
      </c>
      <c r="C703" s="55" t="s">
        <v>55</v>
      </c>
      <c r="D703" s="57">
        <v>480000</v>
      </c>
      <c r="E703" s="57">
        <v>0</v>
      </c>
      <c r="F703" s="57">
        <v>480000</v>
      </c>
    </row>
    <row r="704" spans="1:6" ht="15" x14ac:dyDescent="0.4">
      <c r="A704" s="55" t="s">
        <v>1080</v>
      </c>
      <c r="B704" s="54">
        <v>46246</v>
      </c>
      <c r="C704" s="55" t="s">
        <v>398</v>
      </c>
      <c r="D704" s="57">
        <v>170000</v>
      </c>
      <c r="E704" s="57">
        <v>0</v>
      </c>
      <c r="F704" s="57">
        <v>170000</v>
      </c>
    </row>
    <row r="705" spans="1:6" ht="15" x14ac:dyDescent="0.4">
      <c r="A705" s="55" t="s">
        <v>1081</v>
      </c>
      <c r="B705" s="54">
        <v>46247</v>
      </c>
      <c r="C705" s="55" t="s">
        <v>55</v>
      </c>
      <c r="D705" s="57">
        <v>170000</v>
      </c>
      <c r="E705" s="57">
        <v>0</v>
      </c>
      <c r="F705" s="57">
        <v>170000</v>
      </c>
    </row>
    <row r="706" spans="1:6" ht="15" x14ac:dyDescent="0.4">
      <c r="A706" s="55" t="s">
        <v>1082</v>
      </c>
      <c r="B706" s="54">
        <v>46247</v>
      </c>
      <c r="C706" s="55" t="s">
        <v>386</v>
      </c>
      <c r="D706" s="57">
        <v>150000</v>
      </c>
      <c r="E706" s="57">
        <v>0</v>
      </c>
      <c r="F706" s="57">
        <v>150000</v>
      </c>
    </row>
    <row r="707" spans="1:6" ht="15" x14ac:dyDescent="0.4">
      <c r="A707" s="55" t="s">
        <v>1083</v>
      </c>
      <c r="B707" s="54">
        <v>46247</v>
      </c>
      <c r="C707" s="55" t="s">
        <v>380</v>
      </c>
      <c r="D707" s="57">
        <v>480000</v>
      </c>
      <c r="E707" s="57">
        <v>0</v>
      </c>
      <c r="F707" s="57">
        <v>480000</v>
      </c>
    </row>
    <row r="708" spans="1:6" ht="15" x14ac:dyDescent="0.4">
      <c r="A708" s="55" t="s">
        <v>1084</v>
      </c>
      <c r="B708" s="54">
        <v>46247</v>
      </c>
      <c r="C708" s="55" t="s">
        <v>380</v>
      </c>
      <c r="D708" s="57">
        <v>170000</v>
      </c>
      <c r="E708" s="57">
        <v>0</v>
      </c>
      <c r="F708" s="57">
        <v>170000</v>
      </c>
    </row>
    <row r="709" spans="1:6" ht="15" x14ac:dyDescent="0.4">
      <c r="A709" s="55" t="s">
        <v>1085</v>
      </c>
      <c r="B709" s="54">
        <v>46247</v>
      </c>
      <c r="C709" s="55" t="s">
        <v>398</v>
      </c>
      <c r="D709" s="57">
        <v>170000</v>
      </c>
      <c r="E709" s="57">
        <v>0</v>
      </c>
      <c r="F709" s="57">
        <v>170000</v>
      </c>
    </row>
    <row r="710" spans="1:6" ht="15" x14ac:dyDescent="0.4">
      <c r="A710" s="55" t="s">
        <v>1086</v>
      </c>
      <c r="B710" s="54">
        <v>46248</v>
      </c>
      <c r="C710" s="55" t="s">
        <v>62</v>
      </c>
      <c r="D710" s="57">
        <v>170000</v>
      </c>
      <c r="E710" s="57">
        <v>0</v>
      </c>
      <c r="F710" s="57">
        <v>170000</v>
      </c>
    </row>
    <row r="711" spans="1:6" ht="15" x14ac:dyDescent="0.4">
      <c r="A711" s="55" t="s">
        <v>1087</v>
      </c>
      <c r="B711" s="54">
        <v>46248</v>
      </c>
      <c r="C711" s="55" t="s">
        <v>55</v>
      </c>
      <c r="D711" s="57">
        <v>150000</v>
      </c>
      <c r="E711" s="57">
        <v>0</v>
      </c>
      <c r="F711" s="57">
        <v>150000</v>
      </c>
    </row>
    <row r="712" spans="1:6" ht="15" x14ac:dyDescent="0.4">
      <c r="A712" s="55" t="s">
        <v>1088</v>
      </c>
      <c r="B712" s="54">
        <v>46249</v>
      </c>
      <c r="C712" s="55" t="s">
        <v>59</v>
      </c>
      <c r="D712" s="57">
        <v>150000</v>
      </c>
      <c r="E712" s="57">
        <v>0</v>
      </c>
      <c r="F712" s="57">
        <v>150000</v>
      </c>
    </row>
    <row r="713" spans="1:6" ht="15" x14ac:dyDescent="0.4">
      <c r="A713" s="55" t="s">
        <v>1089</v>
      </c>
      <c r="B713" s="54">
        <v>46249</v>
      </c>
      <c r="C713" s="55" t="s">
        <v>55</v>
      </c>
      <c r="D713" s="57">
        <v>480000</v>
      </c>
      <c r="E713" s="57">
        <v>0</v>
      </c>
      <c r="F713" s="57">
        <v>480000</v>
      </c>
    </row>
    <row r="714" spans="1:6" ht="15" x14ac:dyDescent="0.4">
      <c r="A714" s="55" t="s">
        <v>1090</v>
      </c>
      <c r="B714" s="54">
        <v>46250</v>
      </c>
      <c r="C714" s="55" t="s">
        <v>55</v>
      </c>
      <c r="D714" s="57">
        <v>170000</v>
      </c>
      <c r="E714" s="57">
        <v>0</v>
      </c>
      <c r="F714" s="57">
        <v>170000</v>
      </c>
    </row>
    <row r="715" spans="1:6" ht="15" x14ac:dyDescent="0.4">
      <c r="A715" s="55" t="s">
        <v>1091</v>
      </c>
      <c r="B715" s="54">
        <v>46251</v>
      </c>
      <c r="C715" s="55" t="s">
        <v>386</v>
      </c>
      <c r="D715" s="57">
        <v>170000</v>
      </c>
      <c r="E715" s="57">
        <v>0</v>
      </c>
      <c r="F715" s="57">
        <v>170000</v>
      </c>
    </row>
    <row r="716" spans="1:6" ht="15" x14ac:dyDescent="0.4">
      <c r="A716" s="55" t="s">
        <v>1092</v>
      </c>
      <c r="B716" s="54">
        <v>46252</v>
      </c>
      <c r="C716" s="55" t="s">
        <v>55</v>
      </c>
      <c r="D716" s="57">
        <v>150000</v>
      </c>
      <c r="E716" s="57">
        <v>0</v>
      </c>
      <c r="F716" s="57">
        <v>150000</v>
      </c>
    </row>
    <row r="717" spans="1:6" ht="15" x14ac:dyDescent="0.4">
      <c r="A717" s="55" t="s">
        <v>1093</v>
      </c>
      <c r="B717" s="54">
        <v>46253</v>
      </c>
      <c r="C717" s="55" t="s">
        <v>402</v>
      </c>
      <c r="D717" s="57">
        <v>150000</v>
      </c>
      <c r="E717" s="57">
        <v>0</v>
      </c>
      <c r="F717" s="57">
        <v>150000</v>
      </c>
    </row>
    <row r="718" spans="1:6" ht="15" x14ac:dyDescent="0.4">
      <c r="A718" s="55" t="s">
        <v>1094</v>
      </c>
      <c r="B718" s="54">
        <v>46253</v>
      </c>
      <c r="C718" s="55" t="s">
        <v>377</v>
      </c>
      <c r="D718" s="57">
        <v>150000</v>
      </c>
      <c r="E718" s="57">
        <v>0</v>
      </c>
      <c r="F718" s="57">
        <v>150000</v>
      </c>
    </row>
    <row r="719" spans="1:6" ht="15" x14ac:dyDescent="0.4">
      <c r="A719" s="55" t="s">
        <v>1095</v>
      </c>
      <c r="B719" s="54">
        <v>46253</v>
      </c>
      <c r="C719" s="55" t="s">
        <v>62</v>
      </c>
      <c r="D719" s="57">
        <v>170000</v>
      </c>
      <c r="E719" s="57">
        <v>0</v>
      </c>
      <c r="F719" s="57">
        <v>170000</v>
      </c>
    </row>
    <row r="720" spans="1:6" ht="15" x14ac:dyDescent="0.4">
      <c r="A720" s="55" t="s">
        <v>1096</v>
      </c>
      <c r="B720" s="54">
        <v>46253</v>
      </c>
      <c r="C720" s="55" t="s">
        <v>386</v>
      </c>
      <c r="D720" s="57">
        <v>480000</v>
      </c>
      <c r="E720" s="57">
        <v>0</v>
      </c>
      <c r="F720" s="57">
        <v>480000</v>
      </c>
    </row>
    <row r="721" spans="1:6" ht="15" x14ac:dyDescent="0.4">
      <c r="A721" s="55" t="s">
        <v>1097</v>
      </c>
      <c r="B721" s="54">
        <v>46254</v>
      </c>
      <c r="C721" s="55" t="s">
        <v>386</v>
      </c>
      <c r="D721" s="57">
        <v>170000</v>
      </c>
      <c r="E721" s="57">
        <v>0</v>
      </c>
      <c r="F721" s="57">
        <v>170000</v>
      </c>
    </row>
    <row r="722" spans="1:6" ht="15" x14ac:dyDescent="0.4">
      <c r="A722" s="55" t="s">
        <v>1098</v>
      </c>
      <c r="B722" s="54">
        <v>46254</v>
      </c>
      <c r="C722" s="55" t="s">
        <v>57</v>
      </c>
      <c r="D722" s="57">
        <v>480000</v>
      </c>
      <c r="E722" s="57">
        <v>0</v>
      </c>
      <c r="F722" s="57">
        <v>480000</v>
      </c>
    </row>
    <row r="723" spans="1:6" ht="15" x14ac:dyDescent="0.4">
      <c r="A723" s="55" t="s">
        <v>1099</v>
      </c>
      <c r="B723" s="54">
        <v>46255</v>
      </c>
      <c r="C723" s="55" t="s">
        <v>59</v>
      </c>
      <c r="D723" s="57">
        <v>750000</v>
      </c>
      <c r="E723" s="57">
        <v>0</v>
      </c>
      <c r="F723" s="57">
        <v>750000</v>
      </c>
    </row>
    <row r="724" spans="1:6" ht="15" x14ac:dyDescent="0.4">
      <c r="A724" s="55" t="s">
        <v>1100</v>
      </c>
      <c r="B724" s="54">
        <v>46256</v>
      </c>
      <c r="C724" s="55" t="s">
        <v>55</v>
      </c>
      <c r="D724" s="57">
        <v>750000</v>
      </c>
      <c r="E724" s="57">
        <v>0</v>
      </c>
      <c r="F724" s="57">
        <v>750000</v>
      </c>
    </row>
    <row r="725" spans="1:6" ht="15" x14ac:dyDescent="0.4">
      <c r="A725" s="55" t="s">
        <v>1101</v>
      </c>
      <c r="B725" s="54">
        <v>46256</v>
      </c>
      <c r="C725" s="55" t="s">
        <v>63</v>
      </c>
      <c r="D725" s="57">
        <v>1500000</v>
      </c>
      <c r="E725" s="57">
        <v>0</v>
      </c>
      <c r="F725" s="57">
        <v>1500000</v>
      </c>
    </row>
    <row r="726" spans="1:6" ht="15" x14ac:dyDescent="0.4">
      <c r="A726" s="55" t="s">
        <v>1102</v>
      </c>
      <c r="B726" s="54">
        <v>46256</v>
      </c>
      <c r="C726" s="55" t="s">
        <v>55</v>
      </c>
      <c r="D726" s="57">
        <v>480000</v>
      </c>
      <c r="E726" s="57">
        <v>0</v>
      </c>
      <c r="F726" s="57">
        <v>480000</v>
      </c>
    </row>
    <row r="727" spans="1:6" ht="15" x14ac:dyDescent="0.4">
      <c r="A727" s="55" t="s">
        <v>1103</v>
      </c>
      <c r="B727" s="54">
        <v>46257</v>
      </c>
      <c r="C727" s="55" t="s">
        <v>380</v>
      </c>
      <c r="D727" s="57">
        <v>170000</v>
      </c>
      <c r="E727" s="57">
        <v>0</v>
      </c>
      <c r="F727" s="57">
        <v>170000</v>
      </c>
    </row>
    <row r="728" spans="1:6" ht="15" x14ac:dyDescent="0.4">
      <c r="A728" s="55" t="s">
        <v>1104</v>
      </c>
      <c r="B728" s="54">
        <v>46258</v>
      </c>
      <c r="C728" s="55" t="s">
        <v>62</v>
      </c>
      <c r="D728" s="57">
        <v>170000</v>
      </c>
      <c r="E728" s="57">
        <v>0</v>
      </c>
      <c r="F728" s="57">
        <v>170000</v>
      </c>
    </row>
    <row r="729" spans="1:6" ht="15" x14ac:dyDescent="0.4">
      <c r="A729" s="55" t="s">
        <v>1105</v>
      </c>
      <c r="B729" s="54">
        <v>46258</v>
      </c>
      <c r="C729" s="55" t="s">
        <v>63</v>
      </c>
      <c r="D729" s="57">
        <v>750000</v>
      </c>
      <c r="E729" s="57">
        <v>0</v>
      </c>
      <c r="F729" s="57">
        <v>750000</v>
      </c>
    </row>
    <row r="730" spans="1:6" ht="15" x14ac:dyDescent="0.4">
      <c r="A730" s="55" t="s">
        <v>1106</v>
      </c>
      <c r="B730" s="54">
        <v>46258</v>
      </c>
      <c r="C730" s="55" t="s">
        <v>398</v>
      </c>
      <c r="D730" s="57">
        <v>170000</v>
      </c>
      <c r="E730" s="57">
        <v>0</v>
      </c>
      <c r="F730" s="57">
        <v>170000</v>
      </c>
    </row>
    <row r="731" spans="1:6" ht="15" x14ac:dyDescent="0.4">
      <c r="A731" s="55" t="s">
        <v>1107</v>
      </c>
      <c r="B731" s="54">
        <v>46258</v>
      </c>
      <c r="C731" s="55" t="s">
        <v>380</v>
      </c>
      <c r="D731" s="57">
        <v>1500000</v>
      </c>
      <c r="E731" s="57">
        <v>0</v>
      </c>
      <c r="F731" s="57">
        <v>1500000</v>
      </c>
    </row>
    <row r="732" spans="1:6" ht="15" x14ac:dyDescent="0.4">
      <c r="A732" s="55" t="s">
        <v>1108</v>
      </c>
      <c r="B732" s="54">
        <v>46259</v>
      </c>
      <c r="C732" s="55" t="s">
        <v>57</v>
      </c>
      <c r="D732" s="57">
        <v>480000</v>
      </c>
      <c r="E732" s="57">
        <v>0</v>
      </c>
      <c r="F732" s="57">
        <v>480000</v>
      </c>
    </row>
    <row r="733" spans="1:6" ht="15" x14ac:dyDescent="0.4">
      <c r="A733" s="55" t="s">
        <v>1109</v>
      </c>
      <c r="B733" s="54">
        <v>46259</v>
      </c>
      <c r="C733" s="55" t="s">
        <v>57</v>
      </c>
      <c r="D733" s="57">
        <v>150000</v>
      </c>
      <c r="E733" s="57">
        <v>0</v>
      </c>
      <c r="F733" s="57">
        <v>150000</v>
      </c>
    </row>
    <row r="734" spans="1:6" ht="15" x14ac:dyDescent="0.4">
      <c r="A734" s="55" t="s">
        <v>1110</v>
      </c>
      <c r="B734" s="54">
        <v>46259</v>
      </c>
      <c r="C734" s="55" t="s">
        <v>59</v>
      </c>
      <c r="D734" s="57">
        <v>170000</v>
      </c>
      <c r="E734" s="57">
        <v>0</v>
      </c>
      <c r="F734" s="57">
        <v>170000</v>
      </c>
    </row>
    <row r="735" spans="1:6" ht="15" x14ac:dyDescent="0.4">
      <c r="A735" s="55" t="s">
        <v>1111</v>
      </c>
      <c r="B735" s="54">
        <v>46260</v>
      </c>
      <c r="C735" s="55" t="s">
        <v>61</v>
      </c>
      <c r="D735" s="57">
        <v>150000</v>
      </c>
      <c r="E735" s="57">
        <v>0</v>
      </c>
      <c r="F735" s="57">
        <v>150000</v>
      </c>
    </row>
    <row r="736" spans="1:6" ht="15" x14ac:dyDescent="0.4">
      <c r="A736" s="55" t="s">
        <v>1112</v>
      </c>
      <c r="B736" s="54">
        <v>46260</v>
      </c>
      <c r="C736" s="55" t="s">
        <v>377</v>
      </c>
      <c r="D736" s="57">
        <v>170000</v>
      </c>
      <c r="E736" s="57">
        <v>0</v>
      </c>
      <c r="F736" s="57">
        <v>170000</v>
      </c>
    </row>
    <row r="737" spans="1:6" ht="15" x14ac:dyDescent="0.4">
      <c r="A737" s="55" t="s">
        <v>1113</v>
      </c>
      <c r="B737" s="54">
        <v>46260</v>
      </c>
      <c r="C737" s="55" t="s">
        <v>402</v>
      </c>
      <c r="D737" s="57">
        <v>750000</v>
      </c>
      <c r="E737" s="57">
        <v>0</v>
      </c>
      <c r="F737" s="57">
        <v>750000</v>
      </c>
    </row>
    <row r="738" spans="1:6" ht="15" x14ac:dyDescent="0.4">
      <c r="A738" s="55" t="s">
        <v>1114</v>
      </c>
      <c r="B738" s="54">
        <v>46261</v>
      </c>
      <c r="C738" s="55" t="s">
        <v>63</v>
      </c>
      <c r="D738" s="57">
        <v>150000</v>
      </c>
      <c r="E738" s="57">
        <v>0</v>
      </c>
      <c r="F738" s="57">
        <v>150000</v>
      </c>
    </row>
    <row r="739" spans="1:6" ht="15" x14ac:dyDescent="0.4">
      <c r="A739" s="55" t="s">
        <v>1115</v>
      </c>
      <c r="B739" s="54">
        <v>46261</v>
      </c>
      <c r="C739" s="55" t="s">
        <v>398</v>
      </c>
      <c r="D739" s="57">
        <v>1500000</v>
      </c>
      <c r="E739" s="57">
        <v>0</v>
      </c>
      <c r="F739" s="57">
        <v>1500000</v>
      </c>
    </row>
    <row r="740" spans="1:6" ht="15" x14ac:dyDescent="0.4">
      <c r="A740" s="55" t="s">
        <v>1116</v>
      </c>
      <c r="B740" s="54">
        <v>46263</v>
      </c>
      <c r="C740" s="55" t="s">
        <v>386</v>
      </c>
      <c r="D740" s="57">
        <v>170000</v>
      </c>
      <c r="E740" s="57">
        <v>0</v>
      </c>
      <c r="F740" s="57">
        <v>170000</v>
      </c>
    </row>
    <row r="741" spans="1:6" ht="15" x14ac:dyDescent="0.4">
      <c r="A741" s="55" t="s">
        <v>1117</v>
      </c>
      <c r="B741" s="54">
        <v>46263</v>
      </c>
      <c r="C741" s="55" t="s">
        <v>55</v>
      </c>
      <c r="D741" s="57">
        <v>150000</v>
      </c>
      <c r="E741" s="57">
        <v>0</v>
      </c>
      <c r="F741" s="57">
        <v>150000</v>
      </c>
    </row>
    <row r="742" spans="1:6" ht="15" x14ac:dyDescent="0.4">
      <c r="A742" s="55" t="s">
        <v>1118</v>
      </c>
      <c r="B742" s="54">
        <v>46263</v>
      </c>
      <c r="C742" s="55" t="s">
        <v>386</v>
      </c>
      <c r="D742" s="57">
        <v>480000</v>
      </c>
      <c r="E742" s="57">
        <v>0</v>
      </c>
      <c r="F742" s="57">
        <v>480000</v>
      </c>
    </row>
    <row r="743" spans="1:6" ht="15" x14ac:dyDescent="0.4">
      <c r="A743" s="55" t="s">
        <v>1119</v>
      </c>
      <c r="B743" s="54">
        <v>46264</v>
      </c>
      <c r="C743" s="55" t="s">
        <v>55</v>
      </c>
      <c r="D743" s="57">
        <v>170000</v>
      </c>
      <c r="E743" s="57">
        <v>0</v>
      </c>
      <c r="F743" s="57">
        <v>170000</v>
      </c>
    </row>
    <row r="744" spans="1:6" ht="15" x14ac:dyDescent="0.4">
      <c r="A744" s="55" t="s">
        <v>1120</v>
      </c>
      <c r="B744" s="54">
        <v>46264</v>
      </c>
      <c r="C744" s="55" t="s">
        <v>402</v>
      </c>
      <c r="D744" s="57">
        <v>170000</v>
      </c>
      <c r="E744" s="57">
        <v>0</v>
      </c>
      <c r="F744" s="57">
        <v>170000</v>
      </c>
    </row>
    <row r="745" spans="1:6" ht="15" x14ac:dyDescent="0.4">
      <c r="A745" s="55" t="s">
        <v>1121</v>
      </c>
      <c r="B745" s="54">
        <v>46264</v>
      </c>
      <c r="C745" s="55" t="s">
        <v>386</v>
      </c>
      <c r="D745" s="57">
        <v>150000</v>
      </c>
      <c r="E745" s="57">
        <v>0</v>
      </c>
      <c r="F745" s="57">
        <v>150000</v>
      </c>
    </row>
    <row r="746" spans="1:6" ht="15" x14ac:dyDescent="0.4">
      <c r="A746" s="55" t="s">
        <v>1122</v>
      </c>
      <c r="B746" s="54">
        <v>46264</v>
      </c>
      <c r="C746" s="55" t="s">
        <v>57</v>
      </c>
      <c r="D746" s="57">
        <v>480000</v>
      </c>
      <c r="E746" s="57">
        <v>0</v>
      </c>
      <c r="F746" s="57">
        <v>480000</v>
      </c>
    </row>
    <row r="747" spans="1:6" ht="15" x14ac:dyDescent="0.4">
      <c r="A747" s="55" t="s">
        <v>1123</v>
      </c>
      <c r="B747" s="54">
        <v>46264</v>
      </c>
      <c r="C747" s="55" t="s">
        <v>59</v>
      </c>
      <c r="D747" s="57">
        <v>1500000</v>
      </c>
      <c r="E747" s="57">
        <v>0</v>
      </c>
      <c r="F747" s="57">
        <v>1500000</v>
      </c>
    </row>
    <row r="748" spans="1:6" ht="15" x14ac:dyDescent="0.4">
      <c r="A748" s="55" t="s">
        <v>1124</v>
      </c>
      <c r="B748" s="54">
        <v>46265</v>
      </c>
      <c r="C748" s="55" t="s">
        <v>59</v>
      </c>
      <c r="D748" s="57">
        <v>750000</v>
      </c>
      <c r="E748" s="57">
        <v>0</v>
      </c>
      <c r="F748" s="57">
        <v>750000</v>
      </c>
    </row>
    <row r="749" spans="1:6" ht="15" x14ac:dyDescent="0.4">
      <c r="A749" s="55" t="s">
        <v>1125</v>
      </c>
      <c r="B749" s="54">
        <v>46266</v>
      </c>
      <c r="C749" s="55" t="s">
        <v>63</v>
      </c>
      <c r="D749" s="57">
        <v>170000</v>
      </c>
      <c r="E749" s="57">
        <v>0</v>
      </c>
      <c r="F749" s="57">
        <v>170000</v>
      </c>
    </row>
    <row r="750" spans="1:6" ht="15" x14ac:dyDescent="0.4">
      <c r="A750" s="55" t="s">
        <v>1126</v>
      </c>
      <c r="B750" s="54">
        <v>46266</v>
      </c>
      <c r="C750" s="55" t="s">
        <v>55</v>
      </c>
      <c r="D750" s="57">
        <v>170000</v>
      </c>
      <c r="E750" s="57">
        <v>0</v>
      </c>
      <c r="F750" s="57">
        <v>170000</v>
      </c>
    </row>
    <row r="751" spans="1:6" ht="15" x14ac:dyDescent="0.4">
      <c r="A751" s="55" t="s">
        <v>1127</v>
      </c>
      <c r="B751" s="54">
        <v>46266</v>
      </c>
      <c r="C751" s="55" t="s">
        <v>64</v>
      </c>
      <c r="D751" s="57">
        <v>170000</v>
      </c>
      <c r="E751" s="57">
        <v>0</v>
      </c>
      <c r="F751" s="57">
        <v>170000</v>
      </c>
    </row>
    <row r="752" spans="1:6" ht="15" x14ac:dyDescent="0.4">
      <c r="A752" s="55" t="s">
        <v>1128</v>
      </c>
      <c r="B752" s="54">
        <v>46267</v>
      </c>
      <c r="C752" s="55" t="s">
        <v>63</v>
      </c>
      <c r="D752" s="57">
        <v>150000</v>
      </c>
      <c r="E752" s="57">
        <v>0</v>
      </c>
      <c r="F752" s="57">
        <v>150000</v>
      </c>
    </row>
    <row r="753" spans="1:6" ht="15" x14ac:dyDescent="0.4">
      <c r="A753" s="55" t="s">
        <v>1129</v>
      </c>
      <c r="B753" s="54">
        <v>46267</v>
      </c>
      <c r="C753" s="55" t="s">
        <v>62</v>
      </c>
      <c r="D753" s="57">
        <v>170000</v>
      </c>
      <c r="E753" s="57">
        <v>0</v>
      </c>
      <c r="F753" s="57">
        <v>170000</v>
      </c>
    </row>
    <row r="754" spans="1:6" ht="15" x14ac:dyDescent="0.4">
      <c r="A754" s="55" t="s">
        <v>1130</v>
      </c>
      <c r="B754" s="54">
        <v>46267</v>
      </c>
      <c r="C754" s="55" t="s">
        <v>402</v>
      </c>
      <c r="D754" s="57">
        <v>480000</v>
      </c>
      <c r="E754" s="57">
        <v>0</v>
      </c>
      <c r="F754" s="57">
        <v>480000</v>
      </c>
    </row>
    <row r="755" spans="1:6" ht="15" x14ac:dyDescent="0.4">
      <c r="A755" s="55" t="s">
        <v>1131</v>
      </c>
      <c r="B755" s="54">
        <v>46268</v>
      </c>
      <c r="C755" s="55" t="s">
        <v>63</v>
      </c>
      <c r="D755" s="57">
        <v>170000</v>
      </c>
      <c r="E755" s="57">
        <v>0</v>
      </c>
      <c r="F755" s="57">
        <v>170000</v>
      </c>
    </row>
    <row r="756" spans="1:6" ht="15" x14ac:dyDescent="0.4">
      <c r="A756" s="55" t="s">
        <v>1132</v>
      </c>
      <c r="B756" s="54">
        <v>46269</v>
      </c>
      <c r="C756" s="55" t="s">
        <v>398</v>
      </c>
      <c r="D756" s="57">
        <v>480000</v>
      </c>
      <c r="E756" s="57">
        <v>0</v>
      </c>
      <c r="F756" s="57">
        <v>480000</v>
      </c>
    </row>
    <row r="757" spans="1:6" ht="15" x14ac:dyDescent="0.4">
      <c r="A757" s="55" t="s">
        <v>1133</v>
      </c>
      <c r="B757" s="54">
        <v>46270</v>
      </c>
      <c r="C757" s="55" t="s">
        <v>62</v>
      </c>
      <c r="D757" s="57">
        <v>150000</v>
      </c>
      <c r="E757" s="57">
        <v>0</v>
      </c>
      <c r="F757" s="57">
        <v>150000</v>
      </c>
    </row>
    <row r="758" spans="1:6" ht="15" x14ac:dyDescent="0.4">
      <c r="A758" s="55" t="s">
        <v>1134</v>
      </c>
      <c r="B758" s="54">
        <v>46270</v>
      </c>
      <c r="C758" s="55" t="s">
        <v>57</v>
      </c>
      <c r="D758" s="57">
        <v>170000</v>
      </c>
      <c r="E758" s="57">
        <v>0</v>
      </c>
      <c r="F758" s="57">
        <v>170000</v>
      </c>
    </row>
    <row r="759" spans="1:6" ht="15" x14ac:dyDescent="0.4">
      <c r="A759" s="55" t="s">
        <v>1135</v>
      </c>
      <c r="B759" s="54">
        <v>46270</v>
      </c>
      <c r="C759" s="55" t="s">
        <v>59</v>
      </c>
      <c r="D759" s="57">
        <v>170000</v>
      </c>
      <c r="E759" s="57">
        <v>170000</v>
      </c>
      <c r="F759" s="57">
        <v>0</v>
      </c>
    </row>
    <row r="760" spans="1:6" ht="15" x14ac:dyDescent="0.4">
      <c r="A760" s="55" t="s">
        <v>1136</v>
      </c>
      <c r="B760" s="54">
        <v>46271</v>
      </c>
      <c r="C760" s="55" t="s">
        <v>386</v>
      </c>
      <c r="D760" s="57">
        <v>170000</v>
      </c>
      <c r="E760" s="57">
        <v>0</v>
      </c>
      <c r="F760" s="57">
        <v>170000</v>
      </c>
    </row>
    <row r="761" spans="1:6" ht="15" x14ac:dyDescent="0.4">
      <c r="A761" s="55" t="s">
        <v>1137</v>
      </c>
      <c r="B761" s="54">
        <v>46271</v>
      </c>
      <c r="C761" s="55" t="s">
        <v>63</v>
      </c>
      <c r="D761" s="57">
        <v>170000</v>
      </c>
      <c r="E761" s="57">
        <v>0</v>
      </c>
      <c r="F761" s="57">
        <v>170000</v>
      </c>
    </row>
    <row r="762" spans="1:6" ht="15" x14ac:dyDescent="0.4">
      <c r="A762" s="55" t="s">
        <v>1138</v>
      </c>
      <c r="B762" s="54">
        <v>46271</v>
      </c>
      <c r="C762" s="55" t="s">
        <v>57</v>
      </c>
      <c r="D762" s="57">
        <v>150000</v>
      </c>
      <c r="E762" s="57">
        <v>0</v>
      </c>
      <c r="F762" s="57">
        <v>150000</v>
      </c>
    </row>
    <row r="763" spans="1:6" ht="15" x14ac:dyDescent="0.4">
      <c r="A763" s="55" t="s">
        <v>1139</v>
      </c>
      <c r="B763" s="54">
        <v>46271</v>
      </c>
      <c r="C763" s="55" t="s">
        <v>59</v>
      </c>
      <c r="D763" s="57">
        <v>150000</v>
      </c>
      <c r="E763" s="57">
        <v>0</v>
      </c>
      <c r="F763" s="57">
        <v>150000</v>
      </c>
    </row>
    <row r="764" spans="1:6" ht="15" x14ac:dyDescent="0.4">
      <c r="A764" s="55" t="s">
        <v>1140</v>
      </c>
      <c r="B764" s="54">
        <v>46271</v>
      </c>
      <c r="C764" s="55" t="s">
        <v>55</v>
      </c>
      <c r="D764" s="57">
        <v>170000</v>
      </c>
      <c r="E764" s="57">
        <v>0</v>
      </c>
      <c r="F764" s="57">
        <v>170000</v>
      </c>
    </row>
    <row r="765" spans="1:6" ht="15" x14ac:dyDescent="0.4">
      <c r="A765" s="55" t="s">
        <v>1141</v>
      </c>
      <c r="B765" s="54">
        <v>46271</v>
      </c>
      <c r="C765" s="55" t="s">
        <v>55</v>
      </c>
      <c r="D765" s="57">
        <v>1500000</v>
      </c>
      <c r="E765" s="57">
        <v>0</v>
      </c>
      <c r="F765" s="57">
        <v>1500000</v>
      </c>
    </row>
    <row r="766" spans="1:6" ht="15" x14ac:dyDescent="0.4">
      <c r="A766" s="55" t="s">
        <v>1142</v>
      </c>
      <c r="B766" s="54">
        <v>46272</v>
      </c>
      <c r="C766" s="55" t="s">
        <v>398</v>
      </c>
      <c r="D766" s="57">
        <v>150000</v>
      </c>
      <c r="E766" s="57">
        <v>0</v>
      </c>
      <c r="F766" s="57">
        <v>150000</v>
      </c>
    </row>
    <row r="767" spans="1:6" ht="15" x14ac:dyDescent="0.4">
      <c r="A767" s="55" t="s">
        <v>1143</v>
      </c>
      <c r="B767" s="54">
        <v>46272</v>
      </c>
      <c r="C767" s="55" t="s">
        <v>57</v>
      </c>
      <c r="D767" s="57">
        <v>1500000</v>
      </c>
      <c r="E767" s="57">
        <v>0</v>
      </c>
      <c r="F767" s="57">
        <v>1500000</v>
      </c>
    </row>
    <row r="768" spans="1:6" ht="15" x14ac:dyDescent="0.4">
      <c r="A768" s="55" t="s">
        <v>1144</v>
      </c>
      <c r="B768" s="54">
        <v>46272</v>
      </c>
      <c r="C768" s="55" t="s">
        <v>63</v>
      </c>
      <c r="D768" s="57">
        <v>480000</v>
      </c>
      <c r="E768" s="57">
        <v>0</v>
      </c>
      <c r="F768" s="57">
        <v>480000</v>
      </c>
    </row>
    <row r="769" spans="1:6" ht="15" x14ac:dyDescent="0.4">
      <c r="A769" s="55" t="s">
        <v>1145</v>
      </c>
      <c r="B769" s="54">
        <v>46273</v>
      </c>
      <c r="C769" s="55" t="s">
        <v>59</v>
      </c>
      <c r="D769" s="57">
        <v>170000</v>
      </c>
      <c r="E769" s="57">
        <v>0</v>
      </c>
      <c r="F769" s="57">
        <v>170000</v>
      </c>
    </row>
    <row r="770" spans="1:6" ht="15" x14ac:dyDescent="0.4">
      <c r="A770" s="55" t="s">
        <v>1146</v>
      </c>
      <c r="B770" s="54">
        <v>46273</v>
      </c>
      <c r="C770" s="55" t="s">
        <v>398</v>
      </c>
      <c r="D770" s="57">
        <v>150000</v>
      </c>
      <c r="E770" s="57">
        <v>0</v>
      </c>
      <c r="F770" s="57">
        <v>150000</v>
      </c>
    </row>
    <row r="771" spans="1:6" ht="15" x14ac:dyDescent="0.4">
      <c r="A771" s="55" t="s">
        <v>1147</v>
      </c>
      <c r="B771" s="54">
        <v>46274</v>
      </c>
      <c r="C771" s="55" t="s">
        <v>55</v>
      </c>
      <c r="D771" s="57">
        <v>170000</v>
      </c>
      <c r="E771" s="57">
        <v>0</v>
      </c>
      <c r="F771" s="57">
        <v>170000</v>
      </c>
    </row>
    <row r="772" spans="1:6" ht="15" x14ac:dyDescent="0.4">
      <c r="A772" s="55" t="s">
        <v>1148</v>
      </c>
      <c r="B772" s="54">
        <v>46274</v>
      </c>
      <c r="C772" s="55" t="s">
        <v>57</v>
      </c>
      <c r="D772" s="57">
        <v>480000</v>
      </c>
      <c r="E772" s="57">
        <v>0</v>
      </c>
      <c r="F772" s="57">
        <v>480000</v>
      </c>
    </row>
    <row r="773" spans="1:6" ht="15" x14ac:dyDescent="0.4">
      <c r="A773" s="55" t="s">
        <v>1149</v>
      </c>
      <c r="B773" s="54">
        <v>46275</v>
      </c>
      <c r="C773" s="55" t="s">
        <v>63</v>
      </c>
      <c r="D773" s="57">
        <v>150000</v>
      </c>
      <c r="E773" s="57">
        <v>0</v>
      </c>
      <c r="F773" s="57">
        <v>150000</v>
      </c>
    </row>
    <row r="774" spans="1:6" ht="15" x14ac:dyDescent="0.4">
      <c r="A774" s="55" t="s">
        <v>1150</v>
      </c>
      <c r="B774" s="54">
        <v>46276</v>
      </c>
      <c r="C774" s="55" t="s">
        <v>377</v>
      </c>
      <c r="D774" s="57">
        <v>480000</v>
      </c>
      <c r="E774" s="57">
        <v>0</v>
      </c>
      <c r="F774" s="57">
        <v>480000</v>
      </c>
    </row>
    <row r="775" spans="1:6" ht="15" x14ac:dyDescent="0.4">
      <c r="A775" s="55" t="s">
        <v>1151</v>
      </c>
      <c r="B775" s="54">
        <v>46277</v>
      </c>
      <c r="C775" s="55" t="s">
        <v>55</v>
      </c>
      <c r="D775" s="57">
        <v>170000</v>
      </c>
      <c r="E775" s="57">
        <v>0</v>
      </c>
      <c r="F775" s="57">
        <v>170000</v>
      </c>
    </row>
    <row r="776" spans="1:6" ht="15" x14ac:dyDescent="0.4">
      <c r="A776" s="55" t="s">
        <v>1152</v>
      </c>
      <c r="B776" s="54">
        <v>46277</v>
      </c>
      <c r="C776" s="55" t="s">
        <v>380</v>
      </c>
      <c r="D776" s="57">
        <v>170000</v>
      </c>
      <c r="E776" s="57">
        <v>0</v>
      </c>
      <c r="F776" s="57">
        <v>170000</v>
      </c>
    </row>
    <row r="777" spans="1:6" ht="15" x14ac:dyDescent="0.4">
      <c r="A777" s="55" t="s">
        <v>1153</v>
      </c>
      <c r="B777" s="54">
        <v>46277</v>
      </c>
      <c r="C777" s="55" t="s">
        <v>398</v>
      </c>
      <c r="D777" s="57">
        <v>170000</v>
      </c>
      <c r="E777" s="57">
        <v>0</v>
      </c>
      <c r="F777" s="57">
        <v>170000</v>
      </c>
    </row>
    <row r="778" spans="1:6" ht="15" x14ac:dyDescent="0.4">
      <c r="A778" s="55" t="s">
        <v>1154</v>
      </c>
      <c r="B778" s="54">
        <v>46277</v>
      </c>
      <c r="C778" s="55" t="s">
        <v>55</v>
      </c>
      <c r="D778" s="57">
        <v>150000</v>
      </c>
      <c r="E778" s="57">
        <v>0</v>
      </c>
      <c r="F778" s="57">
        <v>150000</v>
      </c>
    </row>
    <row r="779" spans="1:6" ht="15" x14ac:dyDescent="0.4">
      <c r="A779" s="55" t="s">
        <v>1155</v>
      </c>
      <c r="B779" s="54">
        <v>46277</v>
      </c>
      <c r="C779" s="55" t="s">
        <v>63</v>
      </c>
      <c r="D779" s="57">
        <v>170000</v>
      </c>
      <c r="E779" s="57">
        <v>0</v>
      </c>
      <c r="F779" s="57">
        <v>170000</v>
      </c>
    </row>
    <row r="780" spans="1:6" ht="15" x14ac:dyDescent="0.4">
      <c r="A780" s="55" t="s">
        <v>1156</v>
      </c>
      <c r="B780" s="54">
        <v>46277</v>
      </c>
      <c r="C780" s="55" t="s">
        <v>63</v>
      </c>
      <c r="D780" s="57">
        <v>480000</v>
      </c>
      <c r="E780" s="57">
        <v>0</v>
      </c>
      <c r="F780" s="57">
        <v>480000</v>
      </c>
    </row>
    <row r="781" spans="1:6" ht="15" x14ac:dyDescent="0.4">
      <c r="A781" s="55" t="s">
        <v>1157</v>
      </c>
      <c r="B781" s="54">
        <v>46278</v>
      </c>
      <c r="C781" s="55" t="s">
        <v>63</v>
      </c>
      <c r="D781" s="57">
        <v>150000</v>
      </c>
      <c r="E781" s="57">
        <v>0</v>
      </c>
      <c r="F781" s="57">
        <v>150000</v>
      </c>
    </row>
    <row r="782" spans="1:6" ht="15" x14ac:dyDescent="0.4">
      <c r="A782" s="55" t="s">
        <v>1158</v>
      </c>
      <c r="B782" s="54">
        <v>46278</v>
      </c>
      <c r="C782" s="55" t="s">
        <v>62</v>
      </c>
      <c r="D782" s="57">
        <v>170000</v>
      </c>
      <c r="E782" s="57">
        <v>0</v>
      </c>
      <c r="F782" s="57">
        <v>170000</v>
      </c>
    </row>
    <row r="783" spans="1:6" ht="15" x14ac:dyDescent="0.4">
      <c r="A783" s="55" t="s">
        <v>1159</v>
      </c>
      <c r="B783" s="54">
        <v>46278</v>
      </c>
      <c r="C783" s="55" t="s">
        <v>63</v>
      </c>
      <c r="D783" s="57">
        <v>170000</v>
      </c>
      <c r="E783" s="57">
        <v>0</v>
      </c>
      <c r="F783" s="57">
        <v>170000</v>
      </c>
    </row>
    <row r="784" spans="1:6" ht="15" x14ac:dyDescent="0.4">
      <c r="A784" s="55" t="s">
        <v>1160</v>
      </c>
      <c r="B784" s="54">
        <v>46280</v>
      </c>
      <c r="C784" s="55" t="s">
        <v>398</v>
      </c>
      <c r="D784" s="57">
        <v>150000</v>
      </c>
      <c r="E784" s="57">
        <v>0</v>
      </c>
      <c r="F784" s="57">
        <v>150000</v>
      </c>
    </row>
    <row r="785" spans="1:6" ht="15" x14ac:dyDescent="0.4">
      <c r="A785" s="55" t="s">
        <v>1161</v>
      </c>
      <c r="B785" s="54">
        <v>46280</v>
      </c>
      <c r="C785" s="55" t="s">
        <v>55</v>
      </c>
      <c r="D785" s="57">
        <v>170000</v>
      </c>
      <c r="E785" s="57">
        <v>0</v>
      </c>
      <c r="F785" s="57">
        <v>170000</v>
      </c>
    </row>
    <row r="786" spans="1:6" ht="15" x14ac:dyDescent="0.4">
      <c r="A786" s="55" t="s">
        <v>1162</v>
      </c>
      <c r="B786" s="54">
        <v>46280</v>
      </c>
      <c r="C786" s="55" t="s">
        <v>398</v>
      </c>
      <c r="D786" s="57">
        <v>170000</v>
      </c>
      <c r="E786" s="57">
        <v>0</v>
      </c>
      <c r="F786" s="57">
        <v>170000</v>
      </c>
    </row>
    <row r="787" spans="1:6" ht="15" x14ac:dyDescent="0.4">
      <c r="A787" s="55" t="s">
        <v>1163</v>
      </c>
      <c r="B787" s="54">
        <v>46280</v>
      </c>
      <c r="C787" s="55" t="s">
        <v>398</v>
      </c>
      <c r="D787" s="57">
        <v>480000</v>
      </c>
      <c r="E787" s="57">
        <v>0</v>
      </c>
      <c r="F787" s="57">
        <v>480000</v>
      </c>
    </row>
    <row r="788" spans="1:6" ht="15" x14ac:dyDescent="0.4">
      <c r="A788" s="55" t="s">
        <v>1164</v>
      </c>
      <c r="B788" s="54">
        <v>46280</v>
      </c>
      <c r="C788" s="55" t="s">
        <v>377</v>
      </c>
      <c r="D788" s="57">
        <v>150000</v>
      </c>
      <c r="E788" s="57">
        <v>0</v>
      </c>
      <c r="F788" s="57">
        <v>150000</v>
      </c>
    </row>
    <row r="789" spans="1:6" ht="15" x14ac:dyDescent="0.4">
      <c r="A789" s="55" t="s">
        <v>1165</v>
      </c>
      <c r="B789" s="54">
        <v>46281</v>
      </c>
      <c r="C789" s="55" t="s">
        <v>57</v>
      </c>
      <c r="D789" s="57">
        <v>150000</v>
      </c>
      <c r="E789" s="57">
        <v>0</v>
      </c>
      <c r="F789" s="57">
        <v>150000</v>
      </c>
    </row>
    <row r="790" spans="1:6" ht="15" x14ac:dyDescent="0.4">
      <c r="A790" s="55" t="s">
        <v>1166</v>
      </c>
      <c r="B790" s="54">
        <v>46281</v>
      </c>
      <c r="C790" s="55" t="s">
        <v>398</v>
      </c>
      <c r="D790" s="57">
        <v>480000</v>
      </c>
      <c r="E790" s="57">
        <v>0</v>
      </c>
      <c r="F790" s="57">
        <v>480000</v>
      </c>
    </row>
    <row r="791" spans="1:6" ht="15" x14ac:dyDescent="0.4">
      <c r="A791" s="55" t="s">
        <v>1167</v>
      </c>
      <c r="B791" s="54">
        <v>46281</v>
      </c>
      <c r="C791" s="55" t="s">
        <v>59</v>
      </c>
      <c r="D791" s="57">
        <v>1500000</v>
      </c>
      <c r="E791" s="57">
        <v>0</v>
      </c>
      <c r="F791" s="57">
        <v>1500000</v>
      </c>
    </row>
    <row r="792" spans="1:6" ht="15" x14ac:dyDescent="0.4">
      <c r="A792" s="55" t="s">
        <v>1168</v>
      </c>
      <c r="B792" s="54">
        <v>46282</v>
      </c>
      <c r="C792" s="55" t="s">
        <v>63</v>
      </c>
      <c r="D792" s="57">
        <v>150000</v>
      </c>
      <c r="E792" s="57">
        <v>0</v>
      </c>
      <c r="F792" s="57">
        <v>150000</v>
      </c>
    </row>
    <row r="793" spans="1:6" ht="15" x14ac:dyDescent="0.4">
      <c r="A793" s="55" t="s">
        <v>1169</v>
      </c>
      <c r="B793" s="54">
        <v>46283</v>
      </c>
      <c r="C793" s="55" t="s">
        <v>62</v>
      </c>
      <c r="D793" s="57">
        <v>170000</v>
      </c>
      <c r="E793" s="57">
        <v>0</v>
      </c>
      <c r="F793" s="57">
        <v>170000</v>
      </c>
    </row>
    <row r="794" spans="1:6" ht="15" x14ac:dyDescent="0.4">
      <c r="A794" s="55" t="s">
        <v>1170</v>
      </c>
      <c r="B794" s="54">
        <v>46283</v>
      </c>
      <c r="C794" s="55" t="s">
        <v>57</v>
      </c>
      <c r="D794" s="57">
        <v>170000</v>
      </c>
      <c r="E794" s="57">
        <v>0</v>
      </c>
      <c r="F794" s="57">
        <v>170000</v>
      </c>
    </row>
    <row r="795" spans="1:6" ht="15" x14ac:dyDescent="0.4">
      <c r="A795" s="55" t="s">
        <v>1171</v>
      </c>
      <c r="B795" s="54">
        <v>46283</v>
      </c>
      <c r="C795" s="55" t="s">
        <v>55</v>
      </c>
      <c r="D795" s="57">
        <v>170000</v>
      </c>
      <c r="E795" s="57">
        <v>0</v>
      </c>
      <c r="F795" s="57">
        <v>170000</v>
      </c>
    </row>
    <row r="796" spans="1:6" ht="15" x14ac:dyDescent="0.4">
      <c r="A796" s="55" t="s">
        <v>1172</v>
      </c>
      <c r="B796" s="54">
        <v>46283</v>
      </c>
      <c r="C796" s="55" t="s">
        <v>62</v>
      </c>
      <c r="D796" s="57">
        <v>170000</v>
      </c>
      <c r="E796" s="57">
        <v>0</v>
      </c>
      <c r="F796" s="57">
        <v>170000</v>
      </c>
    </row>
    <row r="797" spans="1:6" ht="15" x14ac:dyDescent="0.4">
      <c r="A797" s="55" t="s">
        <v>1173</v>
      </c>
      <c r="B797" s="54">
        <v>46283</v>
      </c>
      <c r="C797" s="55" t="s">
        <v>63</v>
      </c>
      <c r="D797" s="57">
        <v>480000</v>
      </c>
      <c r="E797" s="57">
        <v>0</v>
      </c>
      <c r="F797" s="57">
        <v>480000</v>
      </c>
    </row>
    <row r="798" spans="1:6" ht="15" x14ac:dyDescent="0.4">
      <c r="A798" s="55" t="s">
        <v>1174</v>
      </c>
      <c r="B798" s="54">
        <v>46283</v>
      </c>
      <c r="C798" s="55" t="s">
        <v>386</v>
      </c>
      <c r="D798" s="57">
        <v>480000</v>
      </c>
      <c r="E798" s="57">
        <v>240000</v>
      </c>
      <c r="F798" s="57">
        <v>240000</v>
      </c>
    </row>
    <row r="799" spans="1:6" ht="15" x14ac:dyDescent="0.4">
      <c r="A799" s="55" t="s">
        <v>1175</v>
      </c>
      <c r="B799" s="54">
        <v>46283</v>
      </c>
      <c r="C799" s="55" t="s">
        <v>62</v>
      </c>
      <c r="D799" s="57">
        <v>480000</v>
      </c>
      <c r="E799" s="57">
        <v>0</v>
      </c>
      <c r="F799" s="57">
        <v>480000</v>
      </c>
    </row>
    <row r="800" spans="1:6" ht="15" x14ac:dyDescent="0.4">
      <c r="A800" s="55" t="s">
        <v>1176</v>
      </c>
      <c r="B800" s="54">
        <v>46283</v>
      </c>
      <c r="C800" s="55" t="s">
        <v>386</v>
      </c>
      <c r="D800" s="57">
        <v>1500000</v>
      </c>
      <c r="E800" s="57">
        <v>0</v>
      </c>
      <c r="F800" s="57">
        <v>1500000</v>
      </c>
    </row>
    <row r="801" spans="1:6" ht="15" x14ac:dyDescent="0.4">
      <c r="A801" s="55" t="s">
        <v>1177</v>
      </c>
      <c r="B801" s="54">
        <v>46283</v>
      </c>
      <c r="C801" s="55" t="s">
        <v>59</v>
      </c>
      <c r="D801" s="57">
        <v>480000</v>
      </c>
      <c r="E801" s="57">
        <v>0</v>
      </c>
      <c r="F801" s="57">
        <v>480000</v>
      </c>
    </row>
    <row r="802" spans="1:6" ht="15" x14ac:dyDescent="0.4">
      <c r="A802" s="55" t="s">
        <v>1178</v>
      </c>
      <c r="B802" s="54">
        <v>46283</v>
      </c>
      <c r="C802" s="55" t="s">
        <v>398</v>
      </c>
      <c r="D802" s="57">
        <v>480000</v>
      </c>
      <c r="E802" s="57">
        <v>0</v>
      </c>
      <c r="F802" s="57">
        <v>480000</v>
      </c>
    </row>
    <row r="803" spans="1:6" ht="15" x14ac:dyDescent="0.4">
      <c r="A803" s="55" t="s">
        <v>1179</v>
      </c>
      <c r="B803" s="54">
        <v>46283</v>
      </c>
      <c r="C803" s="55" t="s">
        <v>63</v>
      </c>
      <c r="D803" s="57">
        <v>1500000</v>
      </c>
      <c r="E803" s="57">
        <v>0</v>
      </c>
      <c r="F803" s="57">
        <v>1500000</v>
      </c>
    </row>
    <row r="804" spans="1:6" ht="15" x14ac:dyDescent="0.4">
      <c r="A804" s="55" t="s">
        <v>1180</v>
      </c>
      <c r="B804" s="54">
        <v>46283</v>
      </c>
      <c r="C804" s="55" t="s">
        <v>586</v>
      </c>
      <c r="D804" s="57">
        <v>480000</v>
      </c>
      <c r="E804" s="57">
        <v>0</v>
      </c>
      <c r="F804" s="57">
        <v>480000</v>
      </c>
    </row>
    <row r="805" spans="1:6" ht="15" x14ac:dyDescent="0.4">
      <c r="A805" s="55" t="s">
        <v>1181</v>
      </c>
      <c r="B805" s="54">
        <v>46283</v>
      </c>
      <c r="C805" s="55" t="s">
        <v>386</v>
      </c>
      <c r="D805" s="57">
        <v>480000</v>
      </c>
      <c r="E805" s="57">
        <v>0</v>
      </c>
      <c r="F805" s="57">
        <v>480000</v>
      </c>
    </row>
    <row r="806" spans="1:6" ht="15" x14ac:dyDescent="0.4">
      <c r="A806" s="55" t="s">
        <v>1182</v>
      </c>
      <c r="B806" s="54">
        <v>46283</v>
      </c>
      <c r="C806" s="55" t="s">
        <v>63</v>
      </c>
      <c r="D806" s="57">
        <v>170000</v>
      </c>
      <c r="E806" s="57">
        <v>0</v>
      </c>
      <c r="F806" s="57">
        <v>170000</v>
      </c>
    </row>
    <row r="807" spans="1:6" ht="15" x14ac:dyDescent="0.4">
      <c r="A807" s="55" t="s">
        <v>1183</v>
      </c>
      <c r="B807" s="54">
        <v>46283</v>
      </c>
      <c r="C807" s="55" t="s">
        <v>57</v>
      </c>
      <c r="D807" s="57">
        <v>480000</v>
      </c>
      <c r="E807" s="57">
        <v>0</v>
      </c>
      <c r="F807" s="57">
        <v>480000</v>
      </c>
    </row>
    <row r="808" spans="1:6" ht="15" x14ac:dyDescent="0.4">
      <c r="A808" s="55" t="s">
        <v>1184</v>
      </c>
      <c r="B808" s="54">
        <v>46283</v>
      </c>
      <c r="C808" s="55" t="s">
        <v>398</v>
      </c>
      <c r="D808" s="57">
        <v>480000</v>
      </c>
      <c r="E808" s="57">
        <v>0</v>
      </c>
      <c r="F808" s="57">
        <v>480000</v>
      </c>
    </row>
    <row r="809" spans="1:6" ht="15" x14ac:dyDescent="0.4">
      <c r="A809" s="55" t="s">
        <v>1185</v>
      </c>
      <c r="B809" s="54">
        <v>46283</v>
      </c>
      <c r="C809" s="55" t="s">
        <v>55</v>
      </c>
      <c r="D809" s="57">
        <v>480000</v>
      </c>
      <c r="E809" s="57">
        <v>0</v>
      </c>
      <c r="F809" s="57">
        <v>480000</v>
      </c>
    </row>
    <row r="810" spans="1:6" ht="15" x14ac:dyDescent="0.4">
      <c r="A810" s="55" t="s">
        <v>1186</v>
      </c>
      <c r="B810" s="54">
        <v>46283</v>
      </c>
      <c r="C810" s="55" t="s">
        <v>55</v>
      </c>
      <c r="D810" s="57">
        <v>480000</v>
      </c>
      <c r="E810" s="57">
        <v>0</v>
      </c>
      <c r="F810" s="57">
        <v>480000</v>
      </c>
    </row>
    <row r="811" spans="1:6" ht="15" x14ac:dyDescent="0.4">
      <c r="A811" s="55" t="s">
        <v>1187</v>
      </c>
      <c r="B811" s="54">
        <v>46283</v>
      </c>
      <c r="C811" s="55" t="s">
        <v>586</v>
      </c>
      <c r="D811" s="57">
        <v>480000</v>
      </c>
      <c r="E811" s="57">
        <v>0</v>
      </c>
      <c r="F811" s="57">
        <v>480000</v>
      </c>
    </row>
    <row r="812" spans="1:6" ht="15" x14ac:dyDescent="0.4">
      <c r="A812" s="55" t="s">
        <v>1188</v>
      </c>
      <c r="B812" s="54">
        <v>46283</v>
      </c>
      <c r="C812" s="55" t="s">
        <v>57</v>
      </c>
      <c r="D812" s="57">
        <v>480000</v>
      </c>
      <c r="E812" s="57">
        <v>0</v>
      </c>
      <c r="F812" s="57">
        <v>480000</v>
      </c>
    </row>
    <row r="813" spans="1:6" ht="15" x14ac:dyDescent="0.4">
      <c r="A813" s="55" t="s">
        <v>1189</v>
      </c>
      <c r="B813" s="54">
        <v>46283</v>
      </c>
      <c r="C813" s="55" t="s">
        <v>55</v>
      </c>
      <c r="D813" s="57">
        <v>480000</v>
      </c>
      <c r="E813" s="57">
        <v>0</v>
      </c>
      <c r="F813" s="57">
        <v>480000</v>
      </c>
    </row>
    <row r="814" spans="1:6" ht="15" x14ac:dyDescent="0.4">
      <c r="A814" s="55" t="s">
        <v>1190</v>
      </c>
      <c r="B814" s="54">
        <v>46283</v>
      </c>
      <c r="C814" s="55" t="s">
        <v>59</v>
      </c>
      <c r="D814" s="57">
        <v>170000</v>
      </c>
      <c r="E814" s="57">
        <v>0</v>
      </c>
      <c r="F814" s="57">
        <v>170000</v>
      </c>
    </row>
    <row r="815" spans="1:6" ht="15" x14ac:dyDescent="0.4">
      <c r="A815" s="55" t="s">
        <v>1191</v>
      </c>
      <c r="B815" s="54">
        <v>46284</v>
      </c>
      <c r="C815" s="55" t="s">
        <v>57</v>
      </c>
      <c r="D815" s="57">
        <v>150000</v>
      </c>
      <c r="E815" s="57">
        <v>0</v>
      </c>
      <c r="F815" s="57">
        <v>150000</v>
      </c>
    </row>
    <row r="816" spans="1:6" ht="15" x14ac:dyDescent="0.4">
      <c r="A816" s="55" t="s">
        <v>1192</v>
      </c>
      <c r="B816" s="54">
        <v>46284</v>
      </c>
      <c r="C816" s="55" t="s">
        <v>386</v>
      </c>
      <c r="D816" s="57">
        <v>170000</v>
      </c>
      <c r="E816" s="57">
        <v>0</v>
      </c>
      <c r="F816" s="57">
        <v>170000</v>
      </c>
    </row>
    <row r="817" spans="1:6" ht="15" x14ac:dyDescent="0.4">
      <c r="A817" s="55" t="s">
        <v>1193</v>
      </c>
      <c r="B817" s="54">
        <v>46284</v>
      </c>
      <c r="C817" s="55" t="s">
        <v>586</v>
      </c>
      <c r="D817" s="57">
        <v>150000</v>
      </c>
      <c r="E817" s="57">
        <v>0</v>
      </c>
      <c r="F817" s="57">
        <v>150000</v>
      </c>
    </row>
    <row r="818" spans="1:6" ht="15" x14ac:dyDescent="0.4">
      <c r="A818" s="55" t="s">
        <v>1194</v>
      </c>
      <c r="B818" s="54">
        <v>46285</v>
      </c>
      <c r="C818" s="55" t="s">
        <v>59</v>
      </c>
      <c r="D818" s="57">
        <v>750000</v>
      </c>
      <c r="E818" s="57">
        <v>0</v>
      </c>
      <c r="F818" s="57">
        <v>750000</v>
      </c>
    </row>
    <row r="819" spans="1:6" ht="15" x14ac:dyDescent="0.4">
      <c r="A819" s="55" t="s">
        <v>1195</v>
      </c>
      <c r="B819" s="54">
        <v>46286</v>
      </c>
      <c r="C819" s="55" t="s">
        <v>55</v>
      </c>
      <c r="D819" s="57">
        <v>150000</v>
      </c>
      <c r="E819" s="57">
        <v>0</v>
      </c>
      <c r="F819" s="57">
        <v>150000</v>
      </c>
    </row>
    <row r="820" spans="1:6" ht="15" x14ac:dyDescent="0.4">
      <c r="A820" s="55" t="s">
        <v>1196</v>
      </c>
      <c r="B820" s="54">
        <v>46286</v>
      </c>
      <c r="C820" s="55" t="s">
        <v>57</v>
      </c>
      <c r="D820" s="57">
        <v>150000</v>
      </c>
      <c r="E820" s="57">
        <v>0</v>
      </c>
      <c r="F820" s="57">
        <v>150000</v>
      </c>
    </row>
    <row r="821" spans="1:6" ht="15" x14ac:dyDescent="0.4">
      <c r="A821" s="55" t="s">
        <v>1197</v>
      </c>
      <c r="B821" s="54">
        <v>46286</v>
      </c>
      <c r="C821" s="55" t="s">
        <v>59</v>
      </c>
      <c r="D821" s="57">
        <v>170000</v>
      </c>
      <c r="E821" s="57">
        <v>0</v>
      </c>
      <c r="F821" s="57">
        <v>170000</v>
      </c>
    </row>
    <row r="822" spans="1:6" ht="15" x14ac:dyDescent="0.4">
      <c r="A822" s="55" t="s">
        <v>1198</v>
      </c>
      <c r="B822" s="54">
        <v>46287</v>
      </c>
      <c r="C822" s="55" t="s">
        <v>380</v>
      </c>
      <c r="D822" s="57">
        <v>170000</v>
      </c>
      <c r="E822" s="57">
        <v>0</v>
      </c>
      <c r="F822" s="57">
        <v>170000</v>
      </c>
    </row>
    <row r="823" spans="1:6" ht="15" x14ac:dyDescent="0.4">
      <c r="A823" s="55" t="s">
        <v>1199</v>
      </c>
      <c r="B823" s="54">
        <v>46287</v>
      </c>
      <c r="C823" s="55" t="s">
        <v>63</v>
      </c>
      <c r="D823" s="57">
        <v>150000</v>
      </c>
      <c r="E823" s="57">
        <v>0</v>
      </c>
      <c r="F823" s="57">
        <v>150000</v>
      </c>
    </row>
    <row r="824" spans="1:6" ht="15" x14ac:dyDescent="0.4">
      <c r="A824" s="55" t="s">
        <v>1200</v>
      </c>
      <c r="B824" s="54">
        <v>46287</v>
      </c>
      <c r="C824" s="55" t="s">
        <v>398</v>
      </c>
      <c r="D824" s="57">
        <v>150000</v>
      </c>
      <c r="E824" s="57">
        <v>0</v>
      </c>
      <c r="F824" s="57">
        <v>150000</v>
      </c>
    </row>
    <row r="825" spans="1:6" ht="15" x14ac:dyDescent="0.4">
      <c r="A825" s="55" t="s">
        <v>1201</v>
      </c>
      <c r="B825" s="54">
        <v>46288</v>
      </c>
      <c r="C825" s="55" t="s">
        <v>398</v>
      </c>
      <c r="D825" s="57">
        <v>170000</v>
      </c>
      <c r="E825" s="57">
        <v>0</v>
      </c>
      <c r="F825" s="57">
        <v>170000</v>
      </c>
    </row>
    <row r="826" spans="1:6" ht="15" x14ac:dyDescent="0.4">
      <c r="A826" s="55" t="s">
        <v>1202</v>
      </c>
      <c r="B826" s="54">
        <v>46288</v>
      </c>
      <c r="C826" s="55" t="s">
        <v>386</v>
      </c>
      <c r="D826" s="57">
        <v>150000</v>
      </c>
      <c r="E826" s="57">
        <v>0</v>
      </c>
      <c r="F826" s="57">
        <v>150000</v>
      </c>
    </row>
    <row r="827" spans="1:6" ht="15" x14ac:dyDescent="0.4">
      <c r="A827" s="55" t="s">
        <v>1203</v>
      </c>
      <c r="B827" s="54">
        <v>46289</v>
      </c>
      <c r="C827" s="55" t="s">
        <v>62</v>
      </c>
      <c r="D827" s="57">
        <v>150000</v>
      </c>
      <c r="E827" s="57">
        <v>0</v>
      </c>
      <c r="F827" s="57">
        <v>150000</v>
      </c>
    </row>
    <row r="828" spans="1:6" ht="15" x14ac:dyDescent="0.4">
      <c r="A828" s="55" t="s">
        <v>1204</v>
      </c>
      <c r="B828" s="54">
        <v>46289</v>
      </c>
      <c r="C828" s="55" t="s">
        <v>386</v>
      </c>
      <c r="D828" s="57">
        <v>150000</v>
      </c>
      <c r="E828" s="57">
        <v>0</v>
      </c>
      <c r="F828" s="57">
        <v>150000</v>
      </c>
    </row>
    <row r="829" spans="1:6" ht="15" x14ac:dyDescent="0.4">
      <c r="A829" s="55" t="s">
        <v>1205</v>
      </c>
      <c r="B829" s="54">
        <v>46290</v>
      </c>
      <c r="C829" s="55" t="s">
        <v>64</v>
      </c>
      <c r="D829" s="57">
        <v>170000</v>
      </c>
      <c r="E829" s="57">
        <v>0</v>
      </c>
      <c r="F829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A929C"/>
  </sheetPr>
  <dimension ref="A1:S15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2" customWidth="1"/>
    <col min="3" max="3" width="13" customWidth="1"/>
    <col min="4" max="4" width="11" customWidth="1"/>
    <col min="5" max="5" width="17" customWidth="1"/>
    <col min="6" max="6" width="11" customWidth="1"/>
    <col min="7" max="7" width="12" customWidth="1"/>
    <col min="8" max="9" width="11" customWidth="1"/>
    <col min="10" max="10" width="16" customWidth="1"/>
    <col min="11" max="11" width="14" customWidth="1"/>
    <col min="12" max="12" width="11" customWidth="1"/>
    <col min="13" max="13" width="15" customWidth="1"/>
    <col min="14" max="14" width="18" customWidth="1"/>
    <col min="15" max="15" width="14" customWidth="1"/>
    <col min="16" max="16" width="18" customWidth="1"/>
    <col min="17" max="17" width="13" customWidth="1"/>
    <col min="18" max="18" width="21" customWidth="1"/>
    <col min="19" max="19" width="17" customWidth="1"/>
  </cols>
  <sheetData>
    <row r="1" spans="1:19" ht="15" x14ac:dyDescent="0.4">
      <c r="A1" s="60" t="s">
        <v>1206</v>
      </c>
      <c r="B1" s="60" t="s">
        <v>1207</v>
      </c>
      <c r="C1" s="60" t="s">
        <v>1208</v>
      </c>
      <c r="D1" s="60" t="s">
        <v>1209</v>
      </c>
      <c r="E1" s="60" t="s">
        <v>1210</v>
      </c>
      <c r="F1" s="60" t="s">
        <v>1211</v>
      </c>
      <c r="G1" s="60" t="s">
        <v>1212</v>
      </c>
      <c r="H1" s="60" t="s">
        <v>1213</v>
      </c>
      <c r="I1" s="60" t="s">
        <v>1214</v>
      </c>
      <c r="J1" s="60" t="s">
        <v>1215</v>
      </c>
      <c r="K1" s="60" t="s">
        <v>1216</v>
      </c>
      <c r="L1" s="60" t="s">
        <v>367</v>
      </c>
      <c r="M1" s="60" t="s">
        <v>1217</v>
      </c>
      <c r="N1" s="60" t="s">
        <v>1218</v>
      </c>
      <c r="O1" s="60" t="s">
        <v>1219</v>
      </c>
      <c r="P1" s="60" t="s">
        <v>1220</v>
      </c>
      <c r="Q1" s="60" t="s">
        <v>1221</v>
      </c>
      <c r="R1" s="60" t="s">
        <v>1222</v>
      </c>
      <c r="S1" s="60" t="s">
        <v>1223</v>
      </c>
    </row>
    <row r="2" spans="1:19" ht="15" x14ac:dyDescent="0.4">
      <c r="A2" s="55" t="s">
        <v>1224</v>
      </c>
      <c r="B2" s="54">
        <v>45839</v>
      </c>
      <c r="C2" s="55" t="s">
        <v>82</v>
      </c>
      <c r="D2" s="55" t="s">
        <v>1225</v>
      </c>
      <c r="E2" s="55" t="s">
        <v>79</v>
      </c>
      <c r="F2" s="55">
        <v>12000</v>
      </c>
      <c r="G2" s="55">
        <v>11941</v>
      </c>
      <c r="H2" s="55">
        <v>59</v>
      </c>
      <c r="I2" s="55">
        <v>6013</v>
      </c>
      <c r="J2" s="55">
        <v>3051</v>
      </c>
      <c r="K2" s="55">
        <v>2962</v>
      </c>
      <c r="L2" s="55">
        <v>253</v>
      </c>
      <c r="M2" s="55">
        <v>20</v>
      </c>
      <c r="N2" s="55">
        <v>2</v>
      </c>
      <c r="O2" s="58">
        <v>4.8999999999999998E-3</v>
      </c>
      <c r="P2" s="58">
        <v>0.24809999999999999</v>
      </c>
      <c r="Q2" s="58">
        <v>2.12E-2</v>
      </c>
      <c r="R2" s="58">
        <v>8.5400000000000004E-2</v>
      </c>
      <c r="S2" s="58">
        <v>2.0000000000000001E-4</v>
      </c>
    </row>
    <row r="3" spans="1:19" ht="15" x14ac:dyDescent="0.4">
      <c r="A3" s="55" t="s">
        <v>1226</v>
      </c>
      <c r="B3" s="54">
        <v>45841</v>
      </c>
      <c r="C3" s="55" t="s">
        <v>83</v>
      </c>
      <c r="D3" s="55" t="s">
        <v>1227</v>
      </c>
      <c r="E3" s="55" t="s">
        <v>79</v>
      </c>
      <c r="F3" s="55">
        <v>207</v>
      </c>
      <c r="G3" s="55">
        <v>206</v>
      </c>
      <c r="H3" s="55">
        <v>1</v>
      </c>
      <c r="I3" s="55">
        <v>135</v>
      </c>
      <c r="J3" s="55">
        <v>59</v>
      </c>
      <c r="K3" s="55">
        <v>76</v>
      </c>
      <c r="L3" s="55">
        <v>10</v>
      </c>
      <c r="M3" s="55">
        <v>0</v>
      </c>
      <c r="N3" s="55">
        <v>0</v>
      </c>
      <c r="O3" s="58">
        <v>4.7999999999999996E-3</v>
      </c>
      <c r="P3" s="58">
        <v>0.36890000000000001</v>
      </c>
      <c r="Q3" s="58">
        <v>4.8500000000000001E-2</v>
      </c>
      <c r="R3" s="58">
        <v>0.13159999999999999</v>
      </c>
      <c r="S3" s="58">
        <v>0</v>
      </c>
    </row>
    <row r="4" spans="1:19" ht="15" x14ac:dyDescent="0.4">
      <c r="A4" s="55" t="s">
        <v>1228</v>
      </c>
      <c r="B4" s="54">
        <v>45845</v>
      </c>
      <c r="C4" s="55" t="s">
        <v>85</v>
      </c>
      <c r="D4" s="55" t="s">
        <v>1229</v>
      </c>
      <c r="E4" s="55" t="s">
        <v>79</v>
      </c>
      <c r="F4" s="55">
        <v>12128</v>
      </c>
      <c r="G4" s="55">
        <v>12066</v>
      </c>
      <c r="H4" s="55">
        <v>62</v>
      </c>
      <c r="I4" s="55">
        <v>6764</v>
      </c>
      <c r="J4" s="55">
        <v>3618</v>
      </c>
      <c r="K4" s="55">
        <v>3146</v>
      </c>
      <c r="L4" s="55">
        <v>314</v>
      </c>
      <c r="M4" s="55">
        <v>18</v>
      </c>
      <c r="N4" s="55">
        <v>2</v>
      </c>
      <c r="O4" s="58">
        <v>5.1000000000000004E-3</v>
      </c>
      <c r="P4" s="58">
        <v>0.26069999999999999</v>
      </c>
      <c r="Q4" s="58">
        <v>2.5999999999999999E-2</v>
      </c>
      <c r="R4" s="58">
        <v>9.98E-2</v>
      </c>
      <c r="S4" s="58">
        <v>2.0000000000000001E-4</v>
      </c>
    </row>
    <row r="5" spans="1:19" ht="15" x14ac:dyDescent="0.4">
      <c r="A5" s="55" t="s">
        <v>1230</v>
      </c>
      <c r="B5" s="54">
        <v>45846</v>
      </c>
      <c r="C5" s="55" t="s">
        <v>82</v>
      </c>
      <c r="D5" s="55" t="s">
        <v>1231</v>
      </c>
      <c r="E5" s="55" t="s">
        <v>79</v>
      </c>
      <c r="F5" s="55">
        <v>12126</v>
      </c>
      <c r="G5" s="55">
        <v>12067</v>
      </c>
      <c r="H5" s="55">
        <v>59</v>
      </c>
      <c r="I5" s="55">
        <v>6871</v>
      </c>
      <c r="J5" s="55">
        <v>3408</v>
      </c>
      <c r="K5" s="55">
        <v>3463</v>
      </c>
      <c r="L5" s="55">
        <v>244</v>
      </c>
      <c r="M5" s="55">
        <v>21</v>
      </c>
      <c r="N5" s="55">
        <v>2</v>
      </c>
      <c r="O5" s="58">
        <v>4.8999999999999998E-3</v>
      </c>
      <c r="P5" s="58">
        <v>0.28699999999999998</v>
      </c>
      <c r="Q5" s="58">
        <v>2.0199999999999999E-2</v>
      </c>
      <c r="R5" s="58">
        <v>7.0499999999999993E-2</v>
      </c>
      <c r="S5" s="58">
        <v>2.0000000000000001E-4</v>
      </c>
    </row>
    <row r="6" spans="1:19" ht="15" x14ac:dyDescent="0.4">
      <c r="A6" s="55" t="s">
        <v>1232</v>
      </c>
      <c r="B6" s="54">
        <v>45848</v>
      </c>
      <c r="C6" s="55" t="s">
        <v>83</v>
      </c>
      <c r="D6" s="55" t="s">
        <v>1227</v>
      </c>
      <c r="E6" s="55" t="s">
        <v>79</v>
      </c>
      <c r="F6" s="55">
        <v>645</v>
      </c>
      <c r="G6" s="55">
        <v>642</v>
      </c>
      <c r="H6" s="55">
        <v>3</v>
      </c>
      <c r="I6" s="55">
        <v>413</v>
      </c>
      <c r="J6" s="55">
        <v>181</v>
      </c>
      <c r="K6" s="55">
        <v>232</v>
      </c>
      <c r="L6" s="55">
        <v>32</v>
      </c>
      <c r="M6" s="55">
        <v>1</v>
      </c>
      <c r="N6" s="55">
        <v>0</v>
      </c>
      <c r="O6" s="58">
        <v>4.7000000000000002E-3</v>
      </c>
      <c r="P6" s="58">
        <v>0.3614</v>
      </c>
      <c r="Q6" s="58">
        <v>4.9799999999999997E-2</v>
      </c>
      <c r="R6" s="58">
        <v>0.13789999999999999</v>
      </c>
      <c r="S6" s="58">
        <v>0</v>
      </c>
    </row>
    <row r="7" spans="1:19" ht="15" x14ac:dyDescent="0.4">
      <c r="A7" s="55" t="s">
        <v>1233</v>
      </c>
      <c r="B7" s="54">
        <v>45853</v>
      </c>
      <c r="C7" s="55" t="s">
        <v>82</v>
      </c>
      <c r="D7" s="55" t="s">
        <v>1234</v>
      </c>
      <c r="E7" s="55" t="s">
        <v>79</v>
      </c>
      <c r="F7" s="55">
        <v>12299</v>
      </c>
      <c r="G7" s="55">
        <v>12237</v>
      </c>
      <c r="H7" s="55">
        <v>62</v>
      </c>
      <c r="I7" s="55">
        <v>7347</v>
      </c>
      <c r="J7" s="55">
        <v>3818</v>
      </c>
      <c r="K7" s="55">
        <v>3529</v>
      </c>
      <c r="L7" s="55">
        <v>257</v>
      </c>
      <c r="M7" s="55">
        <v>20</v>
      </c>
      <c r="N7" s="55">
        <v>2</v>
      </c>
      <c r="O7" s="58">
        <v>5.0000000000000001E-3</v>
      </c>
      <c r="P7" s="58">
        <v>0.28839999999999999</v>
      </c>
      <c r="Q7" s="58">
        <v>2.1000000000000001E-2</v>
      </c>
      <c r="R7" s="58">
        <v>7.2800000000000004E-2</v>
      </c>
      <c r="S7" s="58">
        <v>2.0000000000000001E-4</v>
      </c>
    </row>
    <row r="8" spans="1:19" ht="15" x14ac:dyDescent="0.4">
      <c r="A8" s="55" t="s">
        <v>1235</v>
      </c>
      <c r="B8" s="54">
        <v>45855</v>
      </c>
      <c r="C8" s="55" t="s">
        <v>83</v>
      </c>
      <c r="D8" s="55" t="s">
        <v>1227</v>
      </c>
      <c r="E8" s="55" t="s">
        <v>79</v>
      </c>
      <c r="F8" s="55">
        <v>765</v>
      </c>
      <c r="G8" s="55">
        <v>761</v>
      </c>
      <c r="H8" s="55">
        <v>4</v>
      </c>
      <c r="I8" s="55">
        <v>489</v>
      </c>
      <c r="J8" s="55">
        <v>192</v>
      </c>
      <c r="K8" s="55">
        <v>297</v>
      </c>
      <c r="L8" s="55">
        <v>45</v>
      </c>
      <c r="M8" s="55">
        <v>2</v>
      </c>
      <c r="N8" s="55">
        <v>0</v>
      </c>
      <c r="O8" s="58">
        <v>5.1999999999999998E-3</v>
      </c>
      <c r="P8" s="58">
        <v>0.39029999999999998</v>
      </c>
      <c r="Q8" s="58">
        <v>5.91E-2</v>
      </c>
      <c r="R8" s="58">
        <v>0.1515</v>
      </c>
      <c r="S8" s="58">
        <v>0</v>
      </c>
    </row>
    <row r="9" spans="1:19" ht="15" x14ac:dyDescent="0.4">
      <c r="A9" s="55" t="s">
        <v>1236</v>
      </c>
      <c r="B9" s="54">
        <v>45860</v>
      </c>
      <c r="C9" s="55" t="s">
        <v>82</v>
      </c>
      <c r="D9" s="55" t="s">
        <v>1237</v>
      </c>
      <c r="E9" s="55" t="s">
        <v>79</v>
      </c>
      <c r="F9" s="55">
        <v>12464</v>
      </c>
      <c r="G9" s="55">
        <v>12401</v>
      </c>
      <c r="H9" s="55">
        <v>63</v>
      </c>
      <c r="I9" s="55">
        <v>7517</v>
      </c>
      <c r="J9" s="55">
        <v>3763</v>
      </c>
      <c r="K9" s="55">
        <v>3754</v>
      </c>
      <c r="L9" s="55">
        <v>241</v>
      </c>
      <c r="M9" s="55">
        <v>20</v>
      </c>
      <c r="N9" s="55">
        <v>2</v>
      </c>
      <c r="O9" s="58">
        <v>5.1000000000000004E-3</v>
      </c>
      <c r="P9" s="58">
        <v>0.30270000000000002</v>
      </c>
      <c r="Q9" s="58">
        <v>1.9400000000000001E-2</v>
      </c>
      <c r="R9" s="58">
        <v>6.4199999999999993E-2</v>
      </c>
      <c r="S9" s="58">
        <v>2.0000000000000001E-4</v>
      </c>
    </row>
    <row r="10" spans="1:19" ht="15" x14ac:dyDescent="0.4">
      <c r="A10" s="55" t="s">
        <v>1238</v>
      </c>
      <c r="B10" s="54">
        <v>45862</v>
      </c>
      <c r="C10" s="55" t="s">
        <v>83</v>
      </c>
      <c r="D10" s="55" t="s">
        <v>1227</v>
      </c>
      <c r="E10" s="55" t="s">
        <v>79</v>
      </c>
      <c r="F10" s="55">
        <v>687</v>
      </c>
      <c r="G10" s="55">
        <v>683</v>
      </c>
      <c r="H10" s="55">
        <v>4</v>
      </c>
      <c r="I10" s="55">
        <v>437</v>
      </c>
      <c r="J10" s="55">
        <v>188</v>
      </c>
      <c r="K10" s="55">
        <v>249</v>
      </c>
      <c r="L10" s="55">
        <v>35</v>
      </c>
      <c r="M10" s="55">
        <v>2</v>
      </c>
      <c r="N10" s="55">
        <v>0</v>
      </c>
      <c r="O10" s="58">
        <v>5.7999999999999996E-3</v>
      </c>
      <c r="P10" s="58">
        <v>0.36459999999999998</v>
      </c>
      <c r="Q10" s="58">
        <v>5.1200000000000002E-2</v>
      </c>
      <c r="R10" s="58">
        <v>0.1406</v>
      </c>
      <c r="S10" s="58">
        <v>0</v>
      </c>
    </row>
    <row r="11" spans="1:19" ht="15" x14ac:dyDescent="0.4">
      <c r="A11" s="55" t="s">
        <v>1239</v>
      </c>
      <c r="B11" s="54">
        <v>45867</v>
      </c>
      <c r="C11" s="55" t="s">
        <v>82</v>
      </c>
      <c r="D11" s="55" t="s">
        <v>1231</v>
      </c>
      <c r="E11" s="55" t="s">
        <v>79</v>
      </c>
      <c r="F11" s="55">
        <v>12622</v>
      </c>
      <c r="G11" s="55">
        <v>12562</v>
      </c>
      <c r="H11" s="55">
        <v>60</v>
      </c>
      <c r="I11" s="55">
        <v>7001</v>
      </c>
      <c r="J11" s="55">
        <v>3888</v>
      </c>
      <c r="K11" s="55">
        <v>3113</v>
      </c>
      <c r="L11" s="55">
        <v>287</v>
      </c>
      <c r="M11" s="55">
        <v>23</v>
      </c>
      <c r="N11" s="55">
        <v>2</v>
      </c>
      <c r="O11" s="58">
        <v>4.7999999999999996E-3</v>
      </c>
      <c r="P11" s="58">
        <v>0.24779999999999999</v>
      </c>
      <c r="Q11" s="58">
        <v>2.2800000000000001E-2</v>
      </c>
      <c r="R11" s="58">
        <v>9.2200000000000004E-2</v>
      </c>
      <c r="S11" s="58">
        <v>2.0000000000000001E-4</v>
      </c>
    </row>
    <row r="12" spans="1:19" ht="15" x14ac:dyDescent="0.4">
      <c r="A12" s="55" t="s">
        <v>1240</v>
      </c>
      <c r="B12" s="54">
        <v>45869</v>
      </c>
      <c r="C12" s="55" t="s">
        <v>83</v>
      </c>
      <c r="D12" s="55" t="s">
        <v>1227</v>
      </c>
      <c r="E12" s="55" t="s">
        <v>79</v>
      </c>
      <c r="F12" s="55">
        <v>651</v>
      </c>
      <c r="G12" s="55">
        <v>648</v>
      </c>
      <c r="H12" s="55">
        <v>3</v>
      </c>
      <c r="I12" s="55">
        <v>415</v>
      </c>
      <c r="J12" s="55">
        <v>184</v>
      </c>
      <c r="K12" s="55">
        <v>231</v>
      </c>
      <c r="L12" s="55">
        <v>33</v>
      </c>
      <c r="M12" s="55">
        <v>1</v>
      </c>
      <c r="N12" s="55">
        <v>0</v>
      </c>
      <c r="O12" s="58">
        <v>4.5999999999999999E-3</v>
      </c>
      <c r="P12" s="58">
        <v>0.35649999999999998</v>
      </c>
      <c r="Q12" s="58">
        <v>5.0900000000000001E-2</v>
      </c>
      <c r="R12" s="58">
        <v>0.1429</v>
      </c>
      <c r="S12" s="58">
        <v>0</v>
      </c>
    </row>
    <row r="13" spans="1:19" ht="15" x14ac:dyDescent="0.4">
      <c r="A13" s="55" t="s">
        <v>1241</v>
      </c>
      <c r="B13" s="54">
        <v>45874</v>
      </c>
      <c r="C13" s="55" t="s">
        <v>82</v>
      </c>
      <c r="D13" s="55" t="s">
        <v>1234</v>
      </c>
      <c r="E13" s="55" t="s">
        <v>79</v>
      </c>
      <c r="F13" s="55">
        <v>12757</v>
      </c>
      <c r="G13" s="55">
        <v>12696</v>
      </c>
      <c r="H13" s="55">
        <v>61</v>
      </c>
      <c r="I13" s="55">
        <v>7064</v>
      </c>
      <c r="J13" s="55">
        <v>3799</v>
      </c>
      <c r="K13" s="55">
        <v>3265</v>
      </c>
      <c r="L13" s="55">
        <v>250</v>
      </c>
      <c r="M13" s="55">
        <v>25</v>
      </c>
      <c r="N13" s="55">
        <v>2</v>
      </c>
      <c r="O13" s="58">
        <v>4.7999999999999996E-3</v>
      </c>
      <c r="P13" s="58">
        <v>0.25719999999999998</v>
      </c>
      <c r="Q13" s="58">
        <v>1.9699999999999999E-2</v>
      </c>
      <c r="R13" s="58">
        <v>7.6600000000000001E-2</v>
      </c>
      <c r="S13" s="58">
        <v>2.0000000000000001E-4</v>
      </c>
    </row>
    <row r="14" spans="1:19" ht="15" x14ac:dyDescent="0.4">
      <c r="A14" s="55" t="s">
        <v>1242</v>
      </c>
      <c r="B14" s="54">
        <v>45876</v>
      </c>
      <c r="C14" s="55" t="s">
        <v>83</v>
      </c>
      <c r="D14" s="55" t="s">
        <v>1227</v>
      </c>
      <c r="E14" s="55" t="s">
        <v>79</v>
      </c>
      <c r="F14" s="55">
        <v>615</v>
      </c>
      <c r="G14" s="55">
        <v>612</v>
      </c>
      <c r="H14" s="55">
        <v>3</v>
      </c>
      <c r="I14" s="55">
        <v>410</v>
      </c>
      <c r="J14" s="55">
        <v>191</v>
      </c>
      <c r="K14" s="55">
        <v>219</v>
      </c>
      <c r="L14" s="55">
        <v>32</v>
      </c>
      <c r="M14" s="55">
        <v>1</v>
      </c>
      <c r="N14" s="55">
        <v>0</v>
      </c>
      <c r="O14" s="58">
        <v>4.8999999999999998E-3</v>
      </c>
      <c r="P14" s="58">
        <v>0.35780000000000001</v>
      </c>
      <c r="Q14" s="58">
        <v>5.2299999999999999E-2</v>
      </c>
      <c r="R14" s="58">
        <v>0.14610000000000001</v>
      </c>
      <c r="S14" s="58">
        <v>0</v>
      </c>
    </row>
    <row r="15" spans="1:19" ht="15" x14ac:dyDescent="0.4">
      <c r="A15" s="55" t="s">
        <v>1243</v>
      </c>
      <c r="B15" s="54">
        <v>45880</v>
      </c>
      <c r="C15" s="55" t="s">
        <v>85</v>
      </c>
      <c r="D15" s="55" t="s">
        <v>1244</v>
      </c>
      <c r="E15" s="55" t="s">
        <v>79</v>
      </c>
      <c r="F15" s="55">
        <v>12893</v>
      </c>
      <c r="G15" s="55">
        <v>12818</v>
      </c>
      <c r="H15" s="55">
        <v>75</v>
      </c>
      <c r="I15" s="55">
        <v>7189</v>
      </c>
      <c r="J15" s="55">
        <v>4085</v>
      </c>
      <c r="K15" s="55">
        <v>3104</v>
      </c>
      <c r="L15" s="55">
        <v>334</v>
      </c>
      <c r="M15" s="55">
        <v>19</v>
      </c>
      <c r="N15" s="55">
        <v>2</v>
      </c>
      <c r="O15" s="58">
        <v>5.7999999999999996E-3</v>
      </c>
      <c r="P15" s="58">
        <v>0.2422</v>
      </c>
      <c r="Q15" s="58">
        <v>2.6100000000000002E-2</v>
      </c>
      <c r="R15" s="58">
        <v>0.1076</v>
      </c>
      <c r="S15" s="58">
        <v>2.0000000000000001E-4</v>
      </c>
    </row>
    <row r="16" spans="1:19" ht="15" x14ac:dyDescent="0.4">
      <c r="A16" s="55" t="s">
        <v>1245</v>
      </c>
      <c r="B16" s="54">
        <v>45881</v>
      </c>
      <c r="C16" s="55" t="s">
        <v>82</v>
      </c>
      <c r="D16" s="55" t="s">
        <v>1246</v>
      </c>
      <c r="E16" s="55" t="s">
        <v>79</v>
      </c>
      <c r="F16" s="55">
        <v>12903</v>
      </c>
      <c r="G16" s="55">
        <v>12839</v>
      </c>
      <c r="H16" s="55">
        <v>64</v>
      </c>
      <c r="I16" s="55">
        <v>7614</v>
      </c>
      <c r="J16" s="55">
        <v>3989</v>
      </c>
      <c r="K16" s="55">
        <v>3625</v>
      </c>
      <c r="L16" s="55">
        <v>278</v>
      </c>
      <c r="M16" s="55">
        <v>21</v>
      </c>
      <c r="N16" s="55">
        <v>2</v>
      </c>
      <c r="O16" s="58">
        <v>5.0000000000000001E-3</v>
      </c>
      <c r="P16" s="58">
        <v>0.2823</v>
      </c>
      <c r="Q16" s="58">
        <v>2.1700000000000001E-2</v>
      </c>
      <c r="R16" s="58">
        <v>7.6700000000000004E-2</v>
      </c>
      <c r="S16" s="58">
        <v>2.0000000000000001E-4</v>
      </c>
    </row>
    <row r="17" spans="1:19" ht="15" x14ac:dyDescent="0.4">
      <c r="A17" s="55" t="s">
        <v>1247</v>
      </c>
      <c r="B17" s="54">
        <v>45883</v>
      </c>
      <c r="C17" s="55" t="s">
        <v>83</v>
      </c>
      <c r="D17" s="55" t="s">
        <v>1227</v>
      </c>
      <c r="E17" s="55" t="s">
        <v>79</v>
      </c>
      <c r="F17" s="55">
        <v>666</v>
      </c>
      <c r="G17" s="55">
        <v>663</v>
      </c>
      <c r="H17" s="55">
        <v>3</v>
      </c>
      <c r="I17" s="55">
        <v>433</v>
      </c>
      <c r="J17" s="55">
        <v>164</v>
      </c>
      <c r="K17" s="55">
        <v>269</v>
      </c>
      <c r="L17" s="55">
        <v>33</v>
      </c>
      <c r="M17" s="55">
        <v>1</v>
      </c>
      <c r="N17" s="55">
        <v>0</v>
      </c>
      <c r="O17" s="58">
        <v>4.4999999999999997E-3</v>
      </c>
      <c r="P17" s="58">
        <v>0.40570000000000001</v>
      </c>
      <c r="Q17" s="58">
        <v>4.9799999999999997E-2</v>
      </c>
      <c r="R17" s="58">
        <v>0.1227</v>
      </c>
      <c r="S17" s="58">
        <v>0</v>
      </c>
    </row>
    <row r="18" spans="1:19" ht="15" x14ac:dyDescent="0.4">
      <c r="A18" s="55" t="s">
        <v>1248</v>
      </c>
      <c r="B18" s="54">
        <v>45888</v>
      </c>
      <c r="C18" s="55" t="s">
        <v>82</v>
      </c>
      <c r="D18" s="55" t="s">
        <v>1249</v>
      </c>
      <c r="E18" s="55" t="s">
        <v>79</v>
      </c>
      <c r="F18" s="55">
        <v>13034</v>
      </c>
      <c r="G18" s="55">
        <v>12960</v>
      </c>
      <c r="H18" s="55">
        <v>74</v>
      </c>
      <c r="I18" s="55">
        <v>7236</v>
      </c>
      <c r="J18" s="55">
        <v>3932</v>
      </c>
      <c r="K18" s="55">
        <v>3304</v>
      </c>
      <c r="L18" s="55">
        <v>271</v>
      </c>
      <c r="M18" s="55">
        <v>24</v>
      </c>
      <c r="N18" s="55">
        <v>2</v>
      </c>
      <c r="O18" s="58">
        <v>5.7000000000000002E-3</v>
      </c>
      <c r="P18" s="58">
        <v>0.25490000000000002</v>
      </c>
      <c r="Q18" s="58">
        <v>2.0899999999999998E-2</v>
      </c>
      <c r="R18" s="58">
        <v>8.2000000000000003E-2</v>
      </c>
      <c r="S18" s="58">
        <v>2.0000000000000001E-4</v>
      </c>
    </row>
    <row r="19" spans="1:19" ht="15" x14ac:dyDescent="0.4">
      <c r="A19" s="55" t="s">
        <v>1250</v>
      </c>
      <c r="B19" s="54">
        <v>45890</v>
      </c>
      <c r="C19" s="55" t="s">
        <v>83</v>
      </c>
      <c r="D19" s="55" t="s">
        <v>1227</v>
      </c>
      <c r="E19" s="55" t="s">
        <v>79</v>
      </c>
      <c r="F19" s="55">
        <v>540</v>
      </c>
      <c r="G19" s="55">
        <v>537</v>
      </c>
      <c r="H19" s="55">
        <v>3</v>
      </c>
      <c r="I19" s="55">
        <v>357</v>
      </c>
      <c r="J19" s="55">
        <v>158</v>
      </c>
      <c r="K19" s="55">
        <v>199</v>
      </c>
      <c r="L19" s="55">
        <v>29</v>
      </c>
      <c r="M19" s="55">
        <v>1</v>
      </c>
      <c r="N19" s="55">
        <v>0</v>
      </c>
      <c r="O19" s="58">
        <v>5.5999999999999999E-3</v>
      </c>
      <c r="P19" s="58">
        <v>0.37059999999999998</v>
      </c>
      <c r="Q19" s="58">
        <v>5.3999999999999999E-2</v>
      </c>
      <c r="R19" s="58">
        <v>0.1457</v>
      </c>
      <c r="S19" s="58">
        <v>0</v>
      </c>
    </row>
    <row r="20" spans="1:19" ht="15" x14ac:dyDescent="0.4">
      <c r="A20" s="55" t="s">
        <v>1251</v>
      </c>
      <c r="B20" s="54">
        <v>45895</v>
      </c>
      <c r="C20" s="55" t="s">
        <v>82</v>
      </c>
      <c r="D20" s="55" t="s">
        <v>1225</v>
      </c>
      <c r="E20" s="55" t="s">
        <v>79</v>
      </c>
      <c r="F20" s="55">
        <v>13157</v>
      </c>
      <c r="G20" s="55">
        <v>13093</v>
      </c>
      <c r="H20" s="55">
        <v>64</v>
      </c>
      <c r="I20" s="55">
        <v>7541</v>
      </c>
      <c r="J20" s="55">
        <v>4025</v>
      </c>
      <c r="K20" s="55">
        <v>3516</v>
      </c>
      <c r="L20" s="55">
        <v>247</v>
      </c>
      <c r="M20" s="55">
        <v>20</v>
      </c>
      <c r="N20" s="55">
        <v>2</v>
      </c>
      <c r="O20" s="58">
        <v>4.8999999999999998E-3</v>
      </c>
      <c r="P20" s="58">
        <v>0.26850000000000002</v>
      </c>
      <c r="Q20" s="58">
        <v>1.89E-2</v>
      </c>
      <c r="R20" s="58">
        <v>7.0300000000000001E-2</v>
      </c>
      <c r="S20" s="58">
        <v>2.0000000000000001E-4</v>
      </c>
    </row>
    <row r="21" spans="1:19" ht="15" x14ac:dyDescent="0.4">
      <c r="A21" s="55" t="s">
        <v>1252</v>
      </c>
      <c r="B21" s="54">
        <v>45897</v>
      </c>
      <c r="C21" s="55" t="s">
        <v>83</v>
      </c>
      <c r="D21" s="55" t="s">
        <v>1227</v>
      </c>
      <c r="E21" s="55" t="s">
        <v>79</v>
      </c>
      <c r="F21" s="55">
        <v>618</v>
      </c>
      <c r="G21" s="55">
        <v>615</v>
      </c>
      <c r="H21" s="55">
        <v>3</v>
      </c>
      <c r="I21" s="55">
        <v>377</v>
      </c>
      <c r="J21" s="55">
        <v>152</v>
      </c>
      <c r="K21" s="55">
        <v>225</v>
      </c>
      <c r="L21" s="55">
        <v>31</v>
      </c>
      <c r="M21" s="55">
        <v>1</v>
      </c>
      <c r="N21" s="55">
        <v>0</v>
      </c>
      <c r="O21" s="58">
        <v>4.8999999999999998E-3</v>
      </c>
      <c r="P21" s="58">
        <v>0.3659</v>
      </c>
      <c r="Q21" s="58">
        <v>5.04E-2</v>
      </c>
      <c r="R21" s="58">
        <v>0.13780000000000001</v>
      </c>
      <c r="S21" s="58">
        <v>0</v>
      </c>
    </row>
    <row r="22" spans="1:19" ht="15" x14ac:dyDescent="0.4">
      <c r="A22" s="55" t="s">
        <v>1253</v>
      </c>
      <c r="B22" s="54">
        <v>45902</v>
      </c>
      <c r="C22" s="55" t="s">
        <v>82</v>
      </c>
      <c r="D22" s="55" t="s">
        <v>1246</v>
      </c>
      <c r="E22" s="55" t="s">
        <v>79</v>
      </c>
      <c r="F22" s="55">
        <v>13285</v>
      </c>
      <c r="G22" s="55">
        <v>13219</v>
      </c>
      <c r="H22" s="55">
        <v>66</v>
      </c>
      <c r="I22" s="55">
        <v>7933</v>
      </c>
      <c r="J22" s="55">
        <v>3992</v>
      </c>
      <c r="K22" s="55">
        <v>3941</v>
      </c>
      <c r="L22" s="55">
        <v>292</v>
      </c>
      <c r="M22" s="55">
        <v>23</v>
      </c>
      <c r="N22" s="55">
        <v>2</v>
      </c>
      <c r="O22" s="58">
        <v>5.0000000000000001E-3</v>
      </c>
      <c r="P22" s="58">
        <v>0.29809999999999998</v>
      </c>
      <c r="Q22" s="58">
        <v>2.2100000000000002E-2</v>
      </c>
      <c r="R22" s="58">
        <v>7.4099999999999999E-2</v>
      </c>
      <c r="S22" s="58">
        <v>2.0000000000000001E-4</v>
      </c>
    </row>
    <row r="23" spans="1:19" ht="15" x14ac:dyDescent="0.4">
      <c r="A23" s="55" t="s">
        <v>1254</v>
      </c>
      <c r="B23" s="54">
        <v>45904</v>
      </c>
      <c r="C23" s="55" t="s">
        <v>83</v>
      </c>
      <c r="D23" s="55" t="s">
        <v>1227</v>
      </c>
      <c r="E23" s="55" t="s">
        <v>79</v>
      </c>
      <c r="F23" s="55">
        <v>546</v>
      </c>
      <c r="G23" s="55">
        <v>543</v>
      </c>
      <c r="H23" s="55">
        <v>3</v>
      </c>
      <c r="I23" s="55">
        <v>352</v>
      </c>
      <c r="J23" s="55">
        <v>151</v>
      </c>
      <c r="K23" s="55">
        <v>201</v>
      </c>
      <c r="L23" s="55">
        <v>31</v>
      </c>
      <c r="M23" s="55">
        <v>1</v>
      </c>
      <c r="N23" s="55">
        <v>0</v>
      </c>
      <c r="O23" s="58">
        <v>5.4999999999999997E-3</v>
      </c>
      <c r="P23" s="58">
        <v>0.37019999999999997</v>
      </c>
      <c r="Q23" s="58">
        <v>5.7099999999999998E-2</v>
      </c>
      <c r="R23" s="58">
        <v>0.1542</v>
      </c>
      <c r="S23" s="58">
        <v>0</v>
      </c>
    </row>
    <row r="24" spans="1:19" ht="15" x14ac:dyDescent="0.4">
      <c r="A24" s="55" t="s">
        <v>1255</v>
      </c>
      <c r="B24" s="54">
        <v>45908</v>
      </c>
      <c r="C24" s="55" t="s">
        <v>85</v>
      </c>
      <c r="D24" s="55" t="s">
        <v>1256</v>
      </c>
      <c r="E24" s="55" t="s">
        <v>79</v>
      </c>
      <c r="F24" s="55">
        <v>13399</v>
      </c>
      <c r="G24" s="55">
        <v>13326</v>
      </c>
      <c r="H24" s="55">
        <v>73</v>
      </c>
      <c r="I24" s="55">
        <v>7486</v>
      </c>
      <c r="J24" s="55">
        <v>4281</v>
      </c>
      <c r="K24" s="55">
        <v>3205</v>
      </c>
      <c r="L24" s="55">
        <v>349</v>
      </c>
      <c r="M24" s="55">
        <v>20</v>
      </c>
      <c r="N24" s="55">
        <v>2</v>
      </c>
      <c r="O24" s="58">
        <v>5.4000000000000003E-3</v>
      </c>
      <c r="P24" s="58">
        <v>0.24049999999999999</v>
      </c>
      <c r="Q24" s="58">
        <v>2.6200000000000001E-2</v>
      </c>
      <c r="R24" s="58">
        <v>0.1089</v>
      </c>
      <c r="S24" s="58">
        <v>2.0000000000000001E-4</v>
      </c>
    </row>
    <row r="25" spans="1:19" ht="15" x14ac:dyDescent="0.4">
      <c r="A25" s="55" t="s">
        <v>1257</v>
      </c>
      <c r="B25" s="54">
        <v>45909</v>
      </c>
      <c r="C25" s="55" t="s">
        <v>82</v>
      </c>
      <c r="D25" s="55" t="s">
        <v>1234</v>
      </c>
      <c r="E25" s="55" t="s">
        <v>79</v>
      </c>
      <c r="F25" s="55">
        <v>13406</v>
      </c>
      <c r="G25" s="55">
        <v>13346</v>
      </c>
      <c r="H25" s="55">
        <v>60</v>
      </c>
      <c r="I25" s="55">
        <v>7945</v>
      </c>
      <c r="J25" s="55">
        <v>4115</v>
      </c>
      <c r="K25" s="55">
        <v>3830</v>
      </c>
      <c r="L25" s="55">
        <v>288</v>
      </c>
      <c r="M25" s="55">
        <v>26</v>
      </c>
      <c r="N25" s="55">
        <v>2</v>
      </c>
      <c r="O25" s="58">
        <v>4.4999999999999997E-3</v>
      </c>
      <c r="P25" s="58">
        <v>0.28699999999999998</v>
      </c>
      <c r="Q25" s="58">
        <v>2.1600000000000001E-2</v>
      </c>
      <c r="R25" s="58">
        <v>7.5200000000000003E-2</v>
      </c>
      <c r="S25" s="58">
        <v>1E-4</v>
      </c>
    </row>
    <row r="26" spans="1:19" ht="15" x14ac:dyDescent="0.4">
      <c r="A26" s="55" t="s">
        <v>1258</v>
      </c>
      <c r="B26" s="54">
        <v>45911</v>
      </c>
      <c r="C26" s="55" t="s">
        <v>83</v>
      </c>
      <c r="D26" s="55" t="s">
        <v>1227</v>
      </c>
      <c r="E26" s="55" t="s">
        <v>79</v>
      </c>
      <c r="F26" s="55">
        <v>660</v>
      </c>
      <c r="G26" s="55">
        <v>656</v>
      </c>
      <c r="H26" s="55">
        <v>4</v>
      </c>
      <c r="I26" s="55">
        <v>417</v>
      </c>
      <c r="J26" s="55">
        <v>176</v>
      </c>
      <c r="K26" s="55">
        <v>241</v>
      </c>
      <c r="L26" s="55">
        <v>35</v>
      </c>
      <c r="M26" s="55">
        <v>2</v>
      </c>
      <c r="N26" s="55">
        <v>0</v>
      </c>
      <c r="O26" s="58">
        <v>6.1000000000000004E-3</v>
      </c>
      <c r="P26" s="58">
        <v>0.3674</v>
      </c>
      <c r="Q26" s="58">
        <v>5.3400000000000003E-2</v>
      </c>
      <c r="R26" s="58">
        <v>0.1452</v>
      </c>
      <c r="S26" s="58">
        <v>0</v>
      </c>
    </row>
    <row r="27" spans="1:19" ht="15" x14ac:dyDescent="0.4">
      <c r="A27" s="55" t="s">
        <v>1259</v>
      </c>
      <c r="B27" s="54">
        <v>45916</v>
      </c>
      <c r="C27" s="55" t="s">
        <v>82</v>
      </c>
      <c r="D27" s="55" t="s">
        <v>1237</v>
      </c>
      <c r="E27" s="55" t="s">
        <v>79</v>
      </c>
      <c r="F27" s="55">
        <v>13571</v>
      </c>
      <c r="G27" s="55">
        <v>13496</v>
      </c>
      <c r="H27" s="55">
        <v>75</v>
      </c>
      <c r="I27" s="55">
        <v>7777</v>
      </c>
      <c r="J27" s="55">
        <v>3915</v>
      </c>
      <c r="K27" s="55">
        <v>3862</v>
      </c>
      <c r="L27" s="55">
        <v>275</v>
      </c>
      <c r="M27" s="55">
        <v>22</v>
      </c>
      <c r="N27" s="55">
        <v>2</v>
      </c>
      <c r="O27" s="58">
        <v>5.4999999999999997E-3</v>
      </c>
      <c r="P27" s="58">
        <v>0.28620000000000001</v>
      </c>
      <c r="Q27" s="58">
        <v>2.0400000000000001E-2</v>
      </c>
      <c r="R27" s="58">
        <v>7.1199999999999999E-2</v>
      </c>
      <c r="S27" s="58">
        <v>1E-4</v>
      </c>
    </row>
    <row r="28" spans="1:19" ht="15" x14ac:dyDescent="0.4">
      <c r="A28" s="55" t="s">
        <v>1260</v>
      </c>
      <c r="B28" s="54">
        <v>45918</v>
      </c>
      <c r="C28" s="55" t="s">
        <v>83</v>
      </c>
      <c r="D28" s="55" t="s">
        <v>1227</v>
      </c>
      <c r="E28" s="55" t="s">
        <v>79</v>
      </c>
      <c r="F28" s="55">
        <v>663</v>
      </c>
      <c r="G28" s="55">
        <v>660</v>
      </c>
      <c r="H28" s="55">
        <v>3</v>
      </c>
      <c r="I28" s="55">
        <v>428</v>
      </c>
      <c r="J28" s="55">
        <v>187</v>
      </c>
      <c r="K28" s="55">
        <v>241</v>
      </c>
      <c r="L28" s="55">
        <v>33</v>
      </c>
      <c r="M28" s="55">
        <v>2</v>
      </c>
      <c r="N28" s="55">
        <v>0</v>
      </c>
      <c r="O28" s="58">
        <v>4.4999999999999997E-3</v>
      </c>
      <c r="P28" s="58">
        <v>0.36520000000000002</v>
      </c>
      <c r="Q28" s="58">
        <v>0.05</v>
      </c>
      <c r="R28" s="58">
        <v>0.13689999999999999</v>
      </c>
      <c r="S28" s="58">
        <v>0</v>
      </c>
    </row>
    <row r="29" spans="1:19" ht="15" x14ac:dyDescent="0.4">
      <c r="A29" s="55" t="s">
        <v>1261</v>
      </c>
      <c r="B29" s="54">
        <v>45923</v>
      </c>
      <c r="C29" s="55" t="s">
        <v>82</v>
      </c>
      <c r="D29" s="55" t="s">
        <v>1231</v>
      </c>
      <c r="E29" s="55" t="s">
        <v>79</v>
      </c>
      <c r="F29" s="55">
        <v>13713</v>
      </c>
      <c r="G29" s="55">
        <v>13650</v>
      </c>
      <c r="H29" s="55">
        <v>63</v>
      </c>
      <c r="I29" s="55">
        <v>7638</v>
      </c>
      <c r="J29" s="55">
        <v>4033</v>
      </c>
      <c r="K29" s="55">
        <v>3605</v>
      </c>
      <c r="L29" s="55">
        <v>298</v>
      </c>
      <c r="M29" s="55">
        <v>23</v>
      </c>
      <c r="N29" s="55">
        <v>2</v>
      </c>
      <c r="O29" s="58">
        <v>4.5999999999999999E-3</v>
      </c>
      <c r="P29" s="58">
        <v>0.2641</v>
      </c>
      <c r="Q29" s="58">
        <v>2.18E-2</v>
      </c>
      <c r="R29" s="58">
        <v>8.2699999999999996E-2</v>
      </c>
      <c r="S29" s="58">
        <v>1E-4</v>
      </c>
    </row>
    <row r="30" spans="1:19" ht="15" x14ac:dyDescent="0.4">
      <c r="A30" s="55" t="s">
        <v>1262</v>
      </c>
      <c r="B30" s="54">
        <v>45925</v>
      </c>
      <c r="C30" s="55" t="s">
        <v>83</v>
      </c>
      <c r="D30" s="55" t="s">
        <v>1227</v>
      </c>
      <c r="E30" s="55" t="s">
        <v>79</v>
      </c>
      <c r="F30" s="55">
        <v>648</v>
      </c>
      <c r="G30" s="55">
        <v>645</v>
      </c>
      <c r="H30" s="55">
        <v>3</v>
      </c>
      <c r="I30" s="55">
        <v>408</v>
      </c>
      <c r="J30" s="55">
        <v>179</v>
      </c>
      <c r="K30" s="55">
        <v>229</v>
      </c>
      <c r="L30" s="55">
        <v>31</v>
      </c>
      <c r="M30" s="55">
        <v>1</v>
      </c>
      <c r="N30" s="55">
        <v>0</v>
      </c>
      <c r="O30" s="58">
        <v>4.5999999999999999E-3</v>
      </c>
      <c r="P30" s="58">
        <v>0.35499999999999998</v>
      </c>
      <c r="Q30" s="58">
        <v>4.8099999999999997E-2</v>
      </c>
      <c r="R30" s="58">
        <v>0.13539999999999999</v>
      </c>
      <c r="S30" s="58">
        <v>0</v>
      </c>
    </row>
    <row r="31" spans="1:19" ht="15" x14ac:dyDescent="0.4">
      <c r="A31" s="55" t="s">
        <v>1263</v>
      </c>
      <c r="B31" s="54">
        <v>45930</v>
      </c>
      <c r="C31" s="55" t="s">
        <v>82</v>
      </c>
      <c r="D31" s="55" t="s">
        <v>1234</v>
      </c>
      <c r="E31" s="55" t="s">
        <v>79</v>
      </c>
      <c r="F31" s="55">
        <v>13856</v>
      </c>
      <c r="G31" s="55">
        <v>13782</v>
      </c>
      <c r="H31" s="55">
        <v>74</v>
      </c>
      <c r="I31" s="55">
        <v>8640</v>
      </c>
      <c r="J31" s="55">
        <v>4617</v>
      </c>
      <c r="K31" s="55">
        <v>4023</v>
      </c>
      <c r="L31" s="55">
        <v>283</v>
      </c>
      <c r="M31" s="55">
        <v>28</v>
      </c>
      <c r="N31" s="55">
        <v>2</v>
      </c>
      <c r="O31" s="58">
        <v>5.3E-3</v>
      </c>
      <c r="P31" s="58">
        <v>0.29189999999999999</v>
      </c>
      <c r="Q31" s="58">
        <v>2.0500000000000001E-2</v>
      </c>
      <c r="R31" s="58">
        <v>7.0300000000000001E-2</v>
      </c>
      <c r="S31" s="58">
        <v>1E-4</v>
      </c>
    </row>
    <row r="32" spans="1:19" ht="15" x14ac:dyDescent="0.4">
      <c r="A32" s="55" t="s">
        <v>1264</v>
      </c>
      <c r="B32" s="54">
        <v>45932</v>
      </c>
      <c r="C32" s="55" t="s">
        <v>83</v>
      </c>
      <c r="D32" s="55" t="s">
        <v>1227</v>
      </c>
      <c r="E32" s="55" t="s">
        <v>79</v>
      </c>
      <c r="F32" s="55">
        <v>576</v>
      </c>
      <c r="G32" s="55">
        <v>573</v>
      </c>
      <c r="H32" s="55">
        <v>3</v>
      </c>
      <c r="I32" s="55">
        <v>388</v>
      </c>
      <c r="J32" s="55">
        <v>161</v>
      </c>
      <c r="K32" s="55">
        <v>227</v>
      </c>
      <c r="L32" s="55">
        <v>30</v>
      </c>
      <c r="M32" s="55">
        <v>1</v>
      </c>
      <c r="N32" s="55">
        <v>0</v>
      </c>
      <c r="O32" s="58">
        <v>5.1999999999999998E-3</v>
      </c>
      <c r="P32" s="58">
        <v>0.3962</v>
      </c>
      <c r="Q32" s="58">
        <v>5.2400000000000002E-2</v>
      </c>
      <c r="R32" s="58">
        <v>0.13220000000000001</v>
      </c>
      <c r="S32" s="58">
        <v>0</v>
      </c>
    </row>
    <row r="33" spans="1:19" ht="15" x14ac:dyDescent="0.4">
      <c r="A33" s="55" t="s">
        <v>1265</v>
      </c>
      <c r="B33" s="54">
        <v>45936</v>
      </c>
      <c r="C33" s="55" t="s">
        <v>85</v>
      </c>
      <c r="D33" s="55" t="s">
        <v>1266</v>
      </c>
      <c r="E33" s="55" t="s">
        <v>79</v>
      </c>
      <c r="F33" s="55">
        <v>13965</v>
      </c>
      <c r="G33" s="55">
        <v>13899</v>
      </c>
      <c r="H33" s="55">
        <v>66</v>
      </c>
      <c r="I33" s="55">
        <v>7615</v>
      </c>
      <c r="J33" s="55">
        <v>4034</v>
      </c>
      <c r="K33" s="55">
        <v>3581</v>
      </c>
      <c r="L33" s="55">
        <v>418</v>
      </c>
      <c r="M33" s="55">
        <v>20</v>
      </c>
      <c r="N33" s="55">
        <v>2</v>
      </c>
      <c r="O33" s="58">
        <v>4.7000000000000002E-3</v>
      </c>
      <c r="P33" s="58">
        <v>0.2576</v>
      </c>
      <c r="Q33" s="58">
        <v>3.0099999999999998E-2</v>
      </c>
      <c r="R33" s="58">
        <v>0.1167</v>
      </c>
      <c r="S33" s="58">
        <v>1E-4</v>
      </c>
    </row>
    <row r="34" spans="1:19" ht="15" x14ac:dyDescent="0.4">
      <c r="A34" s="55" t="s">
        <v>1267</v>
      </c>
      <c r="B34" s="54">
        <v>45937</v>
      </c>
      <c r="C34" s="55" t="s">
        <v>82</v>
      </c>
      <c r="D34" s="55" t="s">
        <v>1246</v>
      </c>
      <c r="E34" s="55" t="s">
        <v>79</v>
      </c>
      <c r="F34" s="55">
        <v>13966</v>
      </c>
      <c r="G34" s="55">
        <v>13897</v>
      </c>
      <c r="H34" s="55">
        <v>69</v>
      </c>
      <c r="I34" s="55">
        <v>7998</v>
      </c>
      <c r="J34" s="55">
        <v>4624</v>
      </c>
      <c r="K34" s="55">
        <v>3374</v>
      </c>
      <c r="L34" s="55">
        <v>278</v>
      </c>
      <c r="M34" s="55">
        <v>27</v>
      </c>
      <c r="N34" s="55">
        <v>2</v>
      </c>
      <c r="O34" s="58">
        <v>4.8999999999999998E-3</v>
      </c>
      <c r="P34" s="58">
        <v>0.24279999999999999</v>
      </c>
      <c r="Q34" s="58">
        <v>0.02</v>
      </c>
      <c r="R34" s="58">
        <v>8.2400000000000001E-2</v>
      </c>
      <c r="S34" s="58">
        <v>1E-4</v>
      </c>
    </row>
    <row r="35" spans="1:19" ht="15" x14ac:dyDescent="0.4">
      <c r="A35" s="55" t="s">
        <v>1268</v>
      </c>
      <c r="B35" s="54">
        <v>45939</v>
      </c>
      <c r="C35" s="55" t="s">
        <v>83</v>
      </c>
      <c r="D35" s="55" t="s">
        <v>1227</v>
      </c>
      <c r="E35" s="55" t="s">
        <v>79</v>
      </c>
      <c r="F35" s="55">
        <v>645</v>
      </c>
      <c r="G35" s="55">
        <v>642</v>
      </c>
      <c r="H35" s="55">
        <v>3</v>
      </c>
      <c r="I35" s="55">
        <v>414</v>
      </c>
      <c r="J35" s="55">
        <v>178</v>
      </c>
      <c r="K35" s="55">
        <v>236</v>
      </c>
      <c r="L35" s="55">
        <v>35</v>
      </c>
      <c r="M35" s="55">
        <v>1</v>
      </c>
      <c r="N35" s="55">
        <v>0</v>
      </c>
      <c r="O35" s="58">
        <v>4.7000000000000002E-3</v>
      </c>
      <c r="P35" s="58">
        <v>0.36759999999999998</v>
      </c>
      <c r="Q35" s="58">
        <v>5.45E-2</v>
      </c>
      <c r="R35" s="58">
        <v>0.14829999999999999</v>
      </c>
      <c r="S35" s="58">
        <v>0</v>
      </c>
    </row>
    <row r="36" spans="1:19" ht="15" x14ac:dyDescent="0.4">
      <c r="A36" s="55" t="s">
        <v>1269</v>
      </c>
      <c r="B36" s="54">
        <v>45944</v>
      </c>
      <c r="C36" s="55" t="s">
        <v>82</v>
      </c>
      <c r="D36" s="55" t="s">
        <v>1249</v>
      </c>
      <c r="E36" s="55" t="s">
        <v>79</v>
      </c>
      <c r="F36" s="55">
        <v>14136</v>
      </c>
      <c r="G36" s="55">
        <v>14055</v>
      </c>
      <c r="H36" s="55">
        <v>81</v>
      </c>
      <c r="I36" s="55">
        <v>7413</v>
      </c>
      <c r="J36" s="55">
        <v>3773</v>
      </c>
      <c r="K36" s="55">
        <v>3640</v>
      </c>
      <c r="L36" s="55">
        <v>279</v>
      </c>
      <c r="M36" s="55">
        <v>26</v>
      </c>
      <c r="N36" s="55">
        <v>2</v>
      </c>
      <c r="O36" s="58">
        <v>5.7000000000000002E-3</v>
      </c>
      <c r="P36" s="58">
        <v>0.25900000000000001</v>
      </c>
      <c r="Q36" s="58">
        <v>1.9900000000000001E-2</v>
      </c>
      <c r="R36" s="58">
        <v>7.6600000000000001E-2</v>
      </c>
      <c r="S36" s="58">
        <v>1E-4</v>
      </c>
    </row>
    <row r="37" spans="1:19" ht="15" x14ac:dyDescent="0.4">
      <c r="A37" s="55" t="s">
        <v>1270</v>
      </c>
      <c r="B37" s="54">
        <v>45946</v>
      </c>
      <c r="C37" s="55" t="s">
        <v>83</v>
      </c>
      <c r="D37" s="55" t="s">
        <v>1227</v>
      </c>
      <c r="E37" s="55" t="s">
        <v>79</v>
      </c>
      <c r="F37" s="55">
        <v>696</v>
      </c>
      <c r="G37" s="55">
        <v>693</v>
      </c>
      <c r="H37" s="55">
        <v>3</v>
      </c>
      <c r="I37" s="55">
        <v>414</v>
      </c>
      <c r="J37" s="55">
        <v>174</v>
      </c>
      <c r="K37" s="55">
        <v>240</v>
      </c>
      <c r="L37" s="55">
        <v>35</v>
      </c>
      <c r="M37" s="55">
        <v>1</v>
      </c>
      <c r="N37" s="55">
        <v>0</v>
      </c>
      <c r="O37" s="58">
        <v>4.3E-3</v>
      </c>
      <c r="P37" s="58">
        <v>0.3463</v>
      </c>
      <c r="Q37" s="58">
        <v>5.0500000000000003E-2</v>
      </c>
      <c r="R37" s="58">
        <v>0.14580000000000001</v>
      </c>
      <c r="S37" s="58">
        <v>0</v>
      </c>
    </row>
    <row r="38" spans="1:19" ht="15" x14ac:dyDescent="0.4">
      <c r="A38" s="55" t="s">
        <v>1271</v>
      </c>
      <c r="B38" s="54">
        <v>45951</v>
      </c>
      <c r="C38" s="55" t="s">
        <v>82</v>
      </c>
      <c r="D38" s="55" t="s">
        <v>1225</v>
      </c>
      <c r="E38" s="55" t="s">
        <v>79</v>
      </c>
      <c r="F38" s="55">
        <v>14269</v>
      </c>
      <c r="G38" s="55">
        <v>14194</v>
      </c>
      <c r="H38" s="55">
        <v>75</v>
      </c>
      <c r="I38" s="55">
        <v>8410</v>
      </c>
      <c r="J38" s="55">
        <v>4357</v>
      </c>
      <c r="K38" s="55">
        <v>4053</v>
      </c>
      <c r="L38" s="55">
        <v>300</v>
      </c>
      <c r="M38" s="55">
        <v>24</v>
      </c>
      <c r="N38" s="55">
        <v>2</v>
      </c>
      <c r="O38" s="58">
        <v>5.3E-3</v>
      </c>
      <c r="P38" s="58">
        <v>0.28549999999999998</v>
      </c>
      <c r="Q38" s="58">
        <v>2.1100000000000001E-2</v>
      </c>
      <c r="R38" s="58">
        <v>7.3999999999999996E-2</v>
      </c>
      <c r="S38" s="58">
        <v>1E-4</v>
      </c>
    </row>
    <row r="39" spans="1:19" ht="15" x14ac:dyDescent="0.4">
      <c r="A39" s="55" t="s">
        <v>1272</v>
      </c>
      <c r="B39" s="54">
        <v>45953</v>
      </c>
      <c r="C39" s="55" t="s">
        <v>83</v>
      </c>
      <c r="D39" s="55" t="s">
        <v>1227</v>
      </c>
      <c r="E39" s="55" t="s">
        <v>79</v>
      </c>
      <c r="F39" s="55">
        <v>618</v>
      </c>
      <c r="G39" s="55">
        <v>615</v>
      </c>
      <c r="H39" s="55">
        <v>3</v>
      </c>
      <c r="I39" s="55">
        <v>398</v>
      </c>
      <c r="J39" s="55">
        <v>163</v>
      </c>
      <c r="K39" s="55">
        <v>235</v>
      </c>
      <c r="L39" s="55">
        <v>32</v>
      </c>
      <c r="M39" s="55">
        <v>1</v>
      </c>
      <c r="N39" s="55">
        <v>0</v>
      </c>
      <c r="O39" s="58">
        <v>4.8999999999999998E-3</v>
      </c>
      <c r="P39" s="58">
        <v>0.3821</v>
      </c>
      <c r="Q39" s="58">
        <v>5.1999999999999998E-2</v>
      </c>
      <c r="R39" s="58">
        <v>0.13619999999999999</v>
      </c>
      <c r="S39" s="58">
        <v>0</v>
      </c>
    </row>
    <row r="40" spans="1:19" ht="15" x14ac:dyDescent="0.4">
      <c r="A40" s="55" t="s">
        <v>1273</v>
      </c>
      <c r="B40" s="54">
        <v>45958</v>
      </c>
      <c r="C40" s="55" t="s">
        <v>82</v>
      </c>
      <c r="D40" s="55" t="s">
        <v>1246</v>
      </c>
      <c r="E40" s="55" t="s">
        <v>79</v>
      </c>
      <c r="F40" s="55">
        <v>14408</v>
      </c>
      <c r="G40" s="55">
        <v>14335</v>
      </c>
      <c r="H40" s="55">
        <v>73</v>
      </c>
      <c r="I40" s="55">
        <v>7868</v>
      </c>
      <c r="J40" s="55">
        <v>4176</v>
      </c>
      <c r="K40" s="55">
        <v>3692</v>
      </c>
      <c r="L40" s="55">
        <v>321</v>
      </c>
      <c r="M40" s="55">
        <v>27</v>
      </c>
      <c r="N40" s="55">
        <v>2</v>
      </c>
      <c r="O40" s="58">
        <v>5.1000000000000004E-3</v>
      </c>
      <c r="P40" s="58">
        <v>0.2576</v>
      </c>
      <c r="Q40" s="58">
        <v>2.24E-2</v>
      </c>
      <c r="R40" s="58">
        <v>8.6900000000000005E-2</v>
      </c>
      <c r="S40" s="58">
        <v>1E-4</v>
      </c>
    </row>
    <row r="41" spans="1:19" ht="15" x14ac:dyDescent="0.4">
      <c r="A41" s="55" t="s">
        <v>1274</v>
      </c>
      <c r="B41" s="54">
        <v>45960</v>
      </c>
      <c r="C41" s="55" t="s">
        <v>83</v>
      </c>
      <c r="D41" s="55" t="s">
        <v>1227</v>
      </c>
      <c r="E41" s="55" t="s">
        <v>79</v>
      </c>
      <c r="F41" s="55">
        <v>612</v>
      </c>
      <c r="G41" s="55">
        <v>609</v>
      </c>
      <c r="H41" s="55">
        <v>3</v>
      </c>
      <c r="I41" s="55">
        <v>407</v>
      </c>
      <c r="J41" s="55">
        <v>174</v>
      </c>
      <c r="K41" s="55">
        <v>233</v>
      </c>
      <c r="L41" s="55">
        <v>32</v>
      </c>
      <c r="M41" s="55">
        <v>1</v>
      </c>
      <c r="N41" s="55">
        <v>0</v>
      </c>
      <c r="O41" s="58">
        <v>4.8999999999999998E-3</v>
      </c>
      <c r="P41" s="58">
        <v>0.3826</v>
      </c>
      <c r="Q41" s="58">
        <v>5.2499999999999998E-2</v>
      </c>
      <c r="R41" s="58">
        <v>0.13730000000000001</v>
      </c>
      <c r="S41" s="58">
        <v>0</v>
      </c>
    </row>
    <row r="42" spans="1:19" ht="15" x14ac:dyDescent="0.4">
      <c r="A42" s="55" t="s">
        <v>1275</v>
      </c>
      <c r="B42" s="54">
        <v>45965</v>
      </c>
      <c r="C42" s="55" t="s">
        <v>82</v>
      </c>
      <c r="D42" s="55" t="s">
        <v>1249</v>
      </c>
      <c r="E42" s="55" t="s">
        <v>79</v>
      </c>
      <c r="F42" s="55">
        <v>14548</v>
      </c>
      <c r="G42" s="55">
        <v>14480</v>
      </c>
      <c r="H42" s="55">
        <v>68</v>
      </c>
      <c r="I42" s="55">
        <v>8196</v>
      </c>
      <c r="J42" s="55">
        <v>4595</v>
      </c>
      <c r="K42" s="55">
        <v>3601</v>
      </c>
      <c r="L42" s="55">
        <v>370</v>
      </c>
      <c r="M42" s="55">
        <v>28</v>
      </c>
      <c r="N42" s="55">
        <v>2</v>
      </c>
      <c r="O42" s="58">
        <v>4.7000000000000002E-3</v>
      </c>
      <c r="P42" s="58">
        <v>0.2487</v>
      </c>
      <c r="Q42" s="58">
        <v>2.5600000000000001E-2</v>
      </c>
      <c r="R42" s="58">
        <v>0.1027</v>
      </c>
      <c r="S42" s="58">
        <v>1E-4</v>
      </c>
    </row>
    <row r="43" spans="1:19" ht="15" x14ac:dyDescent="0.4">
      <c r="A43" s="55" t="s">
        <v>1276</v>
      </c>
      <c r="B43" s="54">
        <v>45967</v>
      </c>
      <c r="C43" s="55" t="s">
        <v>83</v>
      </c>
      <c r="D43" s="55" t="s">
        <v>1227</v>
      </c>
      <c r="E43" s="55" t="s">
        <v>79</v>
      </c>
      <c r="F43" s="55">
        <v>597</v>
      </c>
      <c r="G43" s="55">
        <v>594</v>
      </c>
      <c r="H43" s="55">
        <v>3</v>
      </c>
      <c r="I43" s="55">
        <v>387</v>
      </c>
      <c r="J43" s="55">
        <v>162</v>
      </c>
      <c r="K43" s="55">
        <v>225</v>
      </c>
      <c r="L43" s="55">
        <v>28</v>
      </c>
      <c r="M43" s="55">
        <v>1</v>
      </c>
      <c r="N43" s="55">
        <v>0</v>
      </c>
      <c r="O43" s="58">
        <v>5.0000000000000001E-3</v>
      </c>
      <c r="P43" s="58">
        <v>0.37880000000000003</v>
      </c>
      <c r="Q43" s="58">
        <v>4.7100000000000003E-2</v>
      </c>
      <c r="R43" s="58">
        <v>0.1244</v>
      </c>
      <c r="S43" s="58">
        <v>0</v>
      </c>
    </row>
    <row r="44" spans="1:19" ht="15" x14ac:dyDescent="0.4">
      <c r="A44" s="55" t="s">
        <v>1277</v>
      </c>
      <c r="B44" s="54">
        <v>45971</v>
      </c>
      <c r="C44" s="55" t="s">
        <v>85</v>
      </c>
      <c r="D44" s="55" t="s">
        <v>1278</v>
      </c>
      <c r="E44" s="55" t="s">
        <v>79</v>
      </c>
      <c r="F44" s="55">
        <v>14658</v>
      </c>
      <c r="G44" s="55">
        <v>14577</v>
      </c>
      <c r="H44" s="55">
        <v>81</v>
      </c>
      <c r="I44" s="55">
        <v>8050</v>
      </c>
      <c r="J44" s="55">
        <v>4299</v>
      </c>
      <c r="K44" s="55">
        <v>3751</v>
      </c>
      <c r="L44" s="55">
        <v>390</v>
      </c>
      <c r="M44" s="55">
        <v>21</v>
      </c>
      <c r="N44" s="55">
        <v>2</v>
      </c>
      <c r="O44" s="58">
        <v>5.4999999999999997E-3</v>
      </c>
      <c r="P44" s="58">
        <v>0.25729999999999997</v>
      </c>
      <c r="Q44" s="58">
        <v>2.6800000000000001E-2</v>
      </c>
      <c r="R44" s="58">
        <v>0.104</v>
      </c>
      <c r="S44" s="58">
        <v>1E-4</v>
      </c>
    </row>
    <row r="45" spans="1:19" ht="15" x14ac:dyDescent="0.4">
      <c r="A45" s="55" t="s">
        <v>1279</v>
      </c>
      <c r="B45" s="54">
        <v>45972</v>
      </c>
      <c r="C45" s="55" t="s">
        <v>82</v>
      </c>
      <c r="D45" s="55" t="s">
        <v>1237</v>
      </c>
      <c r="E45" s="55" t="s">
        <v>79</v>
      </c>
      <c r="F45" s="55">
        <v>14657</v>
      </c>
      <c r="G45" s="55">
        <v>14577</v>
      </c>
      <c r="H45" s="55">
        <v>80</v>
      </c>
      <c r="I45" s="55">
        <v>8350</v>
      </c>
      <c r="J45" s="55">
        <v>4176</v>
      </c>
      <c r="K45" s="55">
        <v>4174</v>
      </c>
      <c r="L45" s="55">
        <v>272</v>
      </c>
      <c r="M45" s="55">
        <v>26</v>
      </c>
      <c r="N45" s="55">
        <v>2</v>
      </c>
      <c r="O45" s="58">
        <v>5.4999999999999997E-3</v>
      </c>
      <c r="P45" s="58">
        <v>0.2863</v>
      </c>
      <c r="Q45" s="58">
        <v>1.8700000000000001E-2</v>
      </c>
      <c r="R45" s="58">
        <v>6.5199999999999994E-2</v>
      </c>
      <c r="S45" s="58">
        <v>1E-4</v>
      </c>
    </row>
    <row r="46" spans="1:19" ht="15" x14ac:dyDescent="0.4">
      <c r="A46" s="55" t="s">
        <v>1280</v>
      </c>
      <c r="B46" s="54">
        <v>45974</v>
      </c>
      <c r="C46" s="55" t="s">
        <v>83</v>
      </c>
      <c r="D46" s="55" t="s">
        <v>1227</v>
      </c>
      <c r="E46" s="55" t="s">
        <v>79</v>
      </c>
      <c r="F46" s="55">
        <v>645</v>
      </c>
      <c r="G46" s="55">
        <v>642</v>
      </c>
      <c r="H46" s="55">
        <v>3</v>
      </c>
      <c r="I46" s="55">
        <v>412</v>
      </c>
      <c r="J46" s="55">
        <v>167</v>
      </c>
      <c r="K46" s="55">
        <v>245</v>
      </c>
      <c r="L46" s="55">
        <v>34</v>
      </c>
      <c r="M46" s="55">
        <v>1</v>
      </c>
      <c r="N46" s="55">
        <v>0</v>
      </c>
      <c r="O46" s="58">
        <v>4.7000000000000002E-3</v>
      </c>
      <c r="P46" s="58">
        <v>0.38159999999999999</v>
      </c>
      <c r="Q46" s="58">
        <v>5.2999999999999999E-2</v>
      </c>
      <c r="R46" s="58">
        <v>0.13880000000000001</v>
      </c>
      <c r="S46" s="58">
        <v>0</v>
      </c>
    </row>
    <row r="47" spans="1:19" ht="15" x14ac:dyDescent="0.4">
      <c r="A47" s="55" t="s">
        <v>1281</v>
      </c>
      <c r="B47" s="54">
        <v>45979</v>
      </c>
      <c r="C47" s="55" t="s">
        <v>82</v>
      </c>
      <c r="D47" s="55" t="s">
        <v>1231</v>
      </c>
      <c r="E47" s="55" t="s">
        <v>79</v>
      </c>
      <c r="F47" s="55">
        <v>14817</v>
      </c>
      <c r="G47" s="55">
        <v>14741</v>
      </c>
      <c r="H47" s="55">
        <v>76</v>
      </c>
      <c r="I47" s="55">
        <v>8669</v>
      </c>
      <c r="J47" s="55">
        <v>4949</v>
      </c>
      <c r="K47" s="55">
        <v>3720</v>
      </c>
      <c r="L47" s="55">
        <v>283</v>
      </c>
      <c r="M47" s="55">
        <v>25</v>
      </c>
      <c r="N47" s="55">
        <v>2</v>
      </c>
      <c r="O47" s="58">
        <v>5.1000000000000004E-3</v>
      </c>
      <c r="P47" s="58">
        <v>0.25240000000000001</v>
      </c>
      <c r="Q47" s="58">
        <v>1.9199999999999998E-2</v>
      </c>
      <c r="R47" s="58">
        <v>7.6100000000000001E-2</v>
      </c>
      <c r="S47" s="58">
        <v>1E-4</v>
      </c>
    </row>
    <row r="48" spans="1:19" ht="15" x14ac:dyDescent="0.4">
      <c r="A48" s="55" t="s">
        <v>1282</v>
      </c>
      <c r="B48" s="54">
        <v>45981</v>
      </c>
      <c r="C48" s="55" t="s">
        <v>83</v>
      </c>
      <c r="D48" s="55" t="s">
        <v>1227</v>
      </c>
      <c r="E48" s="55" t="s">
        <v>79</v>
      </c>
      <c r="F48" s="55">
        <v>615</v>
      </c>
      <c r="G48" s="55">
        <v>612</v>
      </c>
      <c r="H48" s="55">
        <v>3</v>
      </c>
      <c r="I48" s="55">
        <v>404</v>
      </c>
      <c r="J48" s="55">
        <v>162</v>
      </c>
      <c r="K48" s="55">
        <v>242</v>
      </c>
      <c r="L48" s="55">
        <v>29</v>
      </c>
      <c r="M48" s="55">
        <v>1</v>
      </c>
      <c r="N48" s="55">
        <v>0</v>
      </c>
      <c r="O48" s="58">
        <v>4.8999999999999998E-3</v>
      </c>
      <c r="P48" s="58">
        <v>0.39539999999999997</v>
      </c>
      <c r="Q48" s="58">
        <v>4.7399999999999998E-2</v>
      </c>
      <c r="R48" s="58">
        <v>0.1198</v>
      </c>
      <c r="S48" s="58">
        <v>0</v>
      </c>
    </row>
    <row r="49" spans="1:19" ht="15" x14ac:dyDescent="0.4">
      <c r="A49" s="55" t="s">
        <v>1283</v>
      </c>
      <c r="B49" s="54">
        <v>45986</v>
      </c>
      <c r="C49" s="55" t="s">
        <v>82</v>
      </c>
      <c r="D49" s="55" t="s">
        <v>1234</v>
      </c>
      <c r="E49" s="55" t="s">
        <v>79</v>
      </c>
      <c r="F49" s="55">
        <v>14926</v>
      </c>
      <c r="G49" s="55">
        <v>14849</v>
      </c>
      <c r="H49" s="55">
        <v>77</v>
      </c>
      <c r="I49" s="55">
        <v>8340</v>
      </c>
      <c r="J49" s="55">
        <v>4691</v>
      </c>
      <c r="K49" s="55">
        <v>3649</v>
      </c>
      <c r="L49" s="55">
        <v>314</v>
      </c>
      <c r="M49" s="55">
        <v>28</v>
      </c>
      <c r="N49" s="55">
        <v>2</v>
      </c>
      <c r="O49" s="58">
        <v>5.1999999999999998E-3</v>
      </c>
      <c r="P49" s="58">
        <v>0.2457</v>
      </c>
      <c r="Q49" s="58">
        <v>2.1100000000000001E-2</v>
      </c>
      <c r="R49" s="58">
        <v>8.6099999999999996E-2</v>
      </c>
      <c r="S49" s="58">
        <v>1E-4</v>
      </c>
    </row>
    <row r="50" spans="1:19" ht="15" x14ac:dyDescent="0.4">
      <c r="A50" s="55" t="s">
        <v>1284</v>
      </c>
      <c r="B50" s="54">
        <v>45988</v>
      </c>
      <c r="C50" s="55" t="s">
        <v>83</v>
      </c>
      <c r="D50" s="55" t="s">
        <v>1227</v>
      </c>
      <c r="E50" s="55" t="s">
        <v>79</v>
      </c>
      <c r="F50" s="55">
        <v>513</v>
      </c>
      <c r="G50" s="55">
        <v>510</v>
      </c>
      <c r="H50" s="55">
        <v>3</v>
      </c>
      <c r="I50" s="55">
        <v>323</v>
      </c>
      <c r="J50" s="55">
        <v>138</v>
      </c>
      <c r="K50" s="55">
        <v>185</v>
      </c>
      <c r="L50" s="55">
        <v>28</v>
      </c>
      <c r="M50" s="55">
        <v>1</v>
      </c>
      <c r="N50" s="55">
        <v>0</v>
      </c>
      <c r="O50" s="58">
        <v>5.7999999999999996E-3</v>
      </c>
      <c r="P50" s="58">
        <v>0.36270000000000002</v>
      </c>
      <c r="Q50" s="58">
        <v>5.4899999999999997E-2</v>
      </c>
      <c r="R50" s="58">
        <v>0.15140000000000001</v>
      </c>
      <c r="S50" s="58">
        <v>0</v>
      </c>
    </row>
    <row r="51" spans="1:19" ht="15" x14ac:dyDescent="0.4">
      <c r="A51" s="55" t="s">
        <v>1285</v>
      </c>
      <c r="B51" s="54">
        <v>45993</v>
      </c>
      <c r="C51" s="55" t="s">
        <v>82</v>
      </c>
      <c r="D51" s="55" t="s">
        <v>1237</v>
      </c>
      <c r="E51" s="55" t="s">
        <v>79</v>
      </c>
      <c r="F51" s="55">
        <v>15049</v>
      </c>
      <c r="G51" s="55">
        <v>14979</v>
      </c>
      <c r="H51" s="55">
        <v>70</v>
      </c>
      <c r="I51" s="55">
        <v>8632</v>
      </c>
      <c r="J51" s="55">
        <v>4898</v>
      </c>
      <c r="K51" s="55">
        <v>3734</v>
      </c>
      <c r="L51" s="55">
        <v>307</v>
      </c>
      <c r="M51" s="55">
        <v>29</v>
      </c>
      <c r="N51" s="55">
        <v>2</v>
      </c>
      <c r="O51" s="58">
        <v>4.7000000000000002E-3</v>
      </c>
      <c r="P51" s="58">
        <v>0.24929999999999999</v>
      </c>
      <c r="Q51" s="58">
        <v>2.0500000000000001E-2</v>
      </c>
      <c r="R51" s="58">
        <v>8.2199999999999995E-2</v>
      </c>
      <c r="S51" s="58">
        <v>1E-4</v>
      </c>
    </row>
    <row r="52" spans="1:19" ht="15" x14ac:dyDescent="0.4">
      <c r="A52" s="55" t="s">
        <v>1286</v>
      </c>
      <c r="B52" s="54">
        <v>45995</v>
      </c>
      <c r="C52" s="55" t="s">
        <v>83</v>
      </c>
      <c r="D52" s="55" t="s">
        <v>1227</v>
      </c>
      <c r="E52" s="55" t="s">
        <v>79</v>
      </c>
      <c r="F52" s="55">
        <v>636</v>
      </c>
      <c r="G52" s="55">
        <v>633</v>
      </c>
      <c r="H52" s="55">
        <v>3</v>
      </c>
      <c r="I52" s="55">
        <v>387</v>
      </c>
      <c r="J52" s="55">
        <v>159</v>
      </c>
      <c r="K52" s="55">
        <v>228</v>
      </c>
      <c r="L52" s="55">
        <v>33</v>
      </c>
      <c r="M52" s="55">
        <v>1</v>
      </c>
      <c r="N52" s="55">
        <v>0</v>
      </c>
      <c r="O52" s="58">
        <v>4.7000000000000002E-3</v>
      </c>
      <c r="P52" s="58">
        <v>0.36020000000000002</v>
      </c>
      <c r="Q52" s="58">
        <v>5.21E-2</v>
      </c>
      <c r="R52" s="58">
        <v>0.1447</v>
      </c>
      <c r="S52" s="58">
        <v>0</v>
      </c>
    </row>
    <row r="53" spans="1:19" ht="15" x14ac:dyDescent="0.4">
      <c r="A53" s="55" t="s">
        <v>1287</v>
      </c>
      <c r="B53" s="54">
        <v>45999</v>
      </c>
      <c r="C53" s="55" t="s">
        <v>85</v>
      </c>
      <c r="D53" s="55" t="s">
        <v>1288</v>
      </c>
      <c r="E53" s="55" t="s">
        <v>79</v>
      </c>
      <c r="F53" s="55">
        <v>15159</v>
      </c>
      <c r="G53" s="55">
        <v>15081</v>
      </c>
      <c r="H53" s="55">
        <v>78</v>
      </c>
      <c r="I53" s="55">
        <v>7759</v>
      </c>
      <c r="J53" s="55">
        <v>4220</v>
      </c>
      <c r="K53" s="55">
        <v>3539</v>
      </c>
      <c r="L53" s="55">
        <v>422</v>
      </c>
      <c r="M53" s="55">
        <v>23</v>
      </c>
      <c r="N53" s="55">
        <v>2</v>
      </c>
      <c r="O53" s="58">
        <v>5.1000000000000004E-3</v>
      </c>
      <c r="P53" s="58">
        <v>0.23469999999999999</v>
      </c>
      <c r="Q53" s="58">
        <v>2.8000000000000001E-2</v>
      </c>
      <c r="R53" s="58">
        <v>0.1192</v>
      </c>
      <c r="S53" s="58">
        <v>1E-4</v>
      </c>
    </row>
    <row r="54" spans="1:19" ht="15" x14ac:dyDescent="0.4">
      <c r="A54" s="55" t="s">
        <v>1289</v>
      </c>
      <c r="B54" s="54">
        <v>46000</v>
      </c>
      <c r="C54" s="55" t="s">
        <v>82</v>
      </c>
      <c r="D54" s="55" t="s">
        <v>1249</v>
      </c>
      <c r="E54" s="55" t="s">
        <v>79</v>
      </c>
      <c r="F54" s="55">
        <v>15157</v>
      </c>
      <c r="G54" s="55">
        <v>15077</v>
      </c>
      <c r="H54" s="55">
        <v>80</v>
      </c>
      <c r="I54" s="55">
        <v>8493</v>
      </c>
      <c r="J54" s="55">
        <v>4524</v>
      </c>
      <c r="K54" s="55">
        <v>3969</v>
      </c>
      <c r="L54" s="55">
        <v>304</v>
      </c>
      <c r="M54" s="55">
        <v>29</v>
      </c>
      <c r="N54" s="55">
        <v>2</v>
      </c>
      <c r="O54" s="58">
        <v>5.3E-3</v>
      </c>
      <c r="P54" s="58">
        <v>0.26319999999999999</v>
      </c>
      <c r="Q54" s="58">
        <v>2.0199999999999999E-2</v>
      </c>
      <c r="R54" s="58">
        <v>7.6600000000000001E-2</v>
      </c>
      <c r="S54" s="58">
        <v>1E-4</v>
      </c>
    </row>
    <row r="55" spans="1:19" ht="15" x14ac:dyDescent="0.4">
      <c r="A55" s="55" t="s">
        <v>1290</v>
      </c>
      <c r="B55" s="54">
        <v>46002</v>
      </c>
      <c r="C55" s="55" t="s">
        <v>83</v>
      </c>
      <c r="D55" s="55" t="s">
        <v>1227</v>
      </c>
      <c r="E55" s="55" t="s">
        <v>79</v>
      </c>
      <c r="F55" s="55">
        <v>516</v>
      </c>
      <c r="G55" s="55">
        <v>514</v>
      </c>
      <c r="H55" s="55">
        <v>2</v>
      </c>
      <c r="I55" s="55">
        <v>324</v>
      </c>
      <c r="J55" s="55">
        <v>132</v>
      </c>
      <c r="K55" s="55">
        <v>192</v>
      </c>
      <c r="L55" s="55">
        <v>25</v>
      </c>
      <c r="M55" s="55">
        <v>1</v>
      </c>
      <c r="N55" s="55">
        <v>0</v>
      </c>
      <c r="O55" s="58">
        <v>3.8999999999999998E-3</v>
      </c>
      <c r="P55" s="58">
        <v>0.3735</v>
      </c>
      <c r="Q55" s="58">
        <v>4.8599999999999997E-2</v>
      </c>
      <c r="R55" s="58">
        <v>0.13020000000000001</v>
      </c>
      <c r="S55" s="58">
        <v>0</v>
      </c>
    </row>
    <row r="56" spans="1:19" ht="15" x14ac:dyDescent="0.4">
      <c r="A56" s="55" t="s">
        <v>1291</v>
      </c>
      <c r="B56" s="54">
        <v>46007</v>
      </c>
      <c r="C56" s="55" t="s">
        <v>82</v>
      </c>
      <c r="D56" s="55" t="s">
        <v>1225</v>
      </c>
      <c r="E56" s="55" t="s">
        <v>79</v>
      </c>
      <c r="F56" s="55">
        <v>15282</v>
      </c>
      <c r="G56" s="55">
        <v>15208</v>
      </c>
      <c r="H56" s="55">
        <v>74</v>
      </c>
      <c r="I56" s="55">
        <v>8709</v>
      </c>
      <c r="J56" s="55">
        <v>4814</v>
      </c>
      <c r="K56" s="55">
        <v>3895</v>
      </c>
      <c r="L56" s="55">
        <v>302</v>
      </c>
      <c r="M56" s="55">
        <v>26</v>
      </c>
      <c r="N56" s="55">
        <v>2</v>
      </c>
      <c r="O56" s="58">
        <v>4.7999999999999996E-3</v>
      </c>
      <c r="P56" s="58">
        <v>0.25609999999999999</v>
      </c>
      <c r="Q56" s="58">
        <v>1.9900000000000001E-2</v>
      </c>
      <c r="R56" s="58">
        <v>7.7499999999999999E-2</v>
      </c>
      <c r="S56" s="58">
        <v>1E-4</v>
      </c>
    </row>
    <row r="57" spans="1:19" ht="15" x14ac:dyDescent="0.4">
      <c r="A57" s="55" t="s">
        <v>1292</v>
      </c>
      <c r="B57" s="54">
        <v>46009</v>
      </c>
      <c r="C57" s="55" t="s">
        <v>83</v>
      </c>
      <c r="D57" s="55" t="s">
        <v>1227</v>
      </c>
      <c r="E57" s="55" t="s">
        <v>79</v>
      </c>
      <c r="F57" s="55">
        <v>645</v>
      </c>
      <c r="G57" s="55">
        <v>642</v>
      </c>
      <c r="H57" s="55">
        <v>3</v>
      </c>
      <c r="I57" s="55">
        <v>448</v>
      </c>
      <c r="J57" s="55">
        <v>183</v>
      </c>
      <c r="K57" s="55">
        <v>265</v>
      </c>
      <c r="L57" s="55">
        <v>32</v>
      </c>
      <c r="M57" s="55">
        <v>1</v>
      </c>
      <c r="N57" s="55">
        <v>0</v>
      </c>
      <c r="O57" s="58">
        <v>4.7000000000000002E-3</v>
      </c>
      <c r="P57" s="58">
        <v>0.4128</v>
      </c>
      <c r="Q57" s="58">
        <v>4.9799999999999997E-2</v>
      </c>
      <c r="R57" s="58">
        <v>0.1208</v>
      </c>
      <c r="S57" s="58">
        <v>0</v>
      </c>
    </row>
    <row r="58" spans="1:19" ht="15" x14ac:dyDescent="0.4">
      <c r="A58" s="55" t="s">
        <v>1293</v>
      </c>
      <c r="B58" s="54">
        <v>46014</v>
      </c>
      <c r="C58" s="55" t="s">
        <v>82</v>
      </c>
      <c r="D58" s="55" t="s">
        <v>1246</v>
      </c>
      <c r="E58" s="55" t="s">
        <v>79</v>
      </c>
      <c r="F58" s="55">
        <v>15405</v>
      </c>
      <c r="G58" s="55">
        <v>15333</v>
      </c>
      <c r="H58" s="55">
        <v>72</v>
      </c>
      <c r="I58" s="55">
        <v>8162</v>
      </c>
      <c r="J58" s="55">
        <v>4168</v>
      </c>
      <c r="K58" s="55">
        <v>3994</v>
      </c>
      <c r="L58" s="55">
        <v>356</v>
      </c>
      <c r="M58" s="55">
        <v>28</v>
      </c>
      <c r="N58" s="55">
        <v>2</v>
      </c>
      <c r="O58" s="58">
        <v>4.7000000000000002E-3</v>
      </c>
      <c r="P58" s="58">
        <v>0.26050000000000001</v>
      </c>
      <c r="Q58" s="58">
        <v>2.3199999999999998E-2</v>
      </c>
      <c r="R58" s="58">
        <v>8.9099999999999999E-2</v>
      </c>
      <c r="S58" s="58">
        <v>1E-4</v>
      </c>
    </row>
    <row r="59" spans="1:19" ht="15" x14ac:dyDescent="0.4">
      <c r="A59" s="55" t="s">
        <v>1294</v>
      </c>
      <c r="B59" s="54">
        <v>46016</v>
      </c>
      <c r="C59" s="55" t="s">
        <v>83</v>
      </c>
      <c r="D59" s="55" t="s">
        <v>1227</v>
      </c>
      <c r="E59" s="55" t="s">
        <v>79</v>
      </c>
      <c r="F59" s="55">
        <v>456</v>
      </c>
      <c r="G59" s="55">
        <v>454</v>
      </c>
      <c r="H59" s="55">
        <v>2</v>
      </c>
      <c r="I59" s="55">
        <v>308</v>
      </c>
      <c r="J59" s="55">
        <v>136</v>
      </c>
      <c r="K59" s="55">
        <v>172</v>
      </c>
      <c r="L59" s="55">
        <v>23</v>
      </c>
      <c r="M59" s="55">
        <v>1</v>
      </c>
      <c r="N59" s="55">
        <v>0</v>
      </c>
      <c r="O59" s="58">
        <v>4.4000000000000003E-3</v>
      </c>
      <c r="P59" s="58">
        <v>0.37890000000000001</v>
      </c>
      <c r="Q59" s="58">
        <v>5.0700000000000002E-2</v>
      </c>
      <c r="R59" s="58">
        <v>0.13370000000000001</v>
      </c>
      <c r="S59" s="58">
        <v>0</v>
      </c>
    </row>
    <row r="60" spans="1:19" ht="15" x14ac:dyDescent="0.4">
      <c r="A60" s="55" t="s">
        <v>1295</v>
      </c>
      <c r="B60" s="54">
        <v>46021</v>
      </c>
      <c r="C60" s="55" t="s">
        <v>82</v>
      </c>
      <c r="D60" s="55" t="s">
        <v>1249</v>
      </c>
      <c r="E60" s="55" t="s">
        <v>79</v>
      </c>
      <c r="F60" s="55">
        <v>15479</v>
      </c>
      <c r="G60" s="55">
        <v>15400</v>
      </c>
      <c r="H60" s="55">
        <v>79</v>
      </c>
      <c r="I60" s="55">
        <v>9266</v>
      </c>
      <c r="J60" s="55">
        <v>4661</v>
      </c>
      <c r="K60" s="55">
        <v>4605</v>
      </c>
      <c r="L60" s="55">
        <v>322</v>
      </c>
      <c r="M60" s="55">
        <v>28</v>
      </c>
      <c r="N60" s="55">
        <v>2</v>
      </c>
      <c r="O60" s="58">
        <v>5.1000000000000004E-3</v>
      </c>
      <c r="P60" s="58">
        <v>0.29899999999999999</v>
      </c>
      <c r="Q60" s="58">
        <v>2.0899999999999998E-2</v>
      </c>
      <c r="R60" s="58">
        <v>6.9900000000000004E-2</v>
      </c>
      <c r="S60" s="58">
        <v>1E-4</v>
      </c>
    </row>
    <row r="61" spans="1:19" ht="15" x14ac:dyDescent="0.4">
      <c r="A61" s="55" t="s">
        <v>1296</v>
      </c>
      <c r="B61" s="54">
        <v>46023</v>
      </c>
      <c r="C61" s="55" t="s">
        <v>83</v>
      </c>
      <c r="D61" s="55" t="s">
        <v>1227</v>
      </c>
      <c r="E61" s="55" t="s">
        <v>79</v>
      </c>
      <c r="F61" s="55">
        <v>402</v>
      </c>
      <c r="G61" s="55">
        <v>400</v>
      </c>
      <c r="H61" s="55">
        <v>2</v>
      </c>
      <c r="I61" s="55">
        <v>267</v>
      </c>
      <c r="J61" s="55">
        <v>118</v>
      </c>
      <c r="K61" s="55">
        <v>149</v>
      </c>
      <c r="L61" s="55">
        <v>21</v>
      </c>
      <c r="M61" s="55">
        <v>1</v>
      </c>
      <c r="N61" s="55">
        <v>0</v>
      </c>
      <c r="O61" s="58">
        <v>5.0000000000000001E-3</v>
      </c>
      <c r="P61" s="58">
        <v>0.3725</v>
      </c>
      <c r="Q61" s="58">
        <v>5.2499999999999998E-2</v>
      </c>
      <c r="R61" s="58">
        <v>0.1409</v>
      </c>
      <c r="S61" s="58">
        <v>0</v>
      </c>
    </row>
    <row r="62" spans="1:19" ht="15" x14ac:dyDescent="0.4">
      <c r="A62" s="55" t="s">
        <v>1297</v>
      </c>
      <c r="B62" s="54">
        <v>46027</v>
      </c>
      <c r="C62" s="55" t="s">
        <v>85</v>
      </c>
      <c r="D62" s="55" t="s">
        <v>1298</v>
      </c>
      <c r="E62" s="55" t="s">
        <v>79</v>
      </c>
      <c r="F62" s="55">
        <v>15560</v>
      </c>
      <c r="G62" s="55">
        <v>15483</v>
      </c>
      <c r="H62" s="55">
        <v>77</v>
      </c>
      <c r="I62" s="55">
        <v>8535</v>
      </c>
      <c r="J62" s="55">
        <v>4666</v>
      </c>
      <c r="K62" s="55">
        <v>3869</v>
      </c>
      <c r="L62" s="55">
        <v>469</v>
      </c>
      <c r="M62" s="55">
        <v>24</v>
      </c>
      <c r="N62" s="55">
        <v>3</v>
      </c>
      <c r="O62" s="58">
        <v>4.8999999999999998E-3</v>
      </c>
      <c r="P62" s="58">
        <v>0.24990000000000001</v>
      </c>
      <c r="Q62" s="58">
        <v>3.0300000000000001E-2</v>
      </c>
      <c r="R62" s="58">
        <v>0.1212</v>
      </c>
      <c r="S62" s="58">
        <v>2.0000000000000001E-4</v>
      </c>
    </row>
    <row r="63" spans="1:19" ht="15" x14ac:dyDescent="0.4">
      <c r="A63" s="55" t="s">
        <v>1299</v>
      </c>
      <c r="B63" s="54">
        <v>46028</v>
      </c>
      <c r="C63" s="55" t="s">
        <v>82</v>
      </c>
      <c r="D63" s="55" t="s">
        <v>1237</v>
      </c>
      <c r="E63" s="55" t="s">
        <v>79</v>
      </c>
      <c r="F63" s="55">
        <v>15571</v>
      </c>
      <c r="G63" s="55">
        <v>15496</v>
      </c>
      <c r="H63" s="55">
        <v>75</v>
      </c>
      <c r="I63" s="55">
        <v>9600</v>
      </c>
      <c r="J63" s="55">
        <v>4844</v>
      </c>
      <c r="K63" s="55">
        <v>4756</v>
      </c>
      <c r="L63" s="55">
        <v>331</v>
      </c>
      <c r="M63" s="55">
        <v>30</v>
      </c>
      <c r="N63" s="55">
        <v>2</v>
      </c>
      <c r="O63" s="58">
        <v>4.7999999999999996E-3</v>
      </c>
      <c r="P63" s="58">
        <v>0.30690000000000001</v>
      </c>
      <c r="Q63" s="58">
        <v>2.1399999999999999E-2</v>
      </c>
      <c r="R63" s="58">
        <v>6.9599999999999995E-2</v>
      </c>
      <c r="S63" s="58">
        <v>1E-4</v>
      </c>
    </row>
    <row r="64" spans="1:19" ht="15" x14ac:dyDescent="0.4">
      <c r="A64" s="55" t="s">
        <v>1300</v>
      </c>
      <c r="B64" s="54">
        <v>46030</v>
      </c>
      <c r="C64" s="55" t="s">
        <v>83</v>
      </c>
      <c r="D64" s="55" t="s">
        <v>1227</v>
      </c>
      <c r="E64" s="55" t="s">
        <v>79</v>
      </c>
      <c r="F64" s="55">
        <v>621</v>
      </c>
      <c r="G64" s="55">
        <v>618</v>
      </c>
      <c r="H64" s="55">
        <v>3</v>
      </c>
      <c r="I64" s="55">
        <v>398</v>
      </c>
      <c r="J64" s="55">
        <v>185</v>
      </c>
      <c r="K64" s="55">
        <v>213</v>
      </c>
      <c r="L64" s="55">
        <v>32</v>
      </c>
      <c r="M64" s="55">
        <v>2</v>
      </c>
      <c r="N64" s="55">
        <v>0</v>
      </c>
      <c r="O64" s="58">
        <v>4.7999999999999996E-3</v>
      </c>
      <c r="P64" s="58">
        <v>0.34470000000000001</v>
      </c>
      <c r="Q64" s="58">
        <v>5.1799999999999999E-2</v>
      </c>
      <c r="R64" s="58">
        <v>0.1502</v>
      </c>
      <c r="S64" s="58">
        <v>0</v>
      </c>
    </row>
    <row r="65" spans="1:19" ht="15" x14ac:dyDescent="0.4">
      <c r="A65" s="55" t="s">
        <v>1301</v>
      </c>
      <c r="B65" s="54">
        <v>46035</v>
      </c>
      <c r="C65" s="55" t="s">
        <v>82</v>
      </c>
      <c r="D65" s="55" t="s">
        <v>1231</v>
      </c>
      <c r="E65" s="55" t="s">
        <v>79</v>
      </c>
      <c r="F65" s="55">
        <v>15745</v>
      </c>
      <c r="G65" s="55">
        <v>15671</v>
      </c>
      <c r="H65" s="55">
        <v>74</v>
      </c>
      <c r="I65" s="55">
        <v>8930</v>
      </c>
      <c r="J65" s="55">
        <v>4602</v>
      </c>
      <c r="K65" s="55">
        <v>4328</v>
      </c>
      <c r="L65" s="55">
        <v>327</v>
      </c>
      <c r="M65" s="55">
        <v>26</v>
      </c>
      <c r="N65" s="55">
        <v>2</v>
      </c>
      <c r="O65" s="58">
        <v>4.7000000000000002E-3</v>
      </c>
      <c r="P65" s="58">
        <v>0.2762</v>
      </c>
      <c r="Q65" s="58">
        <v>2.0899999999999998E-2</v>
      </c>
      <c r="R65" s="58">
        <v>7.5600000000000001E-2</v>
      </c>
      <c r="S65" s="58">
        <v>1E-4</v>
      </c>
    </row>
    <row r="66" spans="1:19" ht="15" x14ac:dyDescent="0.4">
      <c r="A66" s="55" t="s">
        <v>1302</v>
      </c>
      <c r="B66" s="54">
        <v>46037</v>
      </c>
      <c r="C66" s="55" t="s">
        <v>83</v>
      </c>
      <c r="D66" s="55" t="s">
        <v>1227</v>
      </c>
      <c r="E66" s="55" t="s">
        <v>79</v>
      </c>
      <c r="F66" s="55">
        <v>723</v>
      </c>
      <c r="G66" s="55">
        <v>720</v>
      </c>
      <c r="H66" s="55">
        <v>3</v>
      </c>
      <c r="I66" s="55">
        <v>446</v>
      </c>
      <c r="J66" s="55">
        <v>195</v>
      </c>
      <c r="K66" s="55">
        <v>251</v>
      </c>
      <c r="L66" s="55">
        <v>38</v>
      </c>
      <c r="M66" s="55">
        <v>2</v>
      </c>
      <c r="N66" s="55">
        <v>0</v>
      </c>
      <c r="O66" s="58">
        <v>4.1000000000000003E-3</v>
      </c>
      <c r="P66" s="58">
        <v>0.34860000000000002</v>
      </c>
      <c r="Q66" s="58">
        <v>5.28E-2</v>
      </c>
      <c r="R66" s="58">
        <v>0.15140000000000001</v>
      </c>
      <c r="S66" s="58">
        <v>0</v>
      </c>
    </row>
    <row r="67" spans="1:19" ht="15" x14ac:dyDescent="0.4">
      <c r="A67" s="55" t="s">
        <v>1303</v>
      </c>
      <c r="B67" s="54">
        <v>46042</v>
      </c>
      <c r="C67" s="55" t="s">
        <v>82</v>
      </c>
      <c r="D67" s="55" t="s">
        <v>1234</v>
      </c>
      <c r="E67" s="55" t="s">
        <v>79</v>
      </c>
      <c r="F67" s="55">
        <v>15891</v>
      </c>
      <c r="G67" s="55">
        <v>15822</v>
      </c>
      <c r="H67" s="55">
        <v>69</v>
      </c>
      <c r="I67" s="55">
        <v>9400</v>
      </c>
      <c r="J67" s="55">
        <v>5134</v>
      </c>
      <c r="K67" s="55">
        <v>4266</v>
      </c>
      <c r="L67" s="55">
        <v>353</v>
      </c>
      <c r="M67" s="55">
        <v>27</v>
      </c>
      <c r="N67" s="55">
        <v>2</v>
      </c>
      <c r="O67" s="58">
        <v>4.3E-3</v>
      </c>
      <c r="P67" s="58">
        <v>0.26960000000000001</v>
      </c>
      <c r="Q67" s="58">
        <v>2.23E-2</v>
      </c>
      <c r="R67" s="58">
        <v>8.2699999999999996E-2</v>
      </c>
      <c r="S67" s="58">
        <v>1E-4</v>
      </c>
    </row>
    <row r="68" spans="1:19" ht="15" x14ac:dyDescent="0.4">
      <c r="A68" s="55" t="s">
        <v>1304</v>
      </c>
      <c r="B68" s="54">
        <v>46044</v>
      </c>
      <c r="C68" s="55" t="s">
        <v>83</v>
      </c>
      <c r="D68" s="55" t="s">
        <v>1227</v>
      </c>
      <c r="E68" s="55" t="s">
        <v>79</v>
      </c>
      <c r="F68" s="55">
        <v>714</v>
      </c>
      <c r="G68" s="55">
        <v>711</v>
      </c>
      <c r="H68" s="55">
        <v>3</v>
      </c>
      <c r="I68" s="55">
        <v>430</v>
      </c>
      <c r="J68" s="55">
        <v>186</v>
      </c>
      <c r="K68" s="55">
        <v>244</v>
      </c>
      <c r="L68" s="55">
        <v>35</v>
      </c>
      <c r="M68" s="55">
        <v>1</v>
      </c>
      <c r="N68" s="55">
        <v>0</v>
      </c>
      <c r="O68" s="58">
        <v>4.1999999999999997E-3</v>
      </c>
      <c r="P68" s="58">
        <v>0.34320000000000001</v>
      </c>
      <c r="Q68" s="58">
        <v>4.9200000000000001E-2</v>
      </c>
      <c r="R68" s="58">
        <v>0.1434</v>
      </c>
      <c r="S68" s="58">
        <v>0</v>
      </c>
    </row>
    <row r="69" spans="1:19" ht="15" x14ac:dyDescent="0.4">
      <c r="A69" s="55" t="s">
        <v>1305</v>
      </c>
      <c r="B69" s="54">
        <v>46049</v>
      </c>
      <c r="C69" s="55" t="s">
        <v>82</v>
      </c>
      <c r="D69" s="55" t="s">
        <v>1237</v>
      </c>
      <c r="E69" s="55" t="s">
        <v>79</v>
      </c>
      <c r="F69" s="55">
        <v>16042</v>
      </c>
      <c r="G69" s="55">
        <v>15957</v>
      </c>
      <c r="H69" s="55">
        <v>85</v>
      </c>
      <c r="I69" s="55">
        <v>9436</v>
      </c>
      <c r="J69" s="55">
        <v>4880</v>
      </c>
      <c r="K69" s="55">
        <v>4556</v>
      </c>
      <c r="L69" s="55">
        <v>337</v>
      </c>
      <c r="M69" s="55">
        <v>29</v>
      </c>
      <c r="N69" s="55">
        <v>2</v>
      </c>
      <c r="O69" s="58">
        <v>5.3E-3</v>
      </c>
      <c r="P69" s="58">
        <v>0.28549999999999998</v>
      </c>
      <c r="Q69" s="58">
        <v>2.1100000000000001E-2</v>
      </c>
      <c r="R69" s="58">
        <v>7.3999999999999996E-2</v>
      </c>
      <c r="S69" s="58">
        <v>1E-4</v>
      </c>
    </row>
    <row r="70" spans="1:19" ht="15" x14ac:dyDescent="0.4">
      <c r="A70" s="55" t="s">
        <v>1306</v>
      </c>
      <c r="B70" s="54">
        <v>46051</v>
      </c>
      <c r="C70" s="55" t="s">
        <v>83</v>
      </c>
      <c r="D70" s="55" t="s">
        <v>1227</v>
      </c>
      <c r="E70" s="55" t="s">
        <v>79</v>
      </c>
      <c r="F70" s="55">
        <v>672</v>
      </c>
      <c r="G70" s="55">
        <v>669</v>
      </c>
      <c r="H70" s="55">
        <v>3</v>
      </c>
      <c r="I70" s="55">
        <v>443</v>
      </c>
      <c r="J70" s="55">
        <v>194</v>
      </c>
      <c r="K70" s="55">
        <v>249</v>
      </c>
      <c r="L70" s="55">
        <v>36</v>
      </c>
      <c r="M70" s="55">
        <v>2</v>
      </c>
      <c r="N70" s="55">
        <v>0</v>
      </c>
      <c r="O70" s="58">
        <v>4.4999999999999997E-3</v>
      </c>
      <c r="P70" s="58">
        <v>0.37219999999999998</v>
      </c>
      <c r="Q70" s="58">
        <v>5.3800000000000001E-2</v>
      </c>
      <c r="R70" s="58">
        <v>0.14460000000000001</v>
      </c>
      <c r="S70" s="58">
        <v>0</v>
      </c>
    </row>
    <row r="71" spans="1:19" ht="15" x14ac:dyDescent="0.4">
      <c r="A71" s="55" t="s">
        <v>1307</v>
      </c>
      <c r="B71" s="54">
        <v>46056</v>
      </c>
      <c r="C71" s="55" t="s">
        <v>82</v>
      </c>
      <c r="D71" s="55" t="s">
        <v>1231</v>
      </c>
      <c r="E71" s="55" t="s">
        <v>79</v>
      </c>
      <c r="F71" s="55">
        <v>16205</v>
      </c>
      <c r="G71" s="55">
        <v>16127</v>
      </c>
      <c r="H71" s="55">
        <v>78</v>
      </c>
      <c r="I71" s="55">
        <v>9525</v>
      </c>
      <c r="J71" s="55">
        <v>5298</v>
      </c>
      <c r="K71" s="55">
        <v>4227</v>
      </c>
      <c r="L71" s="55">
        <v>342</v>
      </c>
      <c r="M71" s="55">
        <v>31</v>
      </c>
      <c r="N71" s="55">
        <v>3</v>
      </c>
      <c r="O71" s="58">
        <v>4.7999999999999996E-3</v>
      </c>
      <c r="P71" s="58">
        <v>0.2621</v>
      </c>
      <c r="Q71" s="58">
        <v>2.12E-2</v>
      </c>
      <c r="R71" s="58">
        <v>8.09E-2</v>
      </c>
      <c r="S71" s="58">
        <v>2.0000000000000001E-4</v>
      </c>
    </row>
    <row r="72" spans="1:19" ht="15" x14ac:dyDescent="0.4">
      <c r="A72" s="55" t="s">
        <v>1308</v>
      </c>
      <c r="B72" s="54">
        <v>46058</v>
      </c>
      <c r="C72" s="55" t="s">
        <v>83</v>
      </c>
      <c r="D72" s="55" t="s">
        <v>1227</v>
      </c>
      <c r="E72" s="55" t="s">
        <v>79</v>
      </c>
      <c r="F72" s="55">
        <v>678</v>
      </c>
      <c r="G72" s="55">
        <v>675</v>
      </c>
      <c r="H72" s="55">
        <v>3</v>
      </c>
      <c r="I72" s="55">
        <v>457</v>
      </c>
      <c r="J72" s="55">
        <v>187</v>
      </c>
      <c r="K72" s="55">
        <v>270</v>
      </c>
      <c r="L72" s="55">
        <v>34</v>
      </c>
      <c r="M72" s="55">
        <v>1</v>
      </c>
      <c r="N72" s="55">
        <v>0</v>
      </c>
      <c r="O72" s="58">
        <v>4.4000000000000003E-3</v>
      </c>
      <c r="P72" s="58">
        <v>0.4</v>
      </c>
      <c r="Q72" s="58">
        <v>5.04E-2</v>
      </c>
      <c r="R72" s="58">
        <v>0.12590000000000001</v>
      </c>
      <c r="S72" s="58">
        <v>0</v>
      </c>
    </row>
    <row r="73" spans="1:19" ht="15" x14ac:dyDescent="0.4">
      <c r="A73" s="55" t="s">
        <v>1309</v>
      </c>
      <c r="B73" s="54">
        <v>46062</v>
      </c>
      <c r="C73" s="55" t="s">
        <v>85</v>
      </c>
      <c r="D73" s="55" t="s">
        <v>1310</v>
      </c>
      <c r="E73" s="55" t="s">
        <v>79</v>
      </c>
      <c r="F73" s="55">
        <v>16319</v>
      </c>
      <c r="G73" s="55">
        <v>16232</v>
      </c>
      <c r="H73" s="55">
        <v>87</v>
      </c>
      <c r="I73" s="55">
        <v>8855</v>
      </c>
      <c r="J73" s="55">
        <v>5007</v>
      </c>
      <c r="K73" s="55">
        <v>3848</v>
      </c>
      <c r="L73" s="55">
        <v>395</v>
      </c>
      <c r="M73" s="55">
        <v>22</v>
      </c>
      <c r="N73" s="55">
        <v>2</v>
      </c>
      <c r="O73" s="58">
        <v>5.3E-3</v>
      </c>
      <c r="P73" s="58">
        <v>0.23710000000000001</v>
      </c>
      <c r="Q73" s="58">
        <v>2.4299999999999999E-2</v>
      </c>
      <c r="R73" s="58">
        <v>0.1027</v>
      </c>
      <c r="S73" s="58">
        <v>1E-4</v>
      </c>
    </row>
    <row r="74" spans="1:19" ht="15" x14ac:dyDescent="0.4">
      <c r="A74" s="55" t="s">
        <v>1311</v>
      </c>
      <c r="B74" s="54">
        <v>46063</v>
      </c>
      <c r="C74" s="55" t="s">
        <v>82</v>
      </c>
      <c r="D74" s="55" t="s">
        <v>1225</v>
      </c>
      <c r="E74" s="55" t="s">
        <v>79</v>
      </c>
      <c r="F74" s="55">
        <v>16320</v>
      </c>
      <c r="G74" s="55">
        <v>16249</v>
      </c>
      <c r="H74" s="55">
        <v>71</v>
      </c>
      <c r="I74" s="55">
        <v>8784</v>
      </c>
      <c r="J74" s="55">
        <v>4716</v>
      </c>
      <c r="K74" s="55">
        <v>4068</v>
      </c>
      <c r="L74" s="55">
        <v>317</v>
      </c>
      <c r="M74" s="55">
        <v>30</v>
      </c>
      <c r="N74" s="55">
        <v>2</v>
      </c>
      <c r="O74" s="58">
        <v>4.4000000000000003E-3</v>
      </c>
      <c r="P74" s="58">
        <v>0.25040000000000001</v>
      </c>
      <c r="Q74" s="58">
        <v>1.95E-2</v>
      </c>
      <c r="R74" s="58">
        <v>7.7899999999999997E-2</v>
      </c>
      <c r="S74" s="58">
        <v>1E-4</v>
      </c>
    </row>
    <row r="75" spans="1:19" ht="15" x14ac:dyDescent="0.4">
      <c r="A75" s="55" t="s">
        <v>1312</v>
      </c>
      <c r="B75" s="54">
        <v>46065</v>
      </c>
      <c r="C75" s="55" t="s">
        <v>83</v>
      </c>
      <c r="D75" s="55" t="s">
        <v>1227</v>
      </c>
      <c r="E75" s="55" t="s">
        <v>79</v>
      </c>
      <c r="F75" s="55">
        <v>576</v>
      </c>
      <c r="G75" s="55">
        <v>573</v>
      </c>
      <c r="H75" s="55">
        <v>3</v>
      </c>
      <c r="I75" s="55">
        <v>366</v>
      </c>
      <c r="J75" s="55">
        <v>161</v>
      </c>
      <c r="K75" s="55">
        <v>205</v>
      </c>
      <c r="L75" s="55">
        <v>25</v>
      </c>
      <c r="M75" s="55">
        <v>1</v>
      </c>
      <c r="N75" s="55">
        <v>0</v>
      </c>
      <c r="O75" s="58">
        <v>5.1999999999999998E-3</v>
      </c>
      <c r="P75" s="58">
        <v>0.35780000000000001</v>
      </c>
      <c r="Q75" s="58">
        <v>4.36E-2</v>
      </c>
      <c r="R75" s="58">
        <v>0.122</v>
      </c>
      <c r="S75" s="58">
        <v>0</v>
      </c>
    </row>
    <row r="76" spans="1:19" ht="15" x14ac:dyDescent="0.4">
      <c r="A76" s="55" t="s">
        <v>1313</v>
      </c>
      <c r="B76" s="54">
        <v>46070</v>
      </c>
      <c r="C76" s="55" t="s">
        <v>82</v>
      </c>
      <c r="D76" s="55" t="s">
        <v>1246</v>
      </c>
      <c r="E76" s="55" t="s">
        <v>79</v>
      </c>
      <c r="F76" s="55">
        <v>16459</v>
      </c>
      <c r="G76" s="55">
        <v>16375</v>
      </c>
      <c r="H76" s="55">
        <v>84</v>
      </c>
      <c r="I76" s="55">
        <v>9888</v>
      </c>
      <c r="J76" s="55">
        <v>5342</v>
      </c>
      <c r="K76" s="55">
        <v>4546</v>
      </c>
      <c r="L76" s="55">
        <v>348</v>
      </c>
      <c r="M76" s="55">
        <v>30</v>
      </c>
      <c r="N76" s="55">
        <v>2</v>
      </c>
      <c r="O76" s="58">
        <v>5.1000000000000004E-3</v>
      </c>
      <c r="P76" s="58">
        <v>0.27760000000000001</v>
      </c>
      <c r="Q76" s="58">
        <v>2.1299999999999999E-2</v>
      </c>
      <c r="R76" s="58">
        <v>7.6600000000000001E-2</v>
      </c>
      <c r="S76" s="58">
        <v>1E-4</v>
      </c>
    </row>
    <row r="77" spans="1:19" ht="15" x14ac:dyDescent="0.4">
      <c r="A77" s="55" t="s">
        <v>1314</v>
      </c>
      <c r="B77" s="54">
        <v>46072</v>
      </c>
      <c r="C77" s="55" t="s">
        <v>83</v>
      </c>
      <c r="D77" s="55" t="s">
        <v>1227</v>
      </c>
      <c r="E77" s="55" t="s">
        <v>79</v>
      </c>
      <c r="F77" s="55">
        <v>645</v>
      </c>
      <c r="G77" s="55">
        <v>642</v>
      </c>
      <c r="H77" s="55">
        <v>3</v>
      </c>
      <c r="I77" s="55">
        <v>412</v>
      </c>
      <c r="J77" s="55">
        <v>157</v>
      </c>
      <c r="K77" s="55">
        <v>255</v>
      </c>
      <c r="L77" s="55">
        <v>34</v>
      </c>
      <c r="M77" s="55">
        <v>1</v>
      </c>
      <c r="N77" s="55">
        <v>0</v>
      </c>
      <c r="O77" s="58">
        <v>4.7000000000000002E-3</v>
      </c>
      <c r="P77" s="58">
        <v>0.3972</v>
      </c>
      <c r="Q77" s="58">
        <v>5.2999999999999999E-2</v>
      </c>
      <c r="R77" s="58">
        <v>0.1333</v>
      </c>
      <c r="S77" s="58">
        <v>0</v>
      </c>
    </row>
    <row r="78" spans="1:19" ht="15" x14ac:dyDescent="0.4">
      <c r="A78" s="55" t="s">
        <v>1315</v>
      </c>
      <c r="B78" s="54">
        <v>46077</v>
      </c>
      <c r="C78" s="55" t="s">
        <v>82</v>
      </c>
      <c r="D78" s="55" t="s">
        <v>1249</v>
      </c>
      <c r="E78" s="55" t="s">
        <v>79</v>
      </c>
      <c r="F78" s="55">
        <v>16575</v>
      </c>
      <c r="G78" s="55">
        <v>16494</v>
      </c>
      <c r="H78" s="55">
        <v>81</v>
      </c>
      <c r="I78" s="55">
        <v>9373</v>
      </c>
      <c r="J78" s="55">
        <v>5260</v>
      </c>
      <c r="K78" s="55">
        <v>4113</v>
      </c>
      <c r="L78" s="55">
        <v>370</v>
      </c>
      <c r="M78" s="55">
        <v>28</v>
      </c>
      <c r="N78" s="55">
        <v>2</v>
      </c>
      <c r="O78" s="58">
        <v>4.8999999999999998E-3</v>
      </c>
      <c r="P78" s="58">
        <v>0.24940000000000001</v>
      </c>
      <c r="Q78" s="58">
        <v>2.24E-2</v>
      </c>
      <c r="R78" s="58">
        <v>0.09</v>
      </c>
      <c r="S78" s="58">
        <v>1E-4</v>
      </c>
    </row>
    <row r="79" spans="1:19" ht="15" x14ac:dyDescent="0.4">
      <c r="A79" s="55" t="s">
        <v>1316</v>
      </c>
      <c r="B79" s="54">
        <v>46079</v>
      </c>
      <c r="C79" s="55" t="s">
        <v>83</v>
      </c>
      <c r="D79" s="55" t="s">
        <v>1227</v>
      </c>
      <c r="E79" s="55" t="s">
        <v>79</v>
      </c>
      <c r="F79" s="55">
        <v>603</v>
      </c>
      <c r="G79" s="55">
        <v>600</v>
      </c>
      <c r="H79" s="55">
        <v>3</v>
      </c>
      <c r="I79" s="55">
        <v>394</v>
      </c>
      <c r="J79" s="55">
        <v>168</v>
      </c>
      <c r="K79" s="55">
        <v>226</v>
      </c>
      <c r="L79" s="55">
        <v>33</v>
      </c>
      <c r="M79" s="55">
        <v>1</v>
      </c>
      <c r="N79" s="55">
        <v>0</v>
      </c>
      <c r="O79" s="58">
        <v>5.0000000000000001E-3</v>
      </c>
      <c r="P79" s="58">
        <v>0.37669999999999998</v>
      </c>
      <c r="Q79" s="58">
        <v>5.5E-2</v>
      </c>
      <c r="R79" s="58">
        <v>0.14599999999999999</v>
      </c>
      <c r="S79" s="58">
        <v>0</v>
      </c>
    </row>
    <row r="80" spans="1:19" ht="15" x14ac:dyDescent="0.4">
      <c r="A80" s="55" t="s">
        <v>1317</v>
      </c>
      <c r="B80" s="54">
        <v>46084</v>
      </c>
      <c r="C80" s="55" t="s">
        <v>82</v>
      </c>
      <c r="D80" s="55" t="s">
        <v>1225</v>
      </c>
      <c r="E80" s="55" t="s">
        <v>79</v>
      </c>
      <c r="F80" s="55">
        <v>16716</v>
      </c>
      <c r="G80" s="55">
        <v>16630</v>
      </c>
      <c r="H80" s="55">
        <v>86</v>
      </c>
      <c r="I80" s="55">
        <v>9357</v>
      </c>
      <c r="J80" s="55">
        <v>4746</v>
      </c>
      <c r="K80" s="55">
        <v>4611</v>
      </c>
      <c r="L80" s="55">
        <v>339</v>
      </c>
      <c r="M80" s="55">
        <v>28</v>
      </c>
      <c r="N80" s="55">
        <v>2</v>
      </c>
      <c r="O80" s="58">
        <v>5.1000000000000004E-3</v>
      </c>
      <c r="P80" s="58">
        <v>0.27729999999999999</v>
      </c>
      <c r="Q80" s="58">
        <v>2.0400000000000001E-2</v>
      </c>
      <c r="R80" s="58">
        <v>7.3499999999999996E-2</v>
      </c>
      <c r="S80" s="58">
        <v>1E-4</v>
      </c>
    </row>
    <row r="81" spans="1:19" ht="15" x14ac:dyDescent="0.4">
      <c r="A81" s="55" t="s">
        <v>1318</v>
      </c>
      <c r="B81" s="54">
        <v>46086</v>
      </c>
      <c r="C81" s="55" t="s">
        <v>83</v>
      </c>
      <c r="D81" s="55" t="s">
        <v>1227</v>
      </c>
      <c r="E81" s="55" t="s">
        <v>79</v>
      </c>
      <c r="F81" s="55">
        <v>576</v>
      </c>
      <c r="G81" s="55">
        <v>573</v>
      </c>
      <c r="H81" s="55">
        <v>3</v>
      </c>
      <c r="I81" s="55">
        <v>375</v>
      </c>
      <c r="J81" s="55">
        <v>160</v>
      </c>
      <c r="K81" s="55">
        <v>215</v>
      </c>
      <c r="L81" s="55">
        <v>27</v>
      </c>
      <c r="M81" s="55">
        <v>1</v>
      </c>
      <c r="N81" s="55">
        <v>0</v>
      </c>
      <c r="O81" s="58">
        <v>5.1999999999999998E-3</v>
      </c>
      <c r="P81" s="58">
        <v>0.37519999999999998</v>
      </c>
      <c r="Q81" s="58">
        <v>4.7100000000000003E-2</v>
      </c>
      <c r="R81" s="58">
        <v>0.12559999999999999</v>
      </c>
      <c r="S81" s="58">
        <v>0</v>
      </c>
    </row>
    <row r="82" spans="1:19" ht="15" x14ac:dyDescent="0.4">
      <c r="A82" s="55" t="s">
        <v>1319</v>
      </c>
      <c r="B82" s="54">
        <v>46090</v>
      </c>
      <c r="C82" s="55" t="s">
        <v>85</v>
      </c>
      <c r="D82" s="55" t="s">
        <v>1320</v>
      </c>
      <c r="E82" s="55" t="s">
        <v>79</v>
      </c>
      <c r="F82" s="55">
        <v>16819</v>
      </c>
      <c r="G82" s="55">
        <v>16737</v>
      </c>
      <c r="H82" s="55">
        <v>82</v>
      </c>
      <c r="I82" s="55">
        <v>8511</v>
      </c>
      <c r="J82" s="55">
        <v>4574</v>
      </c>
      <c r="K82" s="55">
        <v>3937</v>
      </c>
      <c r="L82" s="55">
        <v>448</v>
      </c>
      <c r="M82" s="55">
        <v>22</v>
      </c>
      <c r="N82" s="55">
        <v>2</v>
      </c>
      <c r="O82" s="58">
        <v>4.8999999999999998E-3</v>
      </c>
      <c r="P82" s="58">
        <v>0.23519999999999999</v>
      </c>
      <c r="Q82" s="58">
        <v>2.6800000000000001E-2</v>
      </c>
      <c r="R82" s="58">
        <v>0.1138</v>
      </c>
      <c r="S82" s="58">
        <v>1E-4</v>
      </c>
    </row>
    <row r="83" spans="1:19" ht="15" x14ac:dyDescent="0.4">
      <c r="A83" s="55" t="s">
        <v>1321</v>
      </c>
      <c r="B83" s="54">
        <v>46091</v>
      </c>
      <c r="C83" s="55" t="s">
        <v>82</v>
      </c>
      <c r="D83" s="55" t="s">
        <v>1231</v>
      </c>
      <c r="E83" s="55" t="s">
        <v>79</v>
      </c>
      <c r="F83" s="55">
        <v>16817</v>
      </c>
      <c r="G83" s="55">
        <v>16734</v>
      </c>
      <c r="H83" s="55">
        <v>83</v>
      </c>
      <c r="I83" s="55">
        <v>9503</v>
      </c>
      <c r="J83" s="55">
        <v>4853</v>
      </c>
      <c r="K83" s="55">
        <v>4650</v>
      </c>
      <c r="L83" s="55">
        <v>351</v>
      </c>
      <c r="M83" s="55">
        <v>30</v>
      </c>
      <c r="N83" s="55">
        <v>3</v>
      </c>
      <c r="O83" s="58">
        <v>4.8999999999999998E-3</v>
      </c>
      <c r="P83" s="58">
        <v>0.27789999999999998</v>
      </c>
      <c r="Q83" s="58">
        <v>2.1000000000000001E-2</v>
      </c>
      <c r="R83" s="58">
        <v>7.5499999999999998E-2</v>
      </c>
      <c r="S83" s="58">
        <v>2.0000000000000001E-4</v>
      </c>
    </row>
    <row r="84" spans="1:19" ht="15" x14ac:dyDescent="0.4">
      <c r="A84" s="55" t="s">
        <v>1322</v>
      </c>
      <c r="B84" s="54">
        <v>46093</v>
      </c>
      <c r="C84" s="55" t="s">
        <v>83</v>
      </c>
      <c r="D84" s="55" t="s">
        <v>1227</v>
      </c>
      <c r="E84" s="55" t="s">
        <v>79</v>
      </c>
      <c r="F84" s="55">
        <v>612</v>
      </c>
      <c r="G84" s="55">
        <v>609</v>
      </c>
      <c r="H84" s="55">
        <v>3</v>
      </c>
      <c r="I84" s="55">
        <v>414</v>
      </c>
      <c r="J84" s="55">
        <v>181</v>
      </c>
      <c r="K84" s="55">
        <v>233</v>
      </c>
      <c r="L84" s="55">
        <v>33</v>
      </c>
      <c r="M84" s="55">
        <v>1</v>
      </c>
      <c r="N84" s="55">
        <v>0</v>
      </c>
      <c r="O84" s="58">
        <v>4.8999999999999998E-3</v>
      </c>
      <c r="P84" s="58">
        <v>0.3826</v>
      </c>
      <c r="Q84" s="58">
        <v>5.4199999999999998E-2</v>
      </c>
      <c r="R84" s="58">
        <v>0.1416</v>
      </c>
      <c r="S84" s="58">
        <v>0</v>
      </c>
    </row>
    <row r="85" spans="1:19" ht="15" x14ac:dyDescent="0.4">
      <c r="A85" s="55" t="s">
        <v>1323</v>
      </c>
      <c r="B85" s="54">
        <v>46098</v>
      </c>
      <c r="C85" s="55" t="s">
        <v>82</v>
      </c>
      <c r="D85" s="55" t="s">
        <v>1234</v>
      </c>
      <c r="E85" s="55" t="s">
        <v>79</v>
      </c>
      <c r="F85" s="55">
        <v>16955</v>
      </c>
      <c r="G85" s="55">
        <v>16869</v>
      </c>
      <c r="H85" s="55">
        <v>86</v>
      </c>
      <c r="I85" s="55">
        <v>9919</v>
      </c>
      <c r="J85" s="55">
        <v>5412</v>
      </c>
      <c r="K85" s="55">
        <v>4507</v>
      </c>
      <c r="L85" s="55">
        <v>355</v>
      </c>
      <c r="M85" s="55">
        <v>30</v>
      </c>
      <c r="N85" s="55">
        <v>2</v>
      </c>
      <c r="O85" s="58">
        <v>5.1000000000000004E-3</v>
      </c>
      <c r="P85" s="58">
        <v>0.26719999999999999</v>
      </c>
      <c r="Q85" s="58">
        <v>2.1000000000000001E-2</v>
      </c>
      <c r="R85" s="58">
        <v>7.8799999999999995E-2</v>
      </c>
      <c r="S85" s="58">
        <v>1E-4</v>
      </c>
    </row>
    <row r="86" spans="1:19" ht="15" x14ac:dyDescent="0.4">
      <c r="A86" s="55" t="s">
        <v>1324</v>
      </c>
      <c r="B86" s="54">
        <v>46100</v>
      </c>
      <c r="C86" s="55" t="s">
        <v>83</v>
      </c>
      <c r="D86" s="55" t="s">
        <v>1227</v>
      </c>
      <c r="E86" s="55" t="s">
        <v>79</v>
      </c>
      <c r="F86" s="55">
        <v>585</v>
      </c>
      <c r="G86" s="55">
        <v>582</v>
      </c>
      <c r="H86" s="55">
        <v>3</v>
      </c>
      <c r="I86" s="55">
        <v>395</v>
      </c>
      <c r="J86" s="55">
        <v>154</v>
      </c>
      <c r="K86" s="55">
        <v>241</v>
      </c>
      <c r="L86" s="55">
        <v>29</v>
      </c>
      <c r="M86" s="55">
        <v>1</v>
      </c>
      <c r="N86" s="55">
        <v>0</v>
      </c>
      <c r="O86" s="58">
        <v>5.1000000000000004E-3</v>
      </c>
      <c r="P86" s="58">
        <v>0.41410000000000002</v>
      </c>
      <c r="Q86" s="58">
        <v>4.9799999999999997E-2</v>
      </c>
      <c r="R86" s="58">
        <v>0.1203</v>
      </c>
      <c r="S86" s="58">
        <v>0</v>
      </c>
    </row>
    <row r="87" spans="1:19" ht="15" x14ac:dyDescent="0.4">
      <c r="A87" s="55" t="s">
        <v>1325</v>
      </c>
      <c r="B87" s="54">
        <v>46105</v>
      </c>
      <c r="C87" s="55" t="s">
        <v>82</v>
      </c>
      <c r="D87" s="55" t="s">
        <v>1237</v>
      </c>
      <c r="E87" s="55" t="s">
        <v>79</v>
      </c>
      <c r="F87" s="55">
        <v>17064</v>
      </c>
      <c r="G87" s="55">
        <v>16986</v>
      </c>
      <c r="H87" s="55">
        <v>78</v>
      </c>
      <c r="I87" s="55">
        <v>9665</v>
      </c>
      <c r="J87" s="55">
        <v>4982</v>
      </c>
      <c r="K87" s="55">
        <v>4683</v>
      </c>
      <c r="L87" s="55">
        <v>365</v>
      </c>
      <c r="M87" s="55">
        <v>32</v>
      </c>
      <c r="N87" s="55">
        <v>2</v>
      </c>
      <c r="O87" s="58">
        <v>4.5999999999999999E-3</v>
      </c>
      <c r="P87" s="58">
        <v>0.2757</v>
      </c>
      <c r="Q87" s="58">
        <v>2.1499999999999998E-2</v>
      </c>
      <c r="R87" s="58">
        <v>7.7899999999999997E-2</v>
      </c>
      <c r="S87" s="58">
        <v>1E-4</v>
      </c>
    </row>
    <row r="88" spans="1:19" ht="15" x14ac:dyDescent="0.4">
      <c r="A88" s="55" t="s">
        <v>1326</v>
      </c>
      <c r="B88" s="54">
        <v>46107</v>
      </c>
      <c r="C88" s="55" t="s">
        <v>83</v>
      </c>
      <c r="D88" s="55" t="s">
        <v>1227</v>
      </c>
      <c r="E88" s="55" t="s">
        <v>79</v>
      </c>
      <c r="F88" s="55">
        <v>531</v>
      </c>
      <c r="G88" s="55">
        <v>528</v>
      </c>
      <c r="H88" s="55">
        <v>3</v>
      </c>
      <c r="I88" s="55">
        <v>323</v>
      </c>
      <c r="J88" s="55">
        <v>131</v>
      </c>
      <c r="K88" s="55">
        <v>192</v>
      </c>
      <c r="L88" s="55">
        <v>27</v>
      </c>
      <c r="M88" s="55">
        <v>1</v>
      </c>
      <c r="N88" s="55">
        <v>0</v>
      </c>
      <c r="O88" s="58">
        <v>5.5999999999999999E-3</v>
      </c>
      <c r="P88" s="58">
        <v>0.36359999999999998</v>
      </c>
      <c r="Q88" s="58">
        <v>5.11E-2</v>
      </c>
      <c r="R88" s="58">
        <v>0.1406</v>
      </c>
      <c r="S88" s="58">
        <v>0</v>
      </c>
    </row>
    <row r="89" spans="1:19" ht="15" x14ac:dyDescent="0.4">
      <c r="A89" s="55" t="s">
        <v>1327</v>
      </c>
      <c r="B89" s="54">
        <v>46112</v>
      </c>
      <c r="C89" s="55" t="s">
        <v>82</v>
      </c>
      <c r="D89" s="55" t="s">
        <v>1231</v>
      </c>
      <c r="E89" s="55" t="s">
        <v>79</v>
      </c>
      <c r="F89" s="55">
        <v>17177</v>
      </c>
      <c r="G89" s="55">
        <v>17086</v>
      </c>
      <c r="H89" s="55">
        <v>91</v>
      </c>
      <c r="I89" s="55">
        <v>9806</v>
      </c>
      <c r="J89" s="55">
        <v>5704</v>
      </c>
      <c r="K89" s="55">
        <v>4102</v>
      </c>
      <c r="L89" s="55">
        <v>324</v>
      </c>
      <c r="M89" s="55">
        <v>30</v>
      </c>
      <c r="N89" s="55">
        <v>3</v>
      </c>
      <c r="O89" s="58">
        <v>5.3E-3</v>
      </c>
      <c r="P89" s="58">
        <v>0.24010000000000001</v>
      </c>
      <c r="Q89" s="58">
        <v>1.9E-2</v>
      </c>
      <c r="R89" s="58">
        <v>7.9000000000000001E-2</v>
      </c>
      <c r="S89" s="58">
        <v>2.0000000000000001E-4</v>
      </c>
    </row>
    <row r="90" spans="1:19" ht="15" x14ac:dyDescent="0.4">
      <c r="A90" s="55" t="s">
        <v>1328</v>
      </c>
      <c r="B90" s="54">
        <v>46114</v>
      </c>
      <c r="C90" s="55" t="s">
        <v>83</v>
      </c>
      <c r="D90" s="55" t="s">
        <v>1227</v>
      </c>
      <c r="E90" s="55" t="s">
        <v>79</v>
      </c>
      <c r="F90" s="55">
        <v>543</v>
      </c>
      <c r="G90" s="55">
        <v>541</v>
      </c>
      <c r="H90" s="55">
        <v>2</v>
      </c>
      <c r="I90" s="55">
        <v>348</v>
      </c>
      <c r="J90" s="55">
        <v>141</v>
      </c>
      <c r="K90" s="55">
        <v>207</v>
      </c>
      <c r="L90" s="55">
        <v>31</v>
      </c>
      <c r="M90" s="55">
        <v>1</v>
      </c>
      <c r="N90" s="55">
        <v>0</v>
      </c>
      <c r="O90" s="58">
        <v>3.7000000000000002E-3</v>
      </c>
      <c r="P90" s="58">
        <v>0.3826</v>
      </c>
      <c r="Q90" s="58">
        <v>5.7299999999999997E-2</v>
      </c>
      <c r="R90" s="58">
        <v>0.14979999999999999</v>
      </c>
      <c r="S90" s="58">
        <v>0</v>
      </c>
    </row>
    <row r="91" spans="1:19" ht="15" x14ac:dyDescent="0.4">
      <c r="A91" s="55" t="s">
        <v>1329</v>
      </c>
      <c r="B91" s="54">
        <v>46118</v>
      </c>
      <c r="C91" s="55" t="s">
        <v>85</v>
      </c>
      <c r="D91" s="55" t="s">
        <v>1330</v>
      </c>
      <c r="E91" s="55" t="s">
        <v>79</v>
      </c>
      <c r="F91" s="55">
        <v>17274</v>
      </c>
      <c r="G91" s="55">
        <v>17189</v>
      </c>
      <c r="H91" s="55">
        <v>85</v>
      </c>
      <c r="I91" s="55">
        <v>9093</v>
      </c>
      <c r="J91" s="55">
        <v>4964</v>
      </c>
      <c r="K91" s="55">
        <v>4129</v>
      </c>
      <c r="L91" s="55">
        <v>448</v>
      </c>
      <c r="M91" s="55">
        <v>30</v>
      </c>
      <c r="N91" s="55">
        <v>3</v>
      </c>
      <c r="O91" s="58">
        <v>4.8999999999999998E-3</v>
      </c>
      <c r="P91" s="58">
        <v>0.2402</v>
      </c>
      <c r="Q91" s="58">
        <v>2.6100000000000002E-2</v>
      </c>
      <c r="R91" s="58">
        <v>0.1085</v>
      </c>
      <c r="S91" s="58">
        <v>2.0000000000000001E-4</v>
      </c>
    </row>
    <row r="92" spans="1:19" ht="15" x14ac:dyDescent="0.4">
      <c r="A92" s="55" t="s">
        <v>1331</v>
      </c>
      <c r="B92" s="54">
        <v>46119</v>
      </c>
      <c r="C92" s="55" t="s">
        <v>82</v>
      </c>
      <c r="D92" s="55" t="s">
        <v>1225</v>
      </c>
      <c r="E92" s="55" t="s">
        <v>79</v>
      </c>
      <c r="F92" s="55">
        <v>17277</v>
      </c>
      <c r="G92" s="55">
        <v>17195</v>
      </c>
      <c r="H92" s="55">
        <v>82</v>
      </c>
      <c r="I92" s="55">
        <v>9250</v>
      </c>
      <c r="J92" s="55">
        <v>4684</v>
      </c>
      <c r="K92" s="55">
        <v>4566</v>
      </c>
      <c r="L92" s="55">
        <v>322</v>
      </c>
      <c r="M92" s="55">
        <v>28</v>
      </c>
      <c r="N92" s="55">
        <v>2</v>
      </c>
      <c r="O92" s="58">
        <v>4.7000000000000002E-3</v>
      </c>
      <c r="P92" s="58">
        <v>0.26550000000000001</v>
      </c>
      <c r="Q92" s="58">
        <v>1.8700000000000001E-2</v>
      </c>
      <c r="R92" s="58">
        <v>7.0499999999999993E-2</v>
      </c>
      <c r="S92" s="58">
        <v>1E-4</v>
      </c>
    </row>
    <row r="93" spans="1:19" ht="15" x14ac:dyDescent="0.4">
      <c r="A93" s="55" t="s">
        <v>1332</v>
      </c>
      <c r="B93" s="54">
        <v>46121</v>
      </c>
      <c r="C93" s="55" t="s">
        <v>83</v>
      </c>
      <c r="D93" s="55" t="s">
        <v>1227</v>
      </c>
      <c r="E93" s="55" t="s">
        <v>79</v>
      </c>
      <c r="F93" s="55">
        <v>621</v>
      </c>
      <c r="G93" s="55">
        <v>618</v>
      </c>
      <c r="H93" s="55">
        <v>3</v>
      </c>
      <c r="I93" s="55">
        <v>422</v>
      </c>
      <c r="J93" s="55">
        <v>187</v>
      </c>
      <c r="K93" s="55">
        <v>235</v>
      </c>
      <c r="L93" s="55">
        <v>31</v>
      </c>
      <c r="M93" s="55">
        <v>1</v>
      </c>
      <c r="N93" s="55">
        <v>0</v>
      </c>
      <c r="O93" s="58">
        <v>4.7999999999999996E-3</v>
      </c>
      <c r="P93" s="58">
        <v>0.38030000000000003</v>
      </c>
      <c r="Q93" s="58">
        <v>5.0200000000000002E-2</v>
      </c>
      <c r="R93" s="58">
        <v>0.13189999999999999</v>
      </c>
      <c r="S93" s="58">
        <v>0</v>
      </c>
    </row>
    <row r="94" spans="1:19" ht="15" x14ac:dyDescent="0.4">
      <c r="A94" s="55" t="s">
        <v>1333</v>
      </c>
      <c r="B94" s="54">
        <v>46126</v>
      </c>
      <c r="C94" s="55" t="s">
        <v>82</v>
      </c>
      <c r="D94" s="55" t="s">
        <v>1246</v>
      </c>
      <c r="E94" s="55" t="s">
        <v>79</v>
      </c>
      <c r="F94" s="55">
        <v>17422</v>
      </c>
      <c r="G94" s="55">
        <v>17328</v>
      </c>
      <c r="H94" s="55">
        <v>94</v>
      </c>
      <c r="I94" s="55">
        <v>9722</v>
      </c>
      <c r="J94" s="55">
        <v>4957</v>
      </c>
      <c r="K94" s="55">
        <v>4765</v>
      </c>
      <c r="L94" s="55">
        <v>373</v>
      </c>
      <c r="M94" s="55">
        <v>32</v>
      </c>
      <c r="N94" s="55">
        <v>3</v>
      </c>
      <c r="O94" s="58">
        <v>5.4000000000000003E-3</v>
      </c>
      <c r="P94" s="58">
        <v>0.27500000000000002</v>
      </c>
      <c r="Q94" s="58">
        <v>2.1499999999999998E-2</v>
      </c>
      <c r="R94" s="58">
        <v>7.8299999999999995E-2</v>
      </c>
      <c r="S94" s="58">
        <v>2.0000000000000001E-4</v>
      </c>
    </row>
    <row r="95" spans="1:19" ht="15" x14ac:dyDescent="0.4">
      <c r="A95" s="55" t="s">
        <v>1334</v>
      </c>
      <c r="B95" s="54">
        <v>46128</v>
      </c>
      <c r="C95" s="55" t="s">
        <v>83</v>
      </c>
      <c r="D95" s="55" t="s">
        <v>1227</v>
      </c>
      <c r="E95" s="55" t="s">
        <v>79</v>
      </c>
      <c r="F95" s="55">
        <v>654</v>
      </c>
      <c r="G95" s="55">
        <v>650</v>
      </c>
      <c r="H95" s="55">
        <v>4</v>
      </c>
      <c r="I95" s="55">
        <v>434</v>
      </c>
      <c r="J95" s="55">
        <v>177</v>
      </c>
      <c r="K95" s="55">
        <v>257</v>
      </c>
      <c r="L95" s="55">
        <v>35</v>
      </c>
      <c r="M95" s="55">
        <v>2</v>
      </c>
      <c r="N95" s="55">
        <v>0</v>
      </c>
      <c r="O95" s="58">
        <v>6.1000000000000004E-3</v>
      </c>
      <c r="P95" s="58">
        <v>0.39539999999999997</v>
      </c>
      <c r="Q95" s="58">
        <v>5.3800000000000001E-2</v>
      </c>
      <c r="R95" s="58">
        <v>0.13619999999999999</v>
      </c>
      <c r="S95" s="58">
        <v>0</v>
      </c>
    </row>
    <row r="96" spans="1:19" ht="15" x14ac:dyDescent="0.4">
      <c r="A96" s="55" t="s">
        <v>1335</v>
      </c>
      <c r="B96" s="54">
        <v>46133</v>
      </c>
      <c r="C96" s="55" t="s">
        <v>82</v>
      </c>
      <c r="D96" s="55" t="s">
        <v>1249</v>
      </c>
      <c r="E96" s="55" t="s">
        <v>79</v>
      </c>
      <c r="F96" s="55">
        <v>17554</v>
      </c>
      <c r="G96" s="55">
        <v>17468</v>
      </c>
      <c r="H96" s="55">
        <v>86</v>
      </c>
      <c r="I96" s="55">
        <v>10583</v>
      </c>
      <c r="J96" s="55">
        <v>5580</v>
      </c>
      <c r="K96" s="55">
        <v>5003</v>
      </c>
      <c r="L96" s="55">
        <v>364</v>
      </c>
      <c r="M96" s="55">
        <v>29</v>
      </c>
      <c r="N96" s="55">
        <v>3</v>
      </c>
      <c r="O96" s="58">
        <v>4.8999999999999998E-3</v>
      </c>
      <c r="P96" s="58">
        <v>0.28639999999999999</v>
      </c>
      <c r="Q96" s="58">
        <v>2.0799999999999999E-2</v>
      </c>
      <c r="R96" s="58">
        <v>7.2800000000000004E-2</v>
      </c>
      <c r="S96" s="58">
        <v>2.0000000000000001E-4</v>
      </c>
    </row>
    <row r="97" spans="1:19" ht="15" x14ac:dyDescent="0.4">
      <c r="A97" s="55" t="s">
        <v>1336</v>
      </c>
      <c r="B97" s="54">
        <v>46135</v>
      </c>
      <c r="C97" s="55" t="s">
        <v>83</v>
      </c>
      <c r="D97" s="55" t="s">
        <v>1227</v>
      </c>
      <c r="E97" s="55" t="s">
        <v>79</v>
      </c>
      <c r="F97" s="55">
        <v>648</v>
      </c>
      <c r="G97" s="55">
        <v>645</v>
      </c>
      <c r="H97" s="55">
        <v>3</v>
      </c>
      <c r="I97" s="55">
        <v>421</v>
      </c>
      <c r="J97" s="55">
        <v>177</v>
      </c>
      <c r="K97" s="55">
        <v>244</v>
      </c>
      <c r="L97" s="55">
        <v>33</v>
      </c>
      <c r="M97" s="55">
        <v>1</v>
      </c>
      <c r="N97" s="55">
        <v>0</v>
      </c>
      <c r="O97" s="58">
        <v>4.5999999999999999E-3</v>
      </c>
      <c r="P97" s="58">
        <v>0.37830000000000003</v>
      </c>
      <c r="Q97" s="58">
        <v>5.1200000000000002E-2</v>
      </c>
      <c r="R97" s="58">
        <v>0.13519999999999999</v>
      </c>
      <c r="S97" s="58">
        <v>0</v>
      </c>
    </row>
    <row r="98" spans="1:19" ht="15" x14ac:dyDescent="0.4">
      <c r="A98" s="55" t="s">
        <v>1337</v>
      </c>
      <c r="B98" s="54">
        <v>46140</v>
      </c>
      <c r="C98" s="55" t="s">
        <v>82</v>
      </c>
      <c r="D98" s="55" t="s">
        <v>1225</v>
      </c>
      <c r="E98" s="55" t="s">
        <v>79</v>
      </c>
      <c r="F98" s="55">
        <v>17700</v>
      </c>
      <c r="G98" s="55">
        <v>17602</v>
      </c>
      <c r="H98" s="55">
        <v>98</v>
      </c>
      <c r="I98" s="55">
        <v>10488</v>
      </c>
      <c r="J98" s="55">
        <v>5371</v>
      </c>
      <c r="K98" s="55">
        <v>5117</v>
      </c>
      <c r="L98" s="55">
        <v>397</v>
      </c>
      <c r="M98" s="55">
        <v>33</v>
      </c>
      <c r="N98" s="55">
        <v>3</v>
      </c>
      <c r="O98" s="58">
        <v>5.4999999999999997E-3</v>
      </c>
      <c r="P98" s="58">
        <v>0.29070000000000001</v>
      </c>
      <c r="Q98" s="58">
        <v>2.2599999999999999E-2</v>
      </c>
      <c r="R98" s="58">
        <v>7.7600000000000002E-2</v>
      </c>
      <c r="S98" s="58">
        <v>2.0000000000000001E-4</v>
      </c>
    </row>
    <row r="99" spans="1:19" ht="15" x14ac:dyDescent="0.4">
      <c r="A99" s="55" t="s">
        <v>1338</v>
      </c>
      <c r="B99" s="54">
        <v>46142</v>
      </c>
      <c r="C99" s="55" t="s">
        <v>83</v>
      </c>
      <c r="D99" s="55" t="s">
        <v>1227</v>
      </c>
      <c r="E99" s="55" t="s">
        <v>79</v>
      </c>
      <c r="F99" s="55">
        <v>657</v>
      </c>
      <c r="G99" s="55">
        <v>654</v>
      </c>
      <c r="H99" s="55">
        <v>3</v>
      </c>
      <c r="I99" s="55">
        <v>441</v>
      </c>
      <c r="J99" s="55">
        <v>204</v>
      </c>
      <c r="K99" s="55">
        <v>237</v>
      </c>
      <c r="L99" s="55">
        <v>33</v>
      </c>
      <c r="M99" s="55">
        <v>1</v>
      </c>
      <c r="N99" s="55">
        <v>0</v>
      </c>
      <c r="O99" s="58">
        <v>4.5999999999999999E-3</v>
      </c>
      <c r="P99" s="58">
        <v>0.3624</v>
      </c>
      <c r="Q99" s="58">
        <v>5.0500000000000003E-2</v>
      </c>
      <c r="R99" s="58">
        <v>0.13919999999999999</v>
      </c>
      <c r="S99" s="58">
        <v>0</v>
      </c>
    </row>
    <row r="100" spans="1:19" ht="15" x14ac:dyDescent="0.4">
      <c r="A100" s="55" t="s">
        <v>1339</v>
      </c>
      <c r="B100" s="54">
        <v>46147</v>
      </c>
      <c r="C100" s="55" t="s">
        <v>82</v>
      </c>
      <c r="D100" s="55" t="s">
        <v>1246</v>
      </c>
      <c r="E100" s="55" t="s">
        <v>79</v>
      </c>
      <c r="F100" s="55">
        <v>17824</v>
      </c>
      <c r="G100" s="55">
        <v>17738</v>
      </c>
      <c r="H100" s="55">
        <v>86</v>
      </c>
      <c r="I100" s="55">
        <v>10014</v>
      </c>
      <c r="J100" s="55">
        <v>5294</v>
      </c>
      <c r="K100" s="55">
        <v>4720</v>
      </c>
      <c r="L100" s="55">
        <v>349</v>
      </c>
      <c r="M100" s="55">
        <v>34</v>
      </c>
      <c r="N100" s="55">
        <v>2</v>
      </c>
      <c r="O100" s="58">
        <v>4.7999999999999996E-3</v>
      </c>
      <c r="P100" s="58">
        <v>0.2661</v>
      </c>
      <c r="Q100" s="58">
        <v>1.9699999999999999E-2</v>
      </c>
      <c r="R100" s="58">
        <v>7.3899999999999993E-2</v>
      </c>
      <c r="S100" s="58">
        <v>1E-4</v>
      </c>
    </row>
    <row r="101" spans="1:19" ht="15" x14ac:dyDescent="0.4">
      <c r="A101" s="55" t="s">
        <v>1340</v>
      </c>
      <c r="B101" s="54">
        <v>46149</v>
      </c>
      <c r="C101" s="55" t="s">
        <v>83</v>
      </c>
      <c r="D101" s="55" t="s">
        <v>1227</v>
      </c>
      <c r="E101" s="55" t="s">
        <v>79</v>
      </c>
      <c r="F101" s="55">
        <v>621</v>
      </c>
      <c r="G101" s="55">
        <v>618</v>
      </c>
      <c r="H101" s="55">
        <v>3</v>
      </c>
      <c r="I101" s="55">
        <v>405</v>
      </c>
      <c r="J101" s="55">
        <v>173</v>
      </c>
      <c r="K101" s="55">
        <v>232</v>
      </c>
      <c r="L101" s="55">
        <v>33</v>
      </c>
      <c r="M101" s="55">
        <v>1</v>
      </c>
      <c r="N101" s="55">
        <v>0</v>
      </c>
      <c r="O101" s="58">
        <v>4.7999999999999996E-3</v>
      </c>
      <c r="P101" s="58">
        <v>0.37540000000000001</v>
      </c>
      <c r="Q101" s="58">
        <v>5.3400000000000003E-2</v>
      </c>
      <c r="R101" s="58">
        <v>0.14219999999999999</v>
      </c>
      <c r="S101" s="58">
        <v>0</v>
      </c>
    </row>
    <row r="102" spans="1:19" ht="15" x14ac:dyDescent="0.4">
      <c r="A102" s="55" t="s">
        <v>1341</v>
      </c>
      <c r="B102" s="54">
        <v>46153</v>
      </c>
      <c r="C102" s="55" t="s">
        <v>85</v>
      </c>
      <c r="D102" s="55" t="s">
        <v>1342</v>
      </c>
      <c r="E102" s="55" t="s">
        <v>79</v>
      </c>
      <c r="F102" s="55">
        <v>17956</v>
      </c>
      <c r="G102" s="55">
        <v>17861</v>
      </c>
      <c r="H102" s="55">
        <v>95</v>
      </c>
      <c r="I102" s="55">
        <v>9666</v>
      </c>
      <c r="J102" s="55">
        <v>5272</v>
      </c>
      <c r="K102" s="55">
        <v>4394</v>
      </c>
      <c r="L102" s="55">
        <v>517</v>
      </c>
      <c r="M102" s="55">
        <v>28</v>
      </c>
      <c r="N102" s="55">
        <v>3</v>
      </c>
      <c r="O102" s="58">
        <v>5.3E-3</v>
      </c>
      <c r="P102" s="58">
        <v>0.246</v>
      </c>
      <c r="Q102" s="58">
        <v>2.8899999999999999E-2</v>
      </c>
      <c r="R102" s="58">
        <v>0.1177</v>
      </c>
      <c r="S102" s="58">
        <v>2.0000000000000001E-4</v>
      </c>
    </row>
    <row r="103" spans="1:19" ht="15" x14ac:dyDescent="0.4">
      <c r="A103" s="55" t="s">
        <v>1343</v>
      </c>
      <c r="B103" s="54">
        <v>46154</v>
      </c>
      <c r="C103" s="55" t="s">
        <v>82</v>
      </c>
      <c r="D103" s="55" t="s">
        <v>1234</v>
      </c>
      <c r="E103" s="55" t="s">
        <v>79</v>
      </c>
      <c r="F103" s="55">
        <v>17955</v>
      </c>
      <c r="G103" s="55">
        <v>17869</v>
      </c>
      <c r="H103" s="55">
        <v>86</v>
      </c>
      <c r="I103" s="55">
        <v>10189</v>
      </c>
      <c r="J103" s="55">
        <v>5661</v>
      </c>
      <c r="K103" s="55">
        <v>4528</v>
      </c>
      <c r="L103" s="55">
        <v>345</v>
      </c>
      <c r="M103" s="55">
        <v>36</v>
      </c>
      <c r="N103" s="55">
        <v>3</v>
      </c>
      <c r="O103" s="58">
        <v>4.7999999999999996E-3</v>
      </c>
      <c r="P103" s="58">
        <v>0.25340000000000001</v>
      </c>
      <c r="Q103" s="58">
        <v>1.9300000000000001E-2</v>
      </c>
      <c r="R103" s="58">
        <v>7.6200000000000004E-2</v>
      </c>
      <c r="S103" s="58">
        <v>2.0000000000000001E-4</v>
      </c>
    </row>
    <row r="104" spans="1:19" ht="15" x14ac:dyDescent="0.4">
      <c r="A104" s="55" t="s">
        <v>1344</v>
      </c>
      <c r="B104" s="54">
        <v>46156</v>
      </c>
      <c r="C104" s="55" t="s">
        <v>83</v>
      </c>
      <c r="D104" s="55" t="s">
        <v>1227</v>
      </c>
      <c r="E104" s="55" t="s">
        <v>79</v>
      </c>
      <c r="F104" s="55">
        <v>687</v>
      </c>
      <c r="G104" s="55">
        <v>684</v>
      </c>
      <c r="H104" s="55">
        <v>3</v>
      </c>
      <c r="I104" s="55">
        <v>465</v>
      </c>
      <c r="J104" s="55">
        <v>200</v>
      </c>
      <c r="K104" s="55">
        <v>265</v>
      </c>
      <c r="L104" s="55">
        <v>36</v>
      </c>
      <c r="M104" s="55">
        <v>2</v>
      </c>
      <c r="N104" s="55">
        <v>0</v>
      </c>
      <c r="O104" s="58">
        <v>4.4000000000000003E-3</v>
      </c>
      <c r="P104" s="58">
        <v>0.38740000000000002</v>
      </c>
      <c r="Q104" s="58">
        <v>5.2600000000000001E-2</v>
      </c>
      <c r="R104" s="58">
        <v>0.1358</v>
      </c>
      <c r="S104" s="58">
        <v>0</v>
      </c>
    </row>
    <row r="105" spans="1:19" ht="15" x14ac:dyDescent="0.4">
      <c r="A105" s="55" t="s">
        <v>1345</v>
      </c>
      <c r="B105" s="54">
        <v>46161</v>
      </c>
      <c r="C105" s="55" t="s">
        <v>82</v>
      </c>
      <c r="D105" s="55" t="s">
        <v>1237</v>
      </c>
      <c r="E105" s="55" t="s">
        <v>79</v>
      </c>
      <c r="F105" s="55">
        <v>18103</v>
      </c>
      <c r="G105" s="55">
        <v>18019</v>
      </c>
      <c r="H105" s="55">
        <v>84</v>
      </c>
      <c r="I105" s="55">
        <v>9633</v>
      </c>
      <c r="J105" s="55">
        <v>5128</v>
      </c>
      <c r="K105" s="55">
        <v>4505</v>
      </c>
      <c r="L105" s="55">
        <v>414</v>
      </c>
      <c r="M105" s="55">
        <v>35</v>
      </c>
      <c r="N105" s="55">
        <v>3</v>
      </c>
      <c r="O105" s="58">
        <v>4.5999999999999999E-3</v>
      </c>
      <c r="P105" s="58">
        <v>0.25</v>
      </c>
      <c r="Q105" s="58">
        <v>2.3E-2</v>
      </c>
      <c r="R105" s="58">
        <v>9.1899999999999996E-2</v>
      </c>
      <c r="S105" s="58">
        <v>2.0000000000000001E-4</v>
      </c>
    </row>
    <row r="106" spans="1:19" ht="15" x14ac:dyDescent="0.4">
      <c r="A106" s="55" t="s">
        <v>1346</v>
      </c>
      <c r="B106" s="54">
        <v>46163</v>
      </c>
      <c r="C106" s="55" t="s">
        <v>83</v>
      </c>
      <c r="D106" s="55" t="s">
        <v>1227</v>
      </c>
      <c r="E106" s="55" t="s">
        <v>79</v>
      </c>
      <c r="F106" s="55">
        <v>693</v>
      </c>
      <c r="G106" s="55">
        <v>689</v>
      </c>
      <c r="H106" s="55">
        <v>4</v>
      </c>
      <c r="I106" s="55">
        <v>430</v>
      </c>
      <c r="J106" s="55">
        <v>163</v>
      </c>
      <c r="K106" s="55">
        <v>267</v>
      </c>
      <c r="L106" s="55">
        <v>39</v>
      </c>
      <c r="M106" s="55">
        <v>2</v>
      </c>
      <c r="N106" s="55">
        <v>0</v>
      </c>
      <c r="O106" s="58">
        <v>5.7999999999999996E-3</v>
      </c>
      <c r="P106" s="58">
        <v>0.38750000000000001</v>
      </c>
      <c r="Q106" s="58">
        <v>5.6599999999999998E-2</v>
      </c>
      <c r="R106" s="58">
        <v>0.14610000000000001</v>
      </c>
      <c r="S106" s="58">
        <v>0</v>
      </c>
    </row>
    <row r="107" spans="1:19" ht="15" x14ac:dyDescent="0.4">
      <c r="A107" s="55" t="s">
        <v>1347</v>
      </c>
      <c r="B107" s="54">
        <v>46168</v>
      </c>
      <c r="C107" s="55" t="s">
        <v>82</v>
      </c>
      <c r="D107" s="55" t="s">
        <v>1231</v>
      </c>
      <c r="E107" s="55" t="s">
        <v>79</v>
      </c>
      <c r="F107" s="55">
        <v>18259</v>
      </c>
      <c r="G107" s="55">
        <v>18160</v>
      </c>
      <c r="H107" s="55">
        <v>99</v>
      </c>
      <c r="I107" s="55">
        <v>9639</v>
      </c>
      <c r="J107" s="55">
        <v>5143</v>
      </c>
      <c r="K107" s="55">
        <v>4496</v>
      </c>
      <c r="L107" s="55">
        <v>364</v>
      </c>
      <c r="M107" s="55">
        <v>33</v>
      </c>
      <c r="N107" s="55">
        <v>3</v>
      </c>
      <c r="O107" s="58">
        <v>5.4000000000000003E-3</v>
      </c>
      <c r="P107" s="58">
        <v>0.24759999999999999</v>
      </c>
      <c r="Q107" s="58">
        <v>0.02</v>
      </c>
      <c r="R107" s="58">
        <v>8.1000000000000003E-2</v>
      </c>
      <c r="S107" s="58">
        <v>2.0000000000000001E-4</v>
      </c>
    </row>
    <row r="108" spans="1:19" ht="15" x14ac:dyDescent="0.4">
      <c r="A108" s="55" t="s">
        <v>1348</v>
      </c>
      <c r="B108" s="54">
        <v>46170</v>
      </c>
      <c r="C108" s="55" t="s">
        <v>83</v>
      </c>
      <c r="D108" s="55" t="s">
        <v>1227</v>
      </c>
      <c r="E108" s="55" t="s">
        <v>79</v>
      </c>
      <c r="F108" s="55">
        <v>681</v>
      </c>
      <c r="G108" s="55">
        <v>678</v>
      </c>
      <c r="H108" s="55">
        <v>3</v>
      </c>
      <c r="I108" s="55">
        <v>459</v>
      </c>
      <c r="J108" s="55">
        <v>190</v>
      </c>
      <c r="K108" s="55">
        <v>269</v>
      </c>
      <c r="L108" s="55">
        <v>35</v>
      </c>
      <c r="M108" s="55">
        <v>1</v>
      </c>
      <c r="N108" s="55">
        <v>0</v>
      </c>
      <c r="O108" s="58">
        <v>4.4000000000000003E-3</v>
      </c>
      <c r="P108" s="58">
        <v>0.39679999999999999</v>
      </c>
      <c r="Q108" s="58">
        <v>5.16E-2</v>
      </c>
      <c r="R108" s="58">
        <v>0.13009999999999999</v>
      </c>
      <c r="S108" s="58">
        <v>0</v>
      </c>
    </row>
    <row r="109" spans="1:19" ht="15" x14ac:dyDescent="0.4">
      <c r="A109" s="55" t="s">
        <v>1349</v>
      </c>
      <c r="B109" s="54">
        <v>46175</v>
      </c>
      <c r="C109" s="55" t="s">
        <v>82</v>
      </c>
      <c r="D109" s="55" t="s">
        <v>1234</v>
      </c>
      <c r="E109" s="55" t="s">
        <v>79</v>
      </c>
      <c r="F109" s="55">
        <v>18396</v>
      </c>
      <c r="G109" s="55">
        <v>18299</v>
      </c>
      <c r="H109" s="55">
        <v>97</v>
      </c>
      <c r="I109" s="55">
        <v>10552</v>
      </c>
      <c r="J109" s="55">
        <v>5320</v>
      </c>
      <c r="K109" s="55">
        <v>5232</v>
      </c>
      <c r="L109" s="55">
        <v>393</v>
      </c>
      <c r="M109" s="55">
        <v>33</v>
      </c>
      <c r="N109" s="55">
        <v>3</v>
      </c>
      <c r="O109" s="58">
        <v>5.3E-3</v>
      </c>
      <c r="P109" s="58">
        <v>0.28589999999999999</v>
      </c>
      <c r="Q109" s="58">
        <v>2.1499999999999998E-2</v>
      </c>
      <c r="R109" s="58">
        <v>7.51E-2</v>
      </c>
      <c r="S109" s="58">
        <v>2.0000000000000001E-4</v>
      </c>
    </row>
    <row r="110" spans="1:19" ht="15" x14ac:dyDescent="0.4">
      <c r="A110" s="55" t="s">
        <v>1350</v>
      </c>
      <c r="B110" s="54">
        <v>46177</v>
      </c>
      <c r="C110" s="55" t="s">
        <v>83</v>
      </c>
      <c r="D110" s="55" t="s">
        <v>1227</v>
      </c>
      <c r="E110" s="55" t="s">
        <v>79</v>
      </c>
      <c r="F110" s="55">
        <v>657</v>
      </c>
      <c r="G110" s="55">
        <v>654</v>
      </c>
      <c r="H110" s="55">
        <v>3</v>
      </c>
      <c r="I110" s="55">
        <v>404</v>
      </c>
      <c r="J110" s="55">
        <v>175</v>
      </c>
      <c r="K110" s="55">
        <v>229</v>
      </c>
      <c r="L110" s="55">
        <v>37</v>
      </c>
      <c r="M110" s="55">
        <v>1</v>
      </c>
      <c r="N110" s="55">
        <v>0</v>
      </c>
      <c r="O110" s="58">
        <v>4.5999999999999999E-3</v>
      </c>
      <c r="P110" s="58">
        <v>0.35020000000000001</v>
      </c>
      <c r="Q110" s="58">
        <v>5.6599999999999998E-2</v>
      </c>
      <c r="R110" s="58">
        <v>0.16159999999999999</v>
      </c>
      <c r="S110" s="58">
        <v>0</v>
      </c>
    </row>
    <row r="111" spans="1:19" ht="15" x14ac:dyDescent="0.4">
      <c r="A111" s="55" t="s">
        <v>1351</v>
      </c>
      <c r="B111" s="54">
        <v>46181</v>
      </c>
      <c r="C111" s="55" t="s">
        <v>85</v>
      </c>
      <c r="D111" s="55" t="s">
        <v>1352</v>
      </c>
      <c r="E111" s="55" t="s">
        <v>79</v>
      </c>
      <c r="F111" s="55">
        <v>18524</v>
      </c>
      <c r="G111" s="55">
        <v>18431</v>
      </c>
      <c r="H111" s="55">
        <v>93</v>
      </c>
      <c r="I111" s="55">
        <v>9678</v>
      </c>
      <c r="J111" s="55">
        <v>5443</v>
      </c>
      <c r="K111" s="55">
        <v>4235</v>
      </c>
      <c r="L111" s="55">
        <v>562</v>
      </c>
      <c r="M111" s="55">
        <v>27</v>
      </c>
      <c r="N111" s="55">
        <v>3</v>
      </c>
      <c r="O111" s="58">
        <v>5.0000000000000001E-3</v>
      </c>
      <c r="P111" s="58">
        <v>0.2298</v>
      </c>
      <c r="Q111" s="58">
        <v>3.0499999999999999E-2</v>
      </c>
      <c r="R111" s="58">
        <v>0.13270000000000001</v>
      </c>
      <c r="S111" s="58">
        <v>2.0000000000000001E-4</v>
      </c>
    </row>
    <row r="112" spans="1:19" ht="15" x14ac:dyDescent="0.4">
      <c r="A112" s="55" t="s">
        <v>1353</v>
      </c>
      <c r="B112" s="54">
        <v>46182</v>
      </c>
      <c r="C112" s="55" t="s">
        <v>82</v>
      </c>
      <c r="D112" s="55" t="s">
        <v>1246</v>
      </c>
      <c r="E112" s="55" t="s">
        <v>79</v>
      </c>
      <c r="F112" s="55">
        <v>18520</v>
      </c>
      <c r="G112" s="55">
        <v>18426</v>
      </c>
      <c r="H112" s="55">
        <v>94</v>
      </c>
      <c r="I112" s="55">
        <v>10360</v>
      </c>
      <c r="J112" s="55">
        <v>5411</v>
      </c>
      <c r="K112" s="55">
        <v>4949</v>
      </c>
      <c r="L112" s="55">
        <v>432</v>
      </c>
      <c r="M112" s="55">
        <v>32</v>
      </c>
      <c r="N112" s="55">
        <v>3</v>
      </c>
      <c r="O112" s="58">
        <v>5.1000000000000004E-3</v>
      </c>
      <c r="P112" s="58">
        <v>0.26860000000000001</v>
      </c>
      <c r="Q112" s="58">
        <v>2.3400000000000001E-2</v>
      </c>
      <c r="R112" s="58">
        <v>8.7300000000000003E-2</v>
      </c>
      <c r="S112" s="58">
        <v>2.0000000000000001E-4</v>
      </c>
    </row>
    <row r="113" spans="1:19" ht="15" x14ac:dyDescent="0.4">
      <c r="A113" s="55" t="s">
        <v>1354</v>
      </c>
      <c r="B113" s="54">
        <v>46184</v>
      </c>
      <c r="C113" s="55" t="s">
        <v>83</v>
      </c>
      <c r="D113" s="55" t="s">
        <v>1227</v>
      </c>
      <c r="E113" s="55" t="s">
        <v>79</v>
      </c>
      <c r="F113" s="55">
        <v>663</v>
      </c>
      <c r="G113" s="55">
        <v>660</v>
      </c>
      <c r="H113" s="55">
        <v>3</v>
      </c>
      <c r="I113" s="55">
        <v>402</v>
      </c>
      <c r="J113" s="55">
        <v>184</v>
      </c>
      <c r="K113" s="55">
        <v>218</v>
      </c>
      <c r="L113" s="55">
        <v>33</v>
      </c>
      <c r="M113" s="55">
        <v>2</v>
      </c>
      <c r="N113" s="55">
        <v>0</v>
      </c>
      <c r="O113" s="58">
        <v>4.4999999999999997E-3</v>
      </c>
      <c r="P113" s="58">
        <v>0.33029999999999998</v>
      </c>
      <c r="Q113" s="58">
        <v>0.05</v>
      </c>
      <c r="R113" s="58">
        <v>0.15140000000000001</v>
      </c>
      <c r="S113" s="58">
        <v>0</v>
      </c>
    </row>
    <row r="114" spans="1:19" ht="15" x14ac:dyDescent="0.4">
      <c r="A114" s="55" t="s">
        <v>1355</v>
      </c>
      <c r="B114" s="54">
        <v>46189</v>
      </c>
      <c r="C114" s="55" t="s">
        <v>82</v>
      </c>
      <c r="D114" s="55" t="s">
        <v>1249</v>
      </c>
      <c r="E114" s="55" t="s">
        <v>79</v>
      </c>
      <c r="F114" s="55">
        <v>18678</v>
      </c>
      <c r="G114" s="55">
        <v>18591</v>
      </c>
      <c r="H114" s="55">
        <v>87</v>
      </c>
      <c r="I114" s="55">
        <v>10807</v>
      </c>
      <c r="J114" s="55">
        <v>5632</v>
      </c>
      <c r="K114" s="55">
        <v>5175</v>
      </c>
      <c r="L114" s="55">
        <v>408</v>
      </c>
      <c r="M114" s="55">
        <v>31</v>
      </c>
      <c r="N114" s="55">
        <v>3</v>
      </c>
      <c r="O114" s="58">
        <v>4.7000000000000002E-3</v>
      </c>
      <c r="P114" s="58">
        <v>0.27839999999999998</v>
      </c>
      <c r="Q114" s="58">
        <v>2.1899999999999999E-2</v>
      </c>
      <c r="R114" s="58">
        <v>7.8799999999999995E-2</v>
      </c>
      <c r="S114" s="58">
        <v>2.0000000000000001E-4</v>
      </c>
    </row>
    <row r="115" spans="1:19" ht="15" x14ac:dyDescent="0.4">
      <c r="A115" s="55" t="s">
        <v>1356</v>
      </c>
      <c r="B115" s="54">
        <v>46191</v>
      </c>
      <c r="C115" s="55" t="s">
        <v>83</v>
      </c>
      <c r="D115" s="55" t="s">
        <v>1227</v>
      </c>
      <c r="E115" s="55" t="s">
        <v>79</v>
      </c>
      <c r="F115" s="55">
        <v>747</v>
      </c>
      <c r="G115" s="55">
        <v>744</v>
      </c>
      <c r="H115" s="55">
        <v>3</v>
      </c>
      <c r="I115" s="55">
        <v>506</v>
      </c>
      <c r="J115" s="55">
        <v>218</v>
      </c>
      <c r="K115" s="55">
        <v>288</v>
      </c>
      <c r="L115" s="55">
        <v>34</v>
      </c>
      <c r="M115" s="55">
        <v>2</v>
      </c>
      <c r="N115" s="55">
        <v>0</v>
      </c>
      <c r="O115" s="58">
        <v>4.0000000000000001E-3</v>
      </c>
      <c r="P115" s="58">
        <v>0.3871</v>
      </c>
      <c r="Q115" s="58">
        <v>4.5699999999999998E-2</v>
      </c>
      <c r="R115" s="58">
        <v>0.1181</v>
      </c>
      <c r="S115" s="58">
        <v>0</v>
      </c>
    </row>
    <row r="116" spans="1:19" ht="15" x14ac:dyDescent="0.4">
      <c r="A116" s="55" t="s">
        <v>1357</v>
      </c>
      <c r="B116" s="54">
        <v>46196</v>
      </c>
      <c r="C116" s="55" t="s">
        <v>82</v>
      </c>
      <c r="D116" s="55" t="s">
        <v>1225</v>
      </c>
      <c r="E116" s="55" t="s">
        <v>79</v>
      </c>
      <c r="F116" s="55">
        <v>18812</v>
      </c>
      <c r="G116" s="55">
        <v>18726</v>
      </c>
      <c r="H116" s="55">
        <v>86</v>
      </c>
      <c r="I116" s="55">
        <v>10314</v>
      </c>
      <c r="J116" s="55">
        <v>5631</v>
      </c>
      <c r="K116" s="55">
        <v>4683</v>
      </c>
      <c r="L116" s="55">
        <v>358</v>
      </c>
      <c r="M116" s="55">
        <v>35</v>
      </c>
      <c r="N116" s="55">
        <v>3</v>
      </c>
      <c r="O116" s="58">
        <v>4.5999999999999999E-3</v>
      </c>
      <c r="P116" s="58">
        <v>0.25009999999999999</v>
      </c>
      <c r="Q116" s="58">
        <v>1.9099999999999999E-2</v>
      </c>
      <c r="R116" s="58">
        <v>7.6399999999999996E-2</v>
      </c>
      <c r="S116" s="58">
        <v>2.0000000000000001E-4</v>
      </c>
    </row>
    <row r="117" spans="1:19" ht="15" x14ac:dyDescent="0.4">
      <c r="A117" s="55" t="s">
        <v>1358</v>
      </c>
      <c r="B117" s="54">
        <v>46198</v>
      </c>
      <c r="C117" s="55" t="s">
        <v>83</v>
      </c>
      <c r="D117" s="55" t="s">
        <v>1227</v>
      </c>
      <c r="E117" s="55" t="s">
        <v>79</v>
      </c>
      <c r="F117" s="55">
        <v>621</v>
      </c>
      <c r="G117" s="55">
        <v>618</v>
      </c>
      <c r="H117" s="55">
        <v>3</v>
      </c>
      <c r="I117" s="55">
        <v>436</v>
      </c>
      <c r="J117" s="55">
        <v>174</v>
      </c>
      <c r="K117" s="55">
        <v>262</v>
      </c>
      <c r="L117" s="55">
        <v>30</v>
      </c>
      <c r="M117" s="55">
        <v>1</v>
      </c>
      <c r="N117" s="55">
        <v>0</v>
      </c>
      <c r="O117" s="58">
        <v>4.7999999999999996E-3</v>
      </c>
      <c r="P117" s="58">
        <v>0.4239</v>
      </c>
      <c r="Q117" s="58">
        <v>4.8500000000000001E-2</v>
      </c>
      <c r="R117" s="58">
        <v>0.1145</v>
      </c>
      <c r="S117" s="58">
        <v>0</v>
      </c>
    </row>
    <row r="118" spans="1:19" ht="15" x14ac:dyDescent="0.4">
      <c r="A118" s="55" t="s">
        <v>1359</v>
      </c>
      <c r="B118" s="54">
        <v>46203</v>
      </c>
      <c r="C118" s="55" t="s">
        <v>82</v>
      </c>
      <c r="D118" s="55" t="s">
        <v>1246</v>
      </c>
      <c r="E118" s="55" t="s">
        <v>79</v>
      </c>
      <c r="F118" s="55">
        <v>18963</v>
      </c>
      <c r="G118" s="55">
        <v>18862</v>
      </c>
      <c r="H118" s="55">
        <v>101</v>
      </c>
      <c r="I118" s="55">
        <v>11721</v>
      </c>
      <c r="J118" s="55">
        <v>6466</v>
      </c>
      <c r="K118" s="55">
        <v>5255</v>
      </c>
      <c r="L118" s="55">
        <v>428</v>
      </c>
      <c r="M118" s="55">
        <v>36</v>
      </c>
      <c r="N118" s="55">
        <v>3</v>
      </c>
      <c r="O118" s="58">
        <v>5.3E-3</v>
      </c>
      <c r="P118" s="58">
        <v>0.27860000000000001</v>
      </c>
      <c r="Q118" s="58">
        <v>2.2700000000000001E-2</v>
      </c>
      <c r="R118" s="58">
        <v>8.14E-2</v>
      </c>
      <c r="S118" s="58">
        <v>2.0000000000000001E-4</v>
      </c>
    </row>
    <row r="119" spans="1:19" ht="15" x14ac:dyDescent="0.4">
      <c r="A119" s="55" t="s">
        <v>1360</v>
      </c>
      <c r="B119" s="54">
        <v>46205</v>
      </c>
      <c r="C119" s="55" t="s">
        <v>83</v>
      </c>
      <c r="D119" s="55" t="s">
        <v>1227</v>
      </c>
      <c r="E119" s="55" t="s">
        <v>79</v>
      </c>
      <c r="F119" s="55">
        <v>654</v>
      </c>
      <c r="G119" s="55">
        <v>651</v>
      </c>
      <c r="H119" s="55">
        <v>3</v>
      </c>
      <c r="I119" s="55">
        <v>426</v>
      </c>
      <c r="J119" s="55">
        <v>180</v>
      </c>
      <c r="K119" s="55">
        <v>246</v>
      </c>
      <c r="L119" s="55">
        <v>29</v>
      </c>
      <c r="M119" s="55">
        <v>2</v>
      </c>
      <c r="N119" s="55">
        <v>0</v>
      </c>
      <c r="O119" s="58">
        <v>4.5999999999999999E-3</v>
      </c>
      <c r="P119" s="58">
        <v>0.37790000000000001</v>
      </c>
      <c r="Q119" s="58">
        <v>4.4499999999999998E-2</v>
      </c>
      <c r="R119" s="58">
        <v>0.1179</v>
      </c>
      <c r="S119" s="58">
        <v>0</v>
      </c>
    </row>
    <row r="120" spans="1:19" ht="15" x14ac:dyDescent="0.4">
      <c r="A120" s="55" t="s">
        <v>1361</v>
      </c>
      <c r="B120" s="54">
        <v>46209</v>
      </c>
      <c r="C120" s="55" t="s">
        <v>85</v>
      </c>
      <c r="D120" s="55" t="s">
        <v>1229</v>
      </c>
      <c r="E120" s="55" t="s">
        <v>79</v>
      </c>
      <c r="F120" s="55">
        <v>19061</v>
      </c>
      <c r="G120" s="55">
        <v>18961</v>
      </c>
      <c r="H120" s="55">
        <v>100</v>
      </c>
      <c r="I120" s="55">
        <v>10464</v>
      </c>
      <c r="J120" s="55">
        <v>5797</v>
      </c>
      <c r="K120" s="55">
        <v>4667</v>
      </c>
      <c r="L120" s="55">
        <v>554</v>
      </c>
      <c r="M120" s="55">
        <v>28</v>
      </c>
      <c r="N120" s="55">
        <v>3</v>
      </c>
      <c r="O120" s="58">
        <v>5.1999999999999998E-3</v>
      </c>
      <c r="P120" s="58">
        <v>0.24610000000000001</v>
      </c>
      <c r="Q120" s="58">
        <v>2.92E-2</v>
      </c>
      <c r="R120" s="58">
        <v>0.1187</v>
      </c>
      <c r="S120" s="58">
        <v>2.0000000000000001E-4</v>
      </c>
    </row>
    <row r="121" spans="1:19" ht="15" x14ac:dyDescent="0.4">
      <c r="A121" s="55" t="s">
        <v>1362</v>
      </c>
      <c r="B121" s="54">
        <v>46210</v>
      </c>
      <c r="C121" s="55" t="s">
        <v>82</v>
      </c>
      <c r="D121" s="55" t="s">
        <v>1234</v>
      </c>
      <c r="E121" s="55" t="s">
        <v>79</v>
      </c>
      <c r="F121" s="55">
        <v>19060</v>
      </c>
      <c r="G121" s="55">
        <v>18968</v>
      </c>
      <c r="H121" s="55">
        <v>92</v>
      </c>
      <c r="I121" s="55">
        <v>11193</v>
      </c>
      <c r="J121" s="55">
        <v>5566</v>
      </c>
      <c r="K121" s="55">
        <v>5627</v>
      </c>
      <c r="L121" s="55">
        <v>423</v>
      </c>
      <c r="M121" s="55">
        <v>35</v>
      </c>
      <c r="N121" s="55">
        <v>3</v>
      </c>
      <c r="O121" s="58">
        <v>4.7999999999999996E-3</v>
      </c>
      <c r="P121" s="58">
        <v>0.29670000000000002</v>
      </c>
      <c r="Q121" s="58">
        <v>2.23E-2</v>
      </c>
      <c r="R121" s="58">
        <v>7.5200000000000003E-2</v>
      </c>
      <c r="S121" s="58">
        <v>2.0000000000000001E-4</v>
      </c>
    </row>
    <row r="122" spans="1:19" ht="15" x14ac:dyDescent="0.4">
      <c r="A122" s="55" t="s">
        <v>1363</v>
      </c>
      <c r="B122" s="54">
        <v>46212</v>
      </c>
      <c r="C122" s="55" t="s">
        <v>83</v>
      </c>
      <c r="D122" s="55" t="s">
        <v>1227</v>
      </c>
      <c r="E122" s="55" t="s">
        <v>79</v>
      </c>
      <c r="F122" s="55">
        <v>648</v>
      </c>
      <c r="G122" s="55">
        <v>645</v>
      </c>
      <c r="H122" s="55">
        <v>3</v>
      </c>
      <c r="I122" s="55">
        <v>428</v>
      </c>
      <c r="J122" s="55">
        <v>178</v>
      </c>
      <c r="K122" s="55">
        <v>250</v>
      </c>
      <c r="L122" s="55">
        <v>32</v>
      </c>
      <c r="M122" s="55">
        <v>1</v>
      </c>
      <c r="N122" s="55">
        <v>0</v>
      </c>
      <c r="O122" s="58">
        <v>4.5999999999999999E-3</v>
      </c>
      <c r="P122" s="58">
        <v>0.3876</v>
      </c>
      <c r="Q122" s="58">
        <v>4.9599999999999998E-2</v>
      </c>
      <c r="R122" s="58">
        <v>0.128</v>
      </c>
      <c r="S122" s="58">
        <v>0</v>
      </c>
    </row>
    <row r="123" spans="1:19" ht="15" x14ac:dyDescent="0.4">
      <c r="A123" s="55" t="s">
        <v>1364</v>
      </c>
      <c r="B123" s="54">
        <v>46217</v>
      </c>
      <c r="C123" s="55" t="s">
        <v>82</v>
      </c>
      <c r="D123" s="55" t="s">
        <v>1237</v>
      </c>
      <c r="E123" s="55" t="s">
        <v>79</v>
      </c>
      <c r="F123" s="55">
        <v>19212</v>
      </c>
      <c r="G123" s="55">
        <v>19114</v>
      </c>
      <c r="H123" s="55">
        <v>98</v>
      </c>
      <c r="I123" s="55">
        <v>10415</v>
      </c>
      <c r="J123" s="55">
        <v>5309</v>
      </c>
      <c r="K123" s="55">
        <v>5106</v>
      </c>
      <c r="L123" s="55">
        <v>377</v>
      </c>
      <c r="M123" s="55">
        <v>34</v>
      </c>
      <c r="N123" s="55">
        <v>3</v>
      </c>
      <c r="O123" s="58">
        <v>5.1000000000000004E-3</v>
      </c>
      <c r="P123" s="58">
        <v>0.2671</v>
      </c>
      <c r="Q123" s="58">
        <v>1.9699999999999999E-2</v>
      </c>
      <c r="R123" s="58">
        <v>7.3800000000000004E-2</v>
      </c>
      <c r="S123" s="58">
        <v>2.0000000000000001E-4</v>
      </c>
    </row>
    <row r="124" spans="1:19" ht="15" x14ac:dyDescent="0.4">
      <c r="A124" s="55" t="s">
        <v>1365</v>
      </c>
      <c r="B124" s="54">
        <v>46219</v>
      </c>
      <c r="C124" s="55" t="s">
        <v>83</v>
      </c>
      <c r="D124" s="55" t="s">
        <v>1227</v>
      </c>
      <c r="E124" s="55" t="s">
        <v>79</v>
      </c>
      <c r="F124" s="55">
        <v>696</v>
      </c>
      <c r="G124" s="55">
        <v>692</v>
      </c>
      <c r="H124" s="55">
        <v>4</v>
      </c>
      <c r="I124" s="55">
        <v>459</v>
      </c>
      <c r="J124" s="55">
        <v>196</v>
      </c>
      <c r="K124" s="55">
        <v>263</v>
      </c>
      <c r="L124" s="55">
        <v>36</v>
      </c>
      <c r="M124" s="55">
        <v>2</v>
      </c>
      <c r="N124" s="55">
        <v>0</v>
      </c>
      <c r="O124" s="58">
        <v>5.7000000000000002E-3</v>
      </c>
      <c r="P124" s="58">
        <v>0.38009999999999999</v>
      </c>
      <c r="Q124" s="58">
        <v>5.1999999999999998E-2</v>
      </c>
      <c r="R124" s="58">
        <v>0.13689999999999999</v>
      </c>
      <c r="S124" s="58">
        <v>0</v>
      </c>
    </row>
    <row r="125" spans="1:19" ht="15" x14ac:dyDescent="0.4">
      <c r="A125" s="55" t="s">
        <v>1366</v>
      </c>
      <c r="B125" s="54">
        <v>46224</v>
      </c>
      <c r="C125" s="55" t="s">
        <v>82</v>
      </c>
      <c r="D125" s="55" t="s">
        <v>1231</v>
      </c>
      <c r="E125" s="55" t="s">
        <v>79</v>
      </c>
      <c r="F125" s="55">
        <v>19364</v>
      </c>
      <c r="G125" s="55">
        <v>19270</v>
      </c>
      <c r="H125" s="55">
        <v>94</v>
      </c>
      <c r="I125" s="55">
        <v>11171</v>
      </c>
      <c r="J125" s="55">
        <v>5667</v>
      </c>
      <c r="K125" s="55">
        <v>5504</v>
      </c>
      <c r="L125" s="55">
        <v>367</v>
      </c>
      <c r="M125" s="55">
        <v>36</v>
      </c>
      <c r="N125" s="55">
        <v>3</v>
      </c>
      <c r="O125" s="58">
        <v>4.8999999999999998E-3</v>
      </c>
      <c r="P125" s="58">
        <v>0.28560000000000002</v>
      </c>
      <c r="Q125" s="58">
        <v>1.9E-2</v>
      </c>
      <c r="R125" s="58">
        <v>6.6699999999999995E-2</v>
      </c>
      <c r="S125" s="58">
        <v>2.0000000000000001E-4</v>
      </c>
    </row>
    <row r="126" spans="1:19" ht="15" x14ac:dyDescent="0.4">
      <c r="A126" s="55" t="s">
        <v>1367</v>
      </c>
      <c r="B126" s="54">
        <v>46226</v>
      </c>
      <c r="C126" s="55" t="s">
        <v>83</v>
      </c>
      <c r="D126" s="55" t="s">
        <v>1227</v>
      </c>
      <c r="E126" s="55" t="s">
        <v>79</v>
      </c>
      <c r="F126" s="55">
        <v>708</v>
      </c>
      <c r="G126" s="55">
        <v>704</v>
      </c>
      <c r="H126" s="55">
        <v>4</v>
      </c>
      <c r="I126" s="55">
        <v>436</v>
      </c>
      <c r="J126" s="55">
        <v>173</v>
      </c>
      <c r="K126" s="55">
        <v>263</v>
      </c>
      <c r="L126" s="55">
        <v>39</v>
      </c>
      <c r="M126" s="55">
        <v>2</v>
      </c>
      <c r="N126" s="55">
        <v>0</v>
      </c>
      <c r="O126" s="58">
        <v>5.5999999999999999E-3</v>
      </c>
      <c r="P126" s="58">
        <v>0.37359999999999999</v>
      </c>
      <c r="Q126" s="58">
        <v>5.5399999999999998E-2</v>
      </c>
      <c r="R126" s="58">
        <v>0.14829999999999999</v>
      </c>
      <c r="S126" s="58">
        <v>0</v>
      </c>
    </row>
    <row r="127" spans="1:19" ht="15" x14ac:dyDescent="0.4">
      <c r="A127" s="55" t="s">
        <v>1368</v>
      </c>
      <c r="B127" s="54">
        <v>46231</v>
      </c>
      <c r="C127" s="55" t="s">
        <v>82</v>
      </c>
      <c r="D127" s="55" t="s">
        <v>1234</v>
      </c>
      <c r="E127" s="55" t="s">
        <v>79</v>
      </c>
      <c r="F127" s="55">
        <v>19514</v>
      </c>
      <c r="G127" s="55">
        <v>19421</v>
      </c>
      <c r="H127" s="55">
        <v>93</v>
      </c>
      <c r="I127" s="55">
        <v>11049</v>
      </c>
      <c r="J127" s="55">
        <v>6102</v>
      </c>
      <c r="K127" s="55">
        <v>4947</v>
      </c>
      <c r="L127" s="55">
        <v>433</v>
      </c>
      <c r="M127" s="55">
        <v>37</v>
      </c>
      <c r="N127" s="55">
        <v>3</v>
      </c>
      <c r="O127" s="58">
        <v>4.7999999999999996E-3</v>
      </c>
      <c r="P127" s="58">
        <v>0.25469999999999998</v>
      </c>
      <c r="Q127" s="58">
        <v>2.23E-2</v>
      </c>
      <c r="R127" s="58">
        <v>8.7499999999999994E-2</v>
      </c>
      <c r="S127" s="58">
        <v>2.0000000000000001E-4</v>
      </c>
    </row>
    <row r="128" spans="1:19" ht="15" x14ac:dyDescent="0.4">
      <c r="A128" s="55" t="s">
        <v>1369</v>
      </c>
      <c r="B128" s="54">
        <v>46233</v>
      </c>
      <c r="C128" s="55" t="s">
        <v>83</v>
      </c>
      <c r="D128" s="55" t="s">
        <v>1227</v>
      </c>
      <c r="E128" s="55" t="s">
        <v>79</v>
      </c>
      <c r="F128" s="55">
        <v>609</v>
      </c>
      <c r="G128" s="55">
        <v>606</v>
      </c>
      <c r="H128" s="55">
        <v>3</v>
      </c>
      <c r="I128" s="55">
        <v>430</v>
      </c>
      <c r="J128" s="55">
        <v>192</v>
      </c>
      <c r="K128" s="55">
        <v>238</v>
      </c>
      <c r="L128" s="55">
        <v>31</v>
      </c>
      <c r="M128" s="55">
        <v>1</v>
      </c>
      <c r="N128" s="55">
        <v>0</v>
      </c>
      <c r="O128" s="58">
        <v>4.8999999999999998E-3</v>
      </c>
      <c r="P128" s="58">
        <v>0.39269999999999999</v>
      </c>
      <c r="Q128" s="58">
        <v>5.1200000000000002E-2</v>
      </c>
      <c r="R128" s="58">
        <v>0.1303</v>
      </c>
      <c r="S128" s="58">
        <v>0</v>
      </c>
    </row>
    <row r="129" spans="1:19" ht="15" x14ac:dyDescent="0.4">
      <c r="A129" s="55" t="s">
        <v>1370</v>
      </c>
      <c r="B129" s="54">
        <v>46238</v>
      </c>
      <c r="C129" s="55" t="s">
        <v>82</v>
      </c>
      <c r="D129" s="55" t="s">
        <v>1237</v>
      </c>
      <c r="E129" s="55" t="s">
        <v>79</v>
      </c>
      <c r="F129" s="55">
        <v>19641</v>
      </c>
      <c r="G129" s="55">
        <v>19550</v>
      </c>
      <c r="H129" s="55">
        <v>91</v>
      </c>
      <c r="I129" s="55">
        <v>11316</v>
      </c>
      <c r="J129" s="55">
        <v>6136</v>
      </c>
      <c r="K129" s="55">
        <v>5180</v>
      </c>
      <c r="L129" s="55">
        <v>406</v>
      </c>
      <c r="M129" s="55">
        <v>36</v>
      </c>
      <c r="N129" s="55">
        <v>3</v>
      </c>
      <c r="O129" s="58">
        <v>4.5999999999999999E-3</v>
      </c>
      <c r="P129" s="58">
        <v>0.26500000000000001</v>
      </c>
      <c r="Q129" s="58">
        <v>2.0799999999999999E-2</v>
      </c>
      <c r="R129" s="58">
        <v>7.8399999999999997E-2</v>
      </c>
      <c r="S129" s="58">
        <v>2.0000000000000001E-4</v>
      </c>
    </row>
    <row r="130" spans="1:19" ht="15" x14ac:dyDescent="0.4">
      <c r="A130" s="55" t="s">
        <v>1371</v>
      </c>
      <c r="B130" s="54">
        <v>46240</v>
      </c>
      <c r="C130" s="55" t="s">
        <v>83</v>
      </c>
      <c r="D130" s="55" t="s">
        <v>1227</v>
      </c>
      <c r="E130" s="55" t="s">
        <v>79</v>
      </c>
      <c r="F130" s="55">
        <v>660</v>
      </c>
      <c r="G130" s="55">
        <v>657</v>
      </c>
      <c r="H130" s="55">
        <v>3</v>
      </c>
      <c r="I130" s="55">
        <v>492</v>
      </c>
      <c r="J130" s="55">
        <v>212</v>
      </c>
      <c r="K130" s="55">
        <v>280</v>
      </c>
      <c r="L130" s="55">
        <v>39</v>
      </c>
      <c r="M130" s="55">
        <v>1</v>
      </c>
      <c r="N130" s="55">
        <v>0</v>
      </c>
      <c r="O130" s="58">
        <v>4.4999999999999997E-3</v>
      </c>
      <c r="P130" s="58">
        <v>0.42620000000000002</v>
      </c>
      <c r="Q130" s="58">
        <v>5.9400000000000001E-2</v>
      </c>
      <c r="R130" s="58">
        <v>0.13930000000000001</v>
      </c>
      <c r="S130" s="58">
        <v>0</v>
      </c>
    </row>
    <row r="131" spans="1:19" ht="15" x14ac:dyDescent="0.4">
      <c r="A131" s="55" t="s">
        <v>1372</v>
      </c>
      <c r="B131" s="54">
        <v>46244</v>
      </c>
      <c r="C131" s="55" t="s">
        <v>85</v>
      </c>
      <c r="D131" s="55" t="s">
        <v>1244</v>
      </c>
      <c r="E131" s="55" t="s">
        <v>79</v>
      </c>
      <c r="F131" s="55">
        <v>19744</v>
      </c>
      <c r="G131" s="55">
        <v>19646</v>
      </c>
      <c r="H131" s="55">
        <v>98</v>
      </c>
      <c r="I131" s="55">
        <v>11034</v>
      </c>
      <c r="J131" s="55">
        <v>5611</v>
      </c>
      <c r="K131" s="55">
        <v>5423</v>
      </c>
      <c r="L131" s="55">
        <v>566</v>
      </c>
      <c r="M131" s="55">
        <v>30</v>
      </c>
      <c r="N131" s="55">
        <v>3</v>
      </c>
      <c r="O131" s="58">
        <v>5.0000000000000001E-3</v>
      </c>
      <c r="P131" s="58">
        <v>0.27600000000000002</v>
      </c>
      <c r="Q131" s="58">
        <v>2.8799999999999999E-2</v>
      </c>
      <c r="R131" s="58">
        <v>0.10440000000000001</v>
      </c>
      <c r="S131" s="58">
        <v>2.0000000000000001E-4</v>
      </c>
    </row>
    <row r="132" spans="1:19" ht="15" x14ac:dyDescent="0.4">
      <c r="A132" s="55" t="s">
        <v>1373</v>
      </c>
      <c r="B132" s="54">
        <v>46245</v>
      </c>
      <c r="C132" s="55" t="s">
        <v>82</v>
      </c>
      <c r="D132" s="55" t="s">
        <v>1249</v>
      </c>
      <c r="E132" s="55" t="s">
        <v>79</v>
      </c>
      <c r="F132" s="55">
        <v>19762</v>
      </c>
      <c r="G132" s="55">
        <v>19666</v>
      </c>
      <c r="H132" s="55">
        <v>96</v>
      </c>
      <c r="I132" s="55">
        <v>11623</v>
      </c>
      <c r="J132" s="55">
        <v>6362</v>
      </c>
      <c r="K132" s="55">
        <v>5261</v>
      </c>
      <c r="L132" s="55">
        <v>377</v>
      </c>
      <c r="M132" s="55">
        <v>36</v>
      </c>
      <c r="N132" s="55">
        <v>3</v>
      </c>
      <c r="O132" s="58">
        <v>4.8999999999999998E-3</v>
      </c>
      <c r="P132" s="58">
        <v>0.26750000000000002</v>
      </c>
      <c r="Q132" s="58">
        <v>1.9199999999999998E-2</v>
      </c>
      <c r="R132" s="58">
        <v>7.17E-2</v>
      </c>
      <c r="S132" s="58">
        <v>2.0000000000000001E-4</v>
      </c>
    </row>
    <row r="133" spans="1:19" ht="15" x14ac:dyDescent="0.4">
      <c r="A133" s="55" t="s">
        <v>1374</v>
      </c>
      <c r="B133" s="54">
        <v>46247</v>
      </c>
      <c r="C133" s="55" t="s">
        <v>83</v>
      </c>
      <c r="D133" s="55" t="s">
        <v>1227</v>
      </c>
      <c r="E133" s="55" t="s">
        <v>79</v>
      </c>
      <c r="F133" s="55">
        <v>882</v>
      </c>
      <c r="G133" s="55">
        <v>877</v>
      </c>
      <c r="H133" s="55">
        <v>5</v>
      </c>
      <c r="I133" s="55">
        <v>582</v>
      </c>
      <c r="J133" s="55">
        <v>230</v>
      </c>
      <c r="K133" s="55">
        <v>352</v>
      </c>
      <c r="L133" s="55">
        <v>50</v>
      </c>
      <c r="M133" s="55">
        <v>2</v>
      </c>
      <c r="N133" s="55">
        <v>0</v>
      </c>
      <c r="O133" s="58">
        <v>5.7000000000000002E-3</v>
      </c>
      <c r="P133" s="58">
        <v>0.40139999999999998</v>
      </c>
      <c r="Q133" s="58">
        <v>5.7000000000000002E-2</v>
      </c>
      <c r="R133" s="58">
        <v>0.14199999999999999</v>
      </c>
      <c r="S133" s="58">
        <v>0</v>
      </c>
    </row>
    <row r="134" spans="1:19" ht="15" x14ac:dyDescent="0.4">
      <c r="A134" s="55" t="s">
        <v>1375</v>
      </c>
      <c r="B134" s="54">
        <v>46252</v>
      </c>
      <c r="C134" s="55" t="s">
        <v>82</v>
      </c>
      <c r="D134" s="55" t="s">
        <v>1225</v>
      </c>
      <c r="E134" s="55" t="s">
        <v>79</v>
      </c>
      <c r="F134" s="55">
        <v>20052</v>
      </c>
      <c r="G134" s="55">
        <v>19949</v>
      </c>
      <c r="H134" s="55">
        <v>103</v>
      </c>
      <c r="I134" s="55">
        <v>11990</v>
      </c>
      <c r="J134" s="55">
        <v>6481</v>
      </c>
      <c r="K134" s="55">
        <v>5509</v>
      </c>
      <c r="L134" s="55">
        <v>419</v>
      </c>
      <c r="M134" s="55">
        <v>38</v>
      </c>
      <c r="N134" s="55">
        <v>3</v>
      </c>
      <c r="O134" s="58">
        <v>5.1000000000000004E-3</v>
      </c>
      <c r="P134" s="58">
        <v>0.2762</v>
      </c>
      <c r="Q134" s="58">
        <v>2.1000000000000001E-2</v>
      </c>
      <c r="R134" s="58">
        <v>7.6100000000000001E-2</v>
      </c>
      <c r="S134" s="58">
        <v>2.0000000000000001E-4</v>
      </c>
    </row>
    <row r="135" spans="1:19" ht="15" x14ac:dyDescent="0.4">
      <c r="A135" s="55" t="s">
        <v>1376</v>
      </c>
      <c r="B135" s="54">
        <v>46254</v>
      </c>
      <c r="C135" s="55" t="s">
        <v>83</v>
      </c>
      <c r="D135" s="55" t="s">
        <v>1227</v>
      </c>
      <c r="E135" s="55" t="s">
        <v>79</v>
      </c>
      <c r="F135" s="55">
        <v>1248</v>
      </c>
      <c r="G135" s="55">
        <v>1241</v>
      </c>
      <c r="H135" s="55">
        <v>7</v>
      </c>
      <c r="I135" s="55">
        <v>866</v>
      </c>
      <c r="J135" s="55">
        <v>354</v>
      </c>
      <c r="K135" s="55">
        <v>512</v>
      </c>
      <c r="L135" s="55">
        <v>75</v>
      </c>
      <c r="M135" s="55">
        <v>3</v>
      </c>
      <c r="N135" s="55">
        <v>0</v>
      </c>
      <c r="O135" s="58">
        <v>5.5999999999999999E-3</v>
      </c>
      <c r="P135" s="58">
        <v>0.41260000000000002</v>
      </c>
      <c r="Q135" s="58">
        <v>6.0400000000000002E-2</v>
      </c>
      <c r="R135" s="58">
        <v>0.14649999999999999</v>
      </c>
      <c r="S135" s="58">
        <v>0</v>
      </c>
    </row>
    <row r="136" spans="1:19" ht="15" x14ac:dyDescent="0.4">
      <c r="A136" s="55" t="s">
        <v>1377</v>
      </c>
      <c r="B136" s="54">
        <v>46259</v>
      </c>
      <c r="C136" s="55" t="s">
        <v>82</v>
      </c>
      <c r="D136" s="55" t="s">
        <v>1246</v>
      </c>
      <c r="E136" s="55" t="s">
        <v>79</v>
      </c>
      <c r="F136" s="55">
        <v>20315</v>
      </c>
      <c r="G136" s="55">
        <v>20208</v>
      </c>
      <c r="H136" s="55">
        <v>107</v>
      </c>
      <c r="I136" s="55">
        <v>11317</v>
      </c>
      <c r="J136" s="55">
        <v>5704</v>
      </c>
      <c r="K136" s="55">
        <v>5613</v>
      </c>
      <c r="L136" s="55">
        <v>454</v>
      </c>
      <c r="M136" s="55">
        <v>33</v>
      </c>
      <c r="N136" s="55">
        <v>3</v>
      </c>
      <c r="O136" s="58">
        <v>5.3E-3</v>
      </c>
      <c r="P136" s="58">
        <v>0.27779999999999999</v>
      </c>
      <c r="Q136" s="58">
        <v>2.2499999999999999E-2</v>
      </c>
      <c r="R136" s="58">
        <v>8.09E-2</v>
      </c>
      <c r="S136" s="58">
        <v>1E-4</v>
      </c>
    </row>
    <row r="137" spans="1:19" ht="15" x14ac:dyDescent="0.4">
      <c r="A137" s="55" t="s">
        <v>1378</v>
      </c>
      <c r="B137" s="54">
        <v>46261</v>
      </c>
      <c r="C137" s="55" t="s">
        <v>83</v>
      </c>
      <c r="D137" s="55" t="s">
        <v>1227</v>
      </c>
      <c r="E137" s="55" t="s">
        <v>79</v>
      </c>
      <c r="F137" s="55">
        <v>1035</v>
      </c>
      <c r="G137" s="55">
        <v>1030</v>
      </c>
      <c r="H137" s="55">
        <v>5</v>
      </c>
      <c r="I137" s="55">
        <v>678</v>
      </c>
      <c r="J137" s="55">
        <v>269</v>
      </c>
      <c r="K137" s="55">
        <v>409</v>
      </c>
      <c r="L137" s="55">
        <v>54</v>
      </c>
      <c r="M137" s="55">
        <v>2</v>
      </c>
      <c r="N137" s="55">
        <v>0</v>
      </c>
      <c r="O137" s="58">
        <v>4.7999999999999996E-3</v>
      </c>
      <c r="P137" s="58">
        <v>0.39710000000000001</v>
      </c>
      <c r="Q137" s="58">
        <v>5.2400000000000002E-2</v>
      </c>
      <c r="R137" s="58">
        <v>0.13200000000000001</v>
      </c>
      <c r="S137" s="58">
        <v>0</v>
      </c>
    </row>
    <row r="138" spans="1:19" ht="15" x14ac:dyDescent="0.4">
      <c r="A138" s="55" t="s">
        <v>1379</v>
      </c>
      <c r="B138" s="54">
        <v>46266</v>
      </c>
      <c r="C138" s="55" t="s">
        <v>82</v>
      </c>
      <c r="D138" s="55" t="s">
        <v>1249</v>
      </c>
      <c r="E138" s="55" t="s">
        <v>80</v>
      </c>
      <c r="F138" s="55">
        <v>20572</v>
      </c>
      <c r="G138" s="55">
        <v>19816</v>
      </c>
      <c r="H138" s="55">
        <v>756</v>
      </c>
      <c r="I138" s="55">
        <v>7180</v>
      </c>
      <c r="J138" s="55">
        <v>4076</v>
      </c>
      <c r="K138" s="55">
        <v>3104</v>
      </c>
      <c r="L138" s="55">
        <v>242</v>
      </c>
      <c r="M138" s="55">
        <v>40</v>
      </c>
      <c r="N138" s="55">
        <v>32</v>
      </c>
      <c r="O138" s="58">
        <v>3.6700000000000003E-2</v>
      </c>
      <c r="P138" s="58">
        <v>0.15659999999999999</v>
      </c>
      <c r="Q138" s="58">
        <v>1.2200000000000001E-2</v>
      </c>
      <c r="R138" s="58">
        <v>7.8E-2</v>
      </c>
      <c r="S138" s="58">
        <v>1.6000000000000001E-3</v>
      </c>
    </row>
    <row r="139" spans="1:19" ht="15" x14ac:dyDescent="0.4">
      <c r="A139" s="55" t="s">
        <v>1380</v>
      </c>
      <c r="B139" s="54">
        <v>46268</v>
      </c>
      <c r="C139" s="55" t="s">
        <v>83</v>
      </c>
      <c r="D139" s="55" t="s">
        <v>1227</v>
      </c>
      <c r="E139" s="55" t="s">
        <v>79</v>
      </c>
      <c r="F139" s="55">
        <v>1152</v>
      </c>
      <c r="G139" s="55">
        <v>1147</v>
      </c>
      <c r="H139" s="55">
        <v>5</v>
      </c>
      <c r="I139" s="55">
        <v>809</v>
      </c>
      <c r="J139" s="55">
        <v>302</v>
      </c>
      <c r="K139" s="55">
        <v>507</v>
      </c>
      <c r="L139" s="55">
        <v>62</v>
      </c>
      <c r="M139" s="55">
        <v>3</v>
      </c>
      <c r="N139" s="55">
        <v>0</v>
      </c>
      <c r="O139" s="58">
        <v>4.3E-3</v>
      </c>
      <c r="P139" s="58">
        <v>0.442</v>
      </c>
      <c r="Q139" s="58">
        <v>5.4100000000000002E-2</v>
      </c>
      <c r="R139" s="58">
        <v>0.12230000000000001</v>
      </c>
      <c r="S139" s="58">
        <v>0</v>
      </c>
    </row>
    <row r="140" spans="1:19" ht="15" x14ac:dyDescent="0.4">
      <c r="A140" s="55" t="s">
        <v>1381</v>
      </c>
      <c r="B140" s="54">
        <v>46272</v>
      </c>
      <c r="C140" s="55" t="s">
        <v>85</v>
      </c>
      <c r="D140" s="55" t="s">
        <v>1256</v>
      </c>
      <c r="E140" s="55" t="s">
        <v>79</v>
      </c>
      <c r="F140" s="55">
        <v>20784</v>
      </c>
      <c r="G140" s="55">
        <v>20670</v>
      </c>
      <c r="H140" s="55">
        <v>114</v>
      </c>
      <c r="I140" s="55">
        <v>11022</v>
      </c>
      <c r="J140" s="55">
        <v>6078</v>
      </c>
      <c r="K140" s="55">
        <v>4944</v>
      </c>
      <c r="L140" s="55">
        <v>581</v>
      </c>
      <c r="M140" s="55">
        <v>31</v>
      </c>
      <c r="N140" s="55">
        <v>3</v>
      </c>
      <c r="O140" s="58">
        <v>5.4999999999999997E-3</v>
      </c>
      <c r="P140" s="58">
        <v>0.2392</v>
      </c>
      <c r="Q140" s="58">
        <v>2.81E-2</v>
      </c>
      <c r="R140" s="58">
        <v>0.11749999999999999</v>
      </c>
      <c r="S140" s="58">
        <v>1E-4</v>
      </c>
    </row>
    <row r="141" spans="1:19" ht="15" x14ac:dyDescent="0.4">
      <c r="A141" s="55" t="s">
        <v>1382</v>
      </c>
      <c r="B141" s="54">
        <v>46273</v>
      </c>
      <c r="C141" s="55" t="s">
        <v>82</v>
      </c>
      <c r="D141" s="55" t="s">
        <v>1237</v>
      </c>
      <c r="E141" s="55" t="s">
        <v>80</v>
      </c>
      <c r="F141" s="55">
        <v>20791</v>
      </c>
      <c r="G141" s="55">
        <v>19994</v>
      </c>
      <c r="H141" s="55">
        <v>797</v>
      </c>
      <c r="I141" s="55">
        <v>7100</v>
      </c>
      <c r="J141" s="55">
        <v>3982</v>
      </c>
      <c r="K141" s="55">
        <v>3118</v>
      </c>
      <c r="L141" s="55">
        <v>244</v>
      </c>
      <c r="M141" s="55">
        <v>35</v>
      </c>
      <c r="N141" s="55">
        <v>34</v>
      </c>
      <c r="O141" s="58">
        <v>3.8300000000000001E-2</v>
      </c>
      <c r="P141" s="58">
        <v>0.15590000000000001</v>
      </c>
      <c r="Q141" s="58">
        <v>1.2200000000000001E-2</v>
      </c>
      <c r="R141" s="58">
        <v>7.8299999999999995E-2</v>
      </c>
      <c r="S141" s="58">
        <v>1.6999999999999999E-3</v>
      </c>
    </row>
    <row r="142" spans="1:19" ht="15" x14ac:dyDescent="0.4">
      <c r="A142" s="55" t="s">
        <v>1383</v>
      </c>
      <c r="B142" s="54">
        <v>46275</v>
      </c>
      <c r="C142" s="55" t="s">
        <v>83</v>
      </c>
      <c r="D142" s="55" t="s">
        <v>1227</v>
      </c>
      <c r="E142" s="55" t="s">
        <v>79</v>
      </c>
      <c r="F142" s="55">
        <v>1020</v>
      </c>
      <c r="G142" s="55">
        <v>1015</v>
      </c>
      <c r="H142" s="55">
        <v>5</v>
      </c>
      <c r="I142" s="55">
        <v>660</v>
      </c>
      <c r="J142" s="55">
        <v>294</v>
      </c>
      <c r="K142" s="55">
        <v>366</v>
      </c>
      <c r="L142" s="55">
        <v>50</v>
      </c>
      <c r="M142" s="55">
        <v>2</v>
      </c>
      <c r="N142" s="55">
        <v>0</v>
      </c>
      <c r="O142" s="58">
        <v>4.8999999999999998E-3</v>
      </c>
      <c r="P142" s="58">
        <v>0.36059999999999998</v>
      </c>
      <c r="Q142" s="58">
        <v>4.9299999999999997E-2</v>
      </c>
      <c r="R142" s="58">
        <v>0.1366</v>
      </c>
      <c r="S142" s="58">
        <v>0</v>
      </c>
    </row>
    <row r="143" spans="1:19" ht="15" x14ac:dyDescent="0.4">
      <c r="A143" s="55" t="s">
        <v>1384</v>
      </c>
      <c r="B143" s="54">
        <v>46276</v>
      </c>
      <c r="C143" s="55" t="s">
        <v>84</v>
      </c>
      <c r="D143" s="55" t="s">
        <v>1385</v>
      </c>
      <c r="E143" s="55" t="s">
        <v>80</v>
      </c>
      <c r="F143" s="55">
        <v>20894</v>
      </c>
      <c r="G143" s="55">
        <v>20121</v>
      </c>
      <c r="H143" s="55">
        <v>773</v>
      </c>
      <c r="I143" s="55">
        <v>6754</v>
      </c>
      <c r="J143" s="55">
        <v>4099</v>
      </c>
      <c r="K143" s="55">
        <v>2655</v>
      </c>
      <c r="L143" s="55">
        <v>194</v>
      </c>
      <c r="M143" s="55">
        <v>72</v>
      </c>
      <c r="N143" s="55">
        <v>33</v>
      </c>
      <c r="O143" s="58">
        <v>3.6999999999999998E-2</v>
      </c>
      <c r="P143" s="58">
        <v>0.13200000000000001</v>
      </c>
      <c r="Q143" s="58">
        <v>9.5999999999999992E-3</v>
      </c>
      <c r="R143" s="58">
        <v>7.3099999999999998E-2</v>
      </c>
      <c r="S143" s="58">
        <v>1.6000000000000001E-3</v>
      </c>
    </row>
    <row r="144" spans="1:19" ht="15" x14ac:dyDescent="0.4">
      <c r="A144" s="55" t="s">
        <v>1386</v>
      </c>
      <c r="B144" s="54">
        <v>46280</v>
      </c>
      <c r="C144" s="55" t="s">
        <v>82</v>
      </c>
      <c r="D144" s="55" t="s">
        <v>1249</v>
      </c>
      <c r="E144" s="55" t="s">
        <v>80</v>
      </c>
      <c r="F144" s="55">
        <v>20941</v>
      </c>
      <c r="G144" s="55">
        <v>20116</v>
      </c>
      <c r="H144" s="55">
        <v>825</v>
      </c>
      <c r="I144" s="55">
        <v>8017</v>
      </c>
      <c r="J144" s="55">
        <v>4584</v>
      </c>
      <c r="K144" s="55">
        <v>3433</v>
      </c>
      <c r="L144" s="55">
        <v>257</v>
      </c>
      <c r="M144" s="55">
        <v>36</v>
      </c>
      <c r="N144" s="55">
        <v>30</v>
      </c>
      <c r="O144" s="58">
        <v>3.9399999999999998E-2</v>
      </c>
      <c r="P144" s="58">
        <v>0.17069999999999999</v>
      </c>
      <c r="Q144" s="58">
        <v>1.2800000000000001E-2</v>
      </c>
      <c r="R144" s="58">
        <v>7.4899999999999994E-2</v>
      </c>
      <c r="S144" s="58">
        <v>1.5E-3</v>
      </c>
    </row>
    <row r="145" spans="1:19" ht="15" x14ac:dyDescent="0.4">
      <c r="A145" s="55" t="s">
        <v>1387</v>
      </c>
      <c r="B145" s="54">
        <v>46280</v>
      </c>
      <c r="C145" s="55" t="s">
        <v>84</v>
      </c>
      <c r="D145" s="55" t="s">
        <v>1388</v>
      </c>
      <c r="E145" s="55" t="s">
        <v>80</v>
      </c>
      <c r="F145" s="55">
        <v>20941</v>
      </c>
      <c r="G145" s="55">
        <v>20101</v>
      </c>
      <c r="H145" s="55">
        <v>840</v>
      </c>
      <c r="I145" s="55">
        <v>6650</v>
      </c>
      <c r="J145" s="55">
        <v>3934</v>
      </c>
      <c r="K145" s="55">
        <v>2716</v>
      </c>
      <c r="L145" s="55">
        <v>203</v>
      </c>
      <c r="M145" s="55">
        <v>66</v>
      </c>
      <c r="N145" s="55">
        <v>33</v>
      </c>
      <c r="O145" s="58">
        <v>4.0099999999999997E-2</v>
      </c>
      <c r="P145" s="58">
        <v>0.1351</v>
      </c>
      <c r="Q145" s="58">
        <v>1.01E-2</v>
      </c>
      <c r="R145" s="58">
        <v>7.4700000000000003E-2</v>
      </c>
      <c r="S145" s="58">
        <v>1.6000000000000001E-3</v>
      </c>
    </row>
    <row r="146" spans="1:19" ht="15" x14ac:dyDescent="0.4">
      <c r="A146" s="55" t="s">
        <v>1389</v>
      </c>
      <c r="B146" s="54">
        <v>46282</v>
      </c>
      <c r="C146" s="55" t="s">
        <v>83</v>
      </c>
      <c r="D146" s="55" t="s">
        <v>1227</v>
      </c>
      <c r="E146" s="55" t="s">
        <v>79</v>
      </c>
      <c r="F146" s="55">
        <v>969</v>
      </c>
      <c r="G146" s="55">
        <v>964</v>
      </c>
      <c r="H146" s="55">
        <v>5</v>
      </c>
      <c r="I146" s="55">
        <v>722</v>
      </c>
      <c r="J146" s="55">
        <v>306</v>
      </c>
      <c r="K146" s="55">
        <v>416</v>
      </c>
      <c r="L146" s="55">
        <v>51</v>
      </c>
      <c r="M146" s="55">
        <v>2</v>
      </c>
      <c r="N146" s="55">
        <v>0</v>
      </c>
      <c r="O146" s="58">
        <v>5.1999999999999998E-3</v>
      </c>
      <c r="P146" s="58">
        <v>0.43149999999999999</v>
      </c>
      <c r="Q146" s="58">
        <v>5.2900000000000003E-2</v>
      </c>
      <c r="R146" s="58">
        <v>0.1226</v>
      </c>
      <c r="S146" s="58">
        <v>0</v>
      </c>
    </row>
    <row r="147" spans="1:19" ht="15" x14ac:dyDescent="0.4">
      <c r="A147" s="55" t="s">
        <v>1390</v>
      </c>
      <c r="B147" s="54">
        <v>46282</v>
      </c>
      <c r="C147" s="55" t="s">
        <v>84</v>
      </c>
      <c r="D147" s="55" t="s">
        <v>1391</v>
      </c>
      <c r="E147" s="55" t="s">
        <v>80</v>
      </c>
      <c r="F147" s="55">
        <v>20917</v>
      </c>
      <c r="G147" s="55">
        <v>20122</v>
      </c>
      <c r="H147" s="55">
        <v>795</v>
      </c>
      <c r="I147" s="55">
        <v>7382</v>
      </c>
      <c r="J147" s="55">
        <v>4807</v>
      </c>
      <c r="K147" s="55">
        <v>2575</v>
      </c>
      <c r="L147" s="55">
        <v>211</v>
      </c>
      <c r="M147" s="55">
        <v>71</v>
      </c>
      <c r="N147" s="55">
        <v>30</v>
      </c>
      <c r="O147" s="58">
        <v>3.7999999999999999E-2</v>
      </c>
      <c r="P147" s="58">
        <v>0.128</v>
      </c>
      <c r="Q147" s="58">
        <v>1.0500000000000001E-2</v>
      </c>
      <c r="R147" s="58">
        <v>8.1900000000000001E-2</v>
      </c>
      <c r="S147" s="58">
        <v>1.5E-3</v>
      </c>
    </row>
    <row r="148" spans="1:19" ht="15" x14ac:dyDescent="0.4">
      <c r="A148" s="55" t="s">
        <v>1392</v>
      </c>
      <c r="B148" s="54">
        <v>46283</v>
      </c>
      <c r="C148" s="55" t="s">
        <v>84</v>
      </c>
      <c r="D148" s="55" t="s">
        <v>1393</v>
      </c>
      <c r="E148" s="55" t="s">
        <v>80</v>
      </c>
      <c r="F148" s="55">
        <v>20881</v>
      </c>
      <c r="G148" s="55">
        <v>20088</v>
      </c>
      <c r="H148" s="55">
        <v>793</v>
      </c>
      <c r="I148" s="55">
        <v>7220</v>
      </c>
      <c r="J148" s="55">
        <v>4291</v>
      </c>
      <c r="K148" s="55">
        <v>2929</v>
      </c>
      <c r="L148" s="55">
        <v>287</v>
      </c>
      <c r="M148" s="55">
        <v>73</v>
      </c>
      <c r="N148" s="55">
        <v>32</v>
      </c>
      <c r="O148" s="58">
        <v>3.7999999999999999E-2</v>
      </c>
      <c r="P148" s="58">
        <v>0.14580000000000001</v>
      </c>
      <c r="Q148" s="58">
        <v>1.43E-2</v>
      </c>
      <c r="R148" s="58">
        <v>9.8000000000000004E-2</v>
      </c>
      <c r="S148" s="58">
        <v>1.6000000000000001E-3</v>
      </c>
    </row>
    <row r="149" spans="1:19" ht="15" x14ac:dyDescent="0.4">
      <c r="A149" s="55" t="s">
        <v>1394</v>
      </c>
      <c r="B149" s="54">
        <v>46287</v>
      </c>
      <c r="C149" s="55" t="s">
        <v>82</v>
      </c>
      <c r="D149" s="55" t="s">
        <v>1231</v>
      </c>
      <c r="E149" s="55" t="s">
        <v>80</v>
      </c>
      <c r="F149" s="55">
        <v>20933</v>
      </c>
      <c r="G149" s="55">
        <v>20128</v>
      </c>
      <c r="H149" s="55">
        <v>805</v>
      </c>
      <c r="I149" s="55">
        <v>7570</v>
      </c>
      <c r="J149" s="55">
        <v>4301</v>
      </c>
      <c r="K149" s="55">
        <v>3269</v>
      </c>
      <c r="L149" s="55">
        <v>234</v>
      </c>
      <c r="M149" s="55">
        <v>35</v>
      </c>
      <c r="N149" s="55">
        <v>30</v>
      </c>
      <c r="O149" s="58">
        <v>3.85E-2</v>
      </c>
      <c r="P149" s="58">
        <v>0.16239999999999999</v>
      </c>
      <c r="Q149" s="58">
        <v>1.1599999999999999E-2</v>
      </c>
      <c r="R149" s="58">
        <v>7.1599999999999997E-2</v>
      </c>
      <c r="S149" s="58">
        <v>1.5E-3</v>
      </c>
    </row>
    <row r="150" spans="1:19" ht="15" x14ac:dyDescent="0.4">
      <c r="A150" s="55" t="s">
        <v>1395</v>
      </c>
      <c r="B150" s="54">
        <v>46289</v>
      </c>
      <c r="C150" s="55" t="s">
        <v>83</v>
      </c>
      <c r="D150" s="55" t="s">
        <v>1227</v>
      </c>
      <c r="E150" s="55" t="s">
        <v>79</v>
      </c>
      <c r="F150" s="55">
        <v>984</v>
      </c>
      <c r="G150" s="55">
        <v>979</v>
      </c>
      <c r="H150" s="55">
        <v>5</v>
      </c>
      <c r="I150" s="55">
        <v>669</v>
      </c>
      <c r="J150" s="55">
        <v>288</v>
      </c>
      <c r="K150" s="55">
        <v>381</v>
      </c>
      <c r="L150" s="55">
        <v>53</v>
      </c>
      <c r="M150" s="55">
        <v>2</v>
      </c>
      <c r="N150" s="55">
        <v>0</v>
      </c>
      <c r="O150" s="58">
        <v>5.1000000000000004E-3</v>
      </c>
      <c r="P150" s="58">
        <v>0.38919999999999999</v>
      </c>
      <c r="Q150" s="58">
        <v>5.4100000000000002E-2</v>
      </c>
      <c r="R150" s="58">
        <v>0.1391</v>
      </c>
      <c r="S150" s="58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929C"/>
  </sheetPr>
  <dimension ref="A1:J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6" customWidth="1"/>
    <col min="3" max="5" width="11" customWidth="1"/>
    <col min="6" max="6" width="16" customWidth="1"/>
    <col min="7" max="7" width="15" customWidth="1"/>
    <col min="8" max="8" width="11" customWidth="1"/>
    <col min="9" max="10" width="17" customWidth="1"/>
  </cols>
  <sheetData>
    <row r="1" spans="1:10" ht="15" x14ac:dyDescent="0.4">
      <c r="A1" s="60" t="s">
        <v>364</v>
      </c>
      <c r="B1" s="60" t="s">
        <v>1396</v>
      </c>
      <c r="C1" s="60" t="s">
        <v>365</v>
      </c>
      <c r="D1" s="60" t="s">
        <v>1397</v>
      </c>
      <c r="E1" s="60" t="s">
        <v>1398</v>
      </c>
      <c r="F1" s="60" t="s">
        <v>1399</v>
      </c>
      <c r="G1" s="60" t="s">
        <v>1400</v>
      </c>
      <c r="H1" s="60" t="s">
        <v>1401</v>
      </c>
      <c r="I1" s="60" t="s">
        <v>1402</v>
      </c>
      <c r="J1" s="60" t="s">
        <v>1403</v>
      </c>
    </row>
    <row r="2" spans="1:10" ht="15" x14ac:dyDescent="0.4">
      <c r="A2" s="55" t="s">
        <v>55</v>
      </c>
      <c r="B2" s="55" t="s">
        <v>55</v>
      </c>
      <c r="C2" s="55" t="s">
        <v>56</v>
      </c>
      <c r="D2" s="55" t="s">
        <v>56</v>
      </c>
      <c r="E2" s="55" t="s">
        <v>1404</v>
      </c>
      <c r="F2" s="55" t="s">
        <v>1405</v>
      </c>
      <c r="G2" s="55" t="s">
        <v>1406</v>
      </c>
      <c r="H2" s="55" t="b">
        <v>1</v>
      </c>
      <c r="I2" s="55" t="b">
        <v>1</v>
      </c>
      <c r="J2" s="55">
        <v>1</v>
      </c>
    </row>
    <row r="3" spans="1:10" ht="15" x14ac:dyDescent="0.4">
      <c r="A3" s="55" t="s">
        <v>57</v>
      </c>
      <c r="B3" s="55" t="s">
        <v>57</v>
      </c>
      <c r="C3" s="55" t="s">
        <v>58</v>
      </c>
      <c r="D3" s="55" t="s">
        <v>58</v>
      </c>
      <c r="E3" s="55" t="s">
        <v>1407</v>
      </c>
      <c r="F3" s="55" t="s">
        <v>1408</v>
      </c>
      <c r="G3" s="55" t="s">
        <v>1406</v>
      </c>
      <c r="H3" s="55" t="b">
        <v>1</v>
      </c>
      <c r="I3" s="55" t="b">
        <v>1</v>
      </c>
      <c r="J3" s="55">
        <v>2</v>
      </c>
    </row>
    <row r="4" spans="1:10" ht="15" x14ac:dyDescent="0.4">
      <c r="A4" s="55" t="s">
        <v>59</v>
      </c>
      <c r="B4" s="55" t="s">
        <v>59</v>
      </c>
      <c r="C4" s="55" t="s">
        <v>60</v>
      </c>
      <c r="D4" s="55" t="s">
        <v>60</v>
      </c>
      <c r="E4" s="55" t="s">
        <v>1404</v>
      </c>
      <c r="F4" s="55" t="s">
        <v>1405</v>
      </c>
      <c r="G4" s="55" t="s">
        <v>1409</v>
      </c>
      <c r="H4" s="55" t="b">
        <v>1</v>
      </c>
      <c r="I4" s="55" t="b">
        <v>1</v>
      </c>
      <c r="J4" s="55">
        <v>3</v>
      </c>
    </row>
    <row r="5" spans="1:10" ht="15" x14ac:dyDescent="0.4">
      <c r="A5" s="55" t="s">
        <v>61</v>
      </c>
      <c r="B5" s="55" t="s">
        <v>1410</v>
      </c>
      <c r="C5" s="55" t="s">
        <v>56</v>
      </c>
      <c r="D5" s="55" t="s">
        <v>1411</v>
      </c>
      <c r="E5" s="55" t="s">
        <v>1404</v>
      </c>
      <c r="F5" s="55" t="s">
        <v>1405</v>
      </c>
      <c r="G5" s="55" t="s">
        <v>1406</v>
      </c>
      <c r="H5" s="55" t="b">
        <v>1</v>
      </c>
      <c r="I5" s="55" t="b">
        <v>0</v>
      </c>
      <c r="J5" s="55">
        <v>4</v>
      </c>
    </row>
    <row r="6" spans="1:10" ht="15" x14ac:dyDescent="0.4">
      <c r="A6" s="55" t="s">
        <v>62</v>
      </c>
      <c r="B6" s="55" t="s">
        <v>62</v>
      </c>
      <c r="C6" s="55" t="s">
        <v>56</v>
      </c>
      <c r="D6" s="55" t="s">
        <v>56</v>
      </c>
      <c r="E6" s="55" t="s">
        <v>1404</v>
      </c>
      <c r="F6" s="55" t="s">
        <v>1405</v>
      </c>
      <c r="G6" s="55" t="s">
        <v>1412</v>
      </c>
      <c r="H6" s="55" t="b">
        <v>1</v>
      </c>
      <c r="I6" s="55" t="b">
        <v>1</v>
      </c>
      <c r="J6" s="55">
        <v>5</v>
      </c>
    </row>
    <row r="7" spans="1:10" ht="15" x14ac:dyDescent="0.4">
      <c r="A7" s="55" t="s">
        <v>63</v>
      </c>
      <c r="B7" s="55" t="s">
        <v>63</v>
      </c>
      <c r="C7" s="55" t="s">
        <v>58</v>
      </c>
      <c r="D7" s="55" t="s">
        <v>58</v>
      </c>
      <c r="E7" s="55" t="s">
        <v>1407</v>
      </c>
      <c r="F7" s="55" t="s">
        <v>1408</v>
      </c>
      <c r="G7" s="55" t="s">
        <v>1413</v>
      </c>
      <c r="H7" s="55" t="b">
        <v>1</v>
      </c>
      <c r="I7" s="55" t="b">
        <v>1</v>
      </c>
      <c r="J7" s="55">
        <v>6</v>
      </c>
    </row>
    <row r="8" spans="1:10" ht="15" x14ac:dyDescent="0.4">
      <c r="A8" s="55" t="s">
        <v>64</v>
      </c>
      <c r="B8" s="55" t="s">
        <v>64</v>
      </c>
      <c r="C8" s="55" t="s">
        <v>56</v>
      </c>
      <c r="D8" s="55" t="s">
        <v>56</v>
      </c>
      <c r="E8" s="55" t="s">
        <v>1404</v>
      </c>
      <c r="F8" s="55" t="s">
        <v>1405</v>
      </c>
      <c r="G8" s="55" t="s">
        <v>1406</v>
      </c>
      <c r="H8" s="55" t="b">
        <v>1</v>
      </c>
      <c r="I8" s="55" t="b">
        <v>1</v>
      </c>
      <c r="J8" s="55">
        <v>7</v>
      </c>
    </row>
    <row r="9" spans="1:10" ht="15" x14ac:dyDescent="0.4">
      <c r="A9" s="55" t="s">
        <v>402</v>
      </c>
      <c r="B9" s="55" t="s">
        <v>402</v>
      </c>
      <c r="C9" s="55" t="s">
        <v>402</v>
      </c>
      <c r="D9" s="55" t="s">
        <v>402</v>
      </c>
      <c r="E9" s="55" t="s">
        <v>1414</v>
      </c>
      <c r="F9" s="55" t="s">
        <v>1415</v>
      </c>
      <c r="G9" s="55" t="s">
        <v>1416</v>
      </c>
      <c r="H9" s="55" t="b">
        <v>0</v>
      </c>
      <c r="I9" s="55" t="b">
        <v>1</v>
      </c>
      <c r="J9" s="55">
        <v>8</v>
      </c>
    </row>
    <row r="10" spans="1:10" ht="15" x14ac:dyDescent="0.4">
      <c r="A10" s="55" t="s">
        <v>398</v>
      </c>
      <c r="B10" s="55" t="s">
        <v>398</v>
      </c>
      <c r="C10" s="55" t="s">
        <v>1417</v>
      </c>
      <c r="D10" s="55" t="s">
        <v>82</v>
      </c>
      <c r="E10" s="55" t="s">
        <v>1418</v>
      </c>
      <c r="F10" s="55" t="s">
        <v>1419</v>
      </c>
      <c r="G10" s="55" t="s">
        <v>1406</v>
      </c>
      <c r="H10" s="55" t="b">
        <v>0</v>
      </c>
      <c r="I10" s="55" t="b">
        <v>1</v>
      </c>
      <c r="J10" s="55">
        <v>9</v>
      </c>
    </row>
    <row r="11" spans="1:10" ht="15" x14ac:dyDescent="0.4">
      <c r="A11" s="55" t="s">
        <v>377</v>
      </c>
      <c r="B11" s="55" t="s">
        <v>377</v>
      </c>
      <c r="C11" s="55" t="s">
        <v>1420</v>
      </c>
      <c r="D11" s="55" t="s">
        <v>1420</v>
      </c>
      <c r="E11" s="55" t="s">
        <v>1421</v>
      </c>
      <c r="F11" s="55" t="s">
        <v>1422</v>
      </c>
      <c r="G11" s="55" t="s">
        <v>1413</v>
      </c>
      <c r="H11" s="55" t="b">
        <v>0</v>
      </c>
      <c r="I11" s="55" t="b">
        <v>1</v>
      </c>
      <c r="J11" s="55">
        <v>10</v>
      </c>
    </row>
    <row r="12" spans="1:10" ht="15" x14ac:dyDescent="0.4">
      <c r="A12" s="55" t="s">
        <v>380</v>
      </c>
      <c r="B12" s="55" t="s">
        <v>380</v>
      </c>
      <c r="C12" s="55" t="s">
        <v>1423</v>
      </c>
      <c r="D12" s="55" t="s">
        <v>1424</v>
      </c>
      <c r="E12" s="55" t="s">
        <v>1425</v>
      </c>
      <c r="F12" s="55" t="s">
        <v>1426</v>
      </c>
      <c r="G12" s="55" t="s">
        <v>1412</v>
      </c>
      <c r="H12" s="55" t="b">
        <v>0</v>
      </c>
      <c r="I12" s="55" t="b">
        <v>1</v>
      </c>
      <c r="J12" s="55">
        <v>11</v>
      </c>
    </row>
    <row r="13" spans="1:10" ht="15" x14ac:dyDescent="0.4">
      <c r="A13" s="55" t="s">
        <v>386</v>
      </c>
      <c r="B13" s="55" t="s">
        <v>386</v>
      </c>
      <c r="C13" s="55" t="s">
        <v>1427</v>
      </c>
      <c r="D13" s="55" t="s">
        <v>1427</v>
      </c>
      <c r="E13" s="55" t="s">
        <v>1428</v>
      </c>
      <c r="F13" s="55" t="s">
        <v>1429</v>
      </c>
      <c r="G13" s="55" t="s">
        <v>1406</v>
      </c>
      <c r="H13" s="55" t="b">
        <v>0</v>
      </c>
      <c r="I13" s="55" t="b">
        <v>1</v>
      </c>
      <c r="J13" s="55">
        <v>12</v>
      </c>
    </row>
    <row r="14" spans="1:10" ht="15" x14ac:dyDescent="0.4">
      <c r="A14" s="55" t="s">
        <v>586</v>
      </c>
      <c r="B14" s="55" t="s">
        <v>586</v>
      </c>
      <c r="C14" s="55" t="s">
        <v>1414</v>
      </c>
      <c r="D14" s="55" t="s">
        <v>1414</v>
      </c>
      <c r="E14" s="55" t="s">
        <v>1414</v>
      </c>
      <c r="F14" s="55" t="s">
        <v>1430</v>
      </c>
      <c r="G14" s="55"/>
      <c r="H14" s="55" t="b">
        <v>0</v>
      </c>
      <c r="I14" s="55" t="b">
        <v>0</v>
      </c>
      <c r="J14" s="55">
        <v>99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A929C"/>
  </sheetPr>
  <dimension ref="A1: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3" width="11" customWidth="1"/>
    <col min="4" max="4" width="14" customWidth="1"/>
    <col min="5" max="6" width="11" customWidth="1"/>
    <col min="7" max="7" width="12" customWidth="1"/>
    <col min="8" max="8" width="17" customWidth="1"/>
  </cols>
  <sheetData>
    <row r="1" spans="1:8" ht="15" x14ac:dyDescent="0.4">
      <c r="A1" s="60" t="s">
        <v>364</v>
      </c>
      <c r="B1" s="60" t="s">
        <v>1397</v>
      </c>
      <c r="C1" s="60" t="s">
        <v>1398</v>
      </c>
      <c r="D1" s="60" t="s">
        <v>355</v>
      </c>
      <c r="E1" s="60" t="s">
        <v>356</v>
      </c>
      <c r="F1" s="60" t="s">
        <v>357</v>
      </c>
      <c r="G1" s="60" t="s">
        <v>1431</v>
      </c>
      <c r="H1" s="60" t="s">
        <v>363</v>
      </c>
    </row>
    <row r="2" spans="1:8" ht="15" x14ac:dyDescent="0.4">
      <c r="A2" s="55" t="s">
        <v>59</v>
      </c>
      <c r="B2" s="55" t="s">
        <v>60</v>
      </c>
      <c r="C2" s="55" t="s">
        <v>1404</v>
      </c>
      <c r="D2" s="57">
        <v>9197296</v>
      </c>
      <c r="E2" s="55">
        <v>581</v>
      </c>
      <c r="F2" s="55">
        <v>256</v>
      </c>
      <c r="G2" s="55">
        <v>53</v>
      </c>
      <c r="H2" s="57">
        <v>54820000</v>
      </c>
    </row>
    <row r="3" spans="1:8" ht="15" x14ac:dyDescent="0.4">
      <c r="A3" s="55" t="s">
        <v>63</v>
      </c>
      <c r="B3" s="55" t="s">
        <v>58</v>
      </c>
      <c r="C3" s="55" t="s">
        <v>1407</v>
      </c>
      <c r="D3" s="57">
        <v>3095072</v>
      </c>
      <c r="E3" s="55">
        <v>1210</v>
      </c>
      <c r="F3" s="55">
        <v>611</v>
      </c>
      <c r="G3" s="55">
        <v>68</v>
      </c>
      <c r="H3" s="57">
        <v>51265000</v>
      </c>
    </row>
    <row r="4" spans="1:8" ht="15" x14ac:dyDescent="0.4">
      <c r="A4" s="55" t="s">
        <v>55</v>
      </c>
      <c r="B4" s="55" t="s">
        <v>56</v>
      </c>
      <c r="C4" s="55" t="s">
        <v>1404</v>
      </c>
      <c r="D4" s="57">
        <v>15857171</v>
      </c>
      <c r="E4" s="55">
        <v>3773</v>
      </c>
      <c r="F4" s="55">
        <v>872</v>
      </c>
      <c r="G4" s="55">
        <v>75</v>
      </c>
      <c r="H4" s="57">
        <v>47425000</v>
      </c>
    </row>
    <row r="5" spans="1:8" ht="15" x14ac:dyDescent="0.4">
      <c r="A5" s="55" t="s">
        <v>386</v>
      </c>
      <c r="B5" s="55" t="s">
        <v>1427</v>
      </c>
      <c r="C5" s="55" t="s">
        <v>1428</v>
      </c>
      <c r="D5" s="57">
        <v>0</v>
      </c>
      <c r="E5" s="55">
        <v>1885</v>
      </c>
      <c r="F5" s="55">
        <v>451</v>
      </c>
      <c r="G5" s="55">
        <v>44</v>
      </c>
      <c r="H5" s="57">
        <v>32690000</v>
      </c>
    </row>
    <row r="6" spans="1:8" ht="15" x14ac:dyDescent="0.4">
      <c r="A6" s="55" t="s">
        <v>62</v>
      </c>
      <c r="B6" s="55" t="s">
        <v>56</v>
      </c>
      <c r="C6" s="55" t="s">
        <v>1404</v>
      </c>
      <c r="D6" s="57">
        <v>4208155</v>
      </c>
      <c r="E6" s="55">
        <v>1297</v>
      </c>
      <c r="F6" s="55">
        <v>465</v>
      </c>
      <c r="G6" s="55">
        <v>43</v>
      </c>
      <c r="H6" s="57">
        <v>26005000</v>
      </c>
    </row>
    <row r="7" spans="1:8" ht="15" x14ac:dyDescent="0.4">
      <c r="A7" s="55" t="s">
        <v>57</v>
      </c>
      <c r="B7" s="55" t="s">
        <v>58</v>
      </c>
      <c r="C7" s="55" t="s">
        <v>1407</v>
      </c>
      <c r="D7" s="57">
        <v>9394809</v>
      </c>
      <c r="E7" s="55">
        <v>1309</v>
      </c>
      <c r="F7" s="55">
        <v>359</v>
      </c>
      <c r="G7" s="55">
        <v>36</v>
      </c>
      <c r="H7" s="57">
        <v>20910000</v>
      </c>
    </row>
    <row r="8" spans="1:8" ht="15" x14ac:dyDescent="0.4">
      <c r="A8" s="55" t="s">
        <v>398</v>
      </c>
      <c r="B8" s="55" t="s">
        <v>82</v>
      </c>
      <c r="C8" s="55" t="s">
        <v>1418</v>
      </c>
      <c r="D8" s="57">
        <v>0</v>
      </c>
      <c r="E8" s="55">
        <v>1094</v>
      </c>
      <c r="F8" s="55">
        <v>348</v>
      </c>
      <c r="G8" s="55">
        <v>26</v>
      </c>
      <c r="H8" s="57">
        <v>17190000</v>
      </c>
    </row>
    <row r="9" spans="1:8" ht="15" x14ac:dyDescent="0.4">
      <c r="A9" s="55" t="s">
        <v>380</v>
      </c>
      <c r="B9" s="55" t="s">
        <v>1424</v>
      </c>
      <c r="C9" s="55" t="s">
        <v>1425</v>
      </c>
      <c r="D9" s="57">
        <v>0</v>
      </c>
      <c r="E9" s="55">
        <v>368</v>
      </c>
      <c r="F9" s="55">
        <v>153</v>
      </c>
      <c r="G9" s="55">
        <v>23</v>
      </c>
      <c r="H9" s="57">
        <v>14760000</v>
      </c>
    </row>
    <row r="10" spans="1:8" ht="15" x14ac:dyDescent="0.4">
      <c r="A10" s="55" t="s">
        <v>377</v>
      </c>
      <c r="B10" s="55" t="s">
        <v>1420</v>
      </c>
      <c r="C10" s="55" t="s">
        <v>1421</v>
      </c>
      <c r="D10" s="57">
        <v>0</v>
      </c>
      <c r="E10" s="55">
        <v>335</v>
      </c>
      <c r="F10" s="55">
        <v>132</v>
      </c>
      <c r="G10" s="55">
        <v>16</v>
      </c>
      <c r="H10" s="57">
        <v>13810000</v>
      </c>
    </row>
    <row r="11" spans="1:8" ht="15" x14ac:dyDescent="0.4">
      <c r="A11" s="55" t="s">
        <v>61</v>
      </c>
      <c r="B11" s="55" t="s">
        <v>1411</v>
      </c>
      <c r="C11" s="55" t="s">
        <v>1404</v>
      </c>
      <c r="D11" s="57">
        <v>4281152</v>
      </c>
      <c r="E11" s="55">
        <v>1017</v>
      </c>
      <c r="F11" s="55">
        <v>209</v>
      </c>
      <c r="G11" s="55">
        <v>22</v>
      </c>
      <c r="H11" s="57">
        <v>12660000</v>
      </c>
    </row>
    <row r="12" spans="1:8" ht="15" x14ac:dyDescent="0.4">
      <c r="A12" s="55" t="s">
        <v>402</v>
      </c>
      <c r="B12" s="55" t="s">
        <v>402</v>
      </c>
      <c r="C12" s="55" t="s">
        <v>1414</v>
      </c>
      <c r="D12" s="57">
        <v>0</v>
      </c>
      <c r="E12" s="55">
        <v>380</v>
      </c>
      <c r="F12" s="55">
        <v>103</v>
      </c>
      <c r="G12" s="55">
        <v>13</v>
      </c>
      <c r="H12" s="57">
        <v>9630000</v>
      </c>
    </row>
    <row r="13" spans="1:8" ht="15" x14ac:dyDescent="0.4">
      <c r="A13" s="55" t="s">
        <v>64</v>
      </c>
      <c r="B13" s="55" t="s">
        <v>56</v>
      </c>
      <c r="C13" s="55" t="s">
        <v>1404</v>
      </c>
      <c r="D13" s="57">
        <v>2205650</v>
      </c>
      <c r="E13" s="55">
        <v>965</v>
      </c>
      <c r="F13" s="55">
        <v>77</v>
      </c>
      <c r="G13" s="55">
        <v>2</v>
      </c>
      <c r="H13" s="57">
        <v>340000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A929C"/>
  </sheetPr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24" customWidth="1"/>
    <col min="3" max="3" width="16" customWidth="1"/>
    <col min="4" max="4" width="22" customWidth="1"/>
  </cols>
  <sheetData>
    <row r="1" spans="1:4" ht="15" x14ac:dyDescent="0.4">
      <c r="A1" s="60" t="s">
        <v>360</v>
      </c>
      <c r="B1" s="60" t="s">
        <v>361</v>
      </c>
      <c r="C1" s="60" t="s">
        <v>362</v>
      </c>
      <c r="D1" s="60" t="s">
        <v>1432</v>
      </c>
    </row>
    <row r="2" spans="1:4" ht="15" x14ac:dyDescent="0.4">
      <c r="A2" s="57">
        <v>332340000</v>
      </c>
      <c r="B2" s="57">
        <v>319080000</v>
      </c>
      <c r="C2" s="57">
        <v>13345000</v>
      </c>
      <c r="D2" s="57">
        <v>305735000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A929C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11" customWidth="1"/>
    <col min="5" max="5" width="13" customWidth="1"/>
    <col min="6" max="6" width="11" customWidth="1"/>
  </cols>
  <sheetData>
    <row r="1" spans="1:6" ht="15" x14ac:dyDescent="0.4">
      <c r="A1" s="60" t="s">
        <v>1433</v>
      </c>
      <c r="B1" s="60" t="s">
        <v>1434</v>
      </c>
      <c r="C1" s="60" t="s">
        <v>1435</v>
      </c>
      <c r="D1" s="60" t="s">
        <v>1436</v>
      </c>
      <c r="E1" s="60" t="s">
        <v>1437</v>
      </c>
      <c r="F1" s="60" t="s">
        <v>1438</v>
      </c>
    </row>
    <row r="2" spans="1:6" ht="15" x14ac:dyDescent="0.4">
      <c r="A2" s="55">
        <v>1</v>
      </c>
      <c r="B2" s="55" t="s">
        <v>1439</v>
      </c>
      <c r="C2" s="55" t="s">
        <v>1440</v>
      </c>
      <c r="D2" s="55">
        <v>332340000</v>
      </c>
      <c r="E2" s="55" t="s">
        <v>1441</v>
      </c>
      <c r="F2" s="55" t="s">
        <v>1442</v>
      </c>
    </row>
    <row r="3" spans="1:6" ht="15" x14ac:dyDescent="0.4">
      <c r="A3" s="55">
        <v>2</v>
      </c>
      <c r="B3" s="55" t="s">
        <v>1443</v>
      </c>
      <c r="C3" s="55" t="s">
        <v>1444</v>
      </c>
      <c r="D3" s="55">
        <v>-480000</v>
      </c>
      <c r="E3" s="55" t="s">
        <v>1445</v>
      </c>
      <c r="F3" s="55" t="s">
        <v>1446</v>
      </c>
    </row>
    <row r="4" spans="1:6" ht="15" x14ac:dyDescent="0.4">
      <c r="A4" s="55">
        <v>3</v>
      </c>
      <c r="B4" s="55" t="s">
        <v>1447</v>
      </c>
      <c r="C4" s="55" t="s">
        <v>1444</v>
      </c>
      <c r="D4" s="55">
        <v>-18960000</v>
      </c>
      <c r="E4" s="55" t="s">
        <v>1448</v>
      </c>
      <c r="F4" s="55" t="s">
        <v>1449</v>
      </c>
    </row>
    <row r="5" spans="1:6" ht="15" x14ac:dyDescent="0.4">
      <c r="A5" s="55">
        <v>4</v>
      </c>
      <c r="B5" s="55" t="s">
        <v>1450</v>
      </c>
      <c r="C5" s="55" t="s">
        <v>1444</v>
      </c>
      <c r="D5" s="55">
        <v>3330000</v>
      </c>
      <c r="E5" s="55" t="s">
        <v>1451</v>
      </c>
      <c r="F5" s="55" t="s">
        <v>1452</v>
      </c>
    </row>
    <row r="6" spans="1:6" ht="15" x14ac:dyDescent="0.4">
      <c r="A6" s="55">
        <v>5</v>
      </c>
      <c r="B6" s="55" t="s">
        <v>1453</v>
      </c>
      <c r="C6" s="55" t="s">
        <v>1444</v>
      </c>
      <c r="D6" s="55">
        <v>2850000</v>
      </c>
      <c r="E6" s="55" t="s">
        <v>1454</v>
      </c>
      <c r="F6" s="55" t="s">
        <v>1455</v>
      </c>
    </row>
    <row r="7" spans="1:6" ht="15" x14ac:dyDescent="0.4">
      <c r="A7" s="55">
        <v>6</v>
      </c>
      <c r="B7" s="55" t="s">
        <v>1456</v>
      </c>
      <c r="C7" s="55" t="s">
        <v>1440</v>
      </c>
      <c r="D7" s="55">
        <v>319080000</v>
      </c>
      <c r="E7" s="55" t="s">
        <v>196</v>
      </c>
      <c r="F7" s="55" t="s">
        <v>1457</v>
      </c>
    </row>
    <row r="8" spans="1:6" ht="15" x14ac:dyDescent="0.4">
      <c r="A8" s="55">
        <v>7</v>
      </c>
      <c r="B8" s="55" t="s">
        <v>1458</v>
      </c>
      <c r="C8" s="55" t="s">
        <v>1444</v>
      </c>
      <c r="D8" s="55">
        <v>-13345000</v>
      </c>
      <c r="E8" s="55" t="s">
        <v>199</v>
      </c>
      <c r="F8" s="55" t="s">
        <v>1459</v>
      </c>
    </row>
    <row r="9" spans="1:6" ht="15" x14ac:dyDescent="0.4">
      <c r="A9" s="55">
        <v>8</v>
      </c>
      <c r="B9" s="55" t="s">
        <v>1460</v>
      </c>
      <c r="C9" s="55" t="s">
        <v>1440</v>
      </c>
      <c r="D9" s="55">
        <v>305735000</v>
      </c>
      <c r="E9" s="55" t="s">
        <v>202</v>
      </c>
      <c r="F9" s="55" t="s">
        <v>1461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A929C"/>
  </sheetPr>
  <dimension ref="A1:E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23" customWidth="1"/>
    <col min="5" max="5" width="27" customWidth="1"/>
  </cols>
  <sheetData>
    <row r="1" spans="1:5" ht="15" x14ac:dyDescent="0.4">
      <c r="A1" s="60" t="s">
        <v>365</v>
      </c>
      <c r="B1" s="60" t="s">
        <v>355</v>
      </c>
      <c r="C1" s="60" t="s">
        <v>1462</v>
      </c>
      <c r="D1" s="60" t="s">
        <v>1463</v>
      </c>
      <c r="E1" s="60" t="s">
        <v>1464</v>
      </c>
    </row>
    <row r="2" spans="1:5" ht="15" x14ac:dyDescent="0.4">
      <c r="A2" s="55" t="s">
        <v>58</v>
      </c>
      <c r="B2" s="57">
        <v>12489881</v>
      </c>
      <c r="C2" s="55">
        <v>157</v>
      </c>
      <c r="D2" s="57">
        <v>108360000</v>
      </c>
      <c r="E2" s="57">
        <v>72175000</v>
      </c>
    </row>
    <row r="3" spans="1:5" ht="15" x14ac:dyDescent="0.4">
      <c r="A3" s="55" t="s">
        <v>60</v>
      </c>
      <c r="B3" s="57">
        <v>9197296</v>
      </c>
      <c r="C3" s="55">
        <v>79</v>
      </c>
      <c r="D3" s="57">
        <v>71100000</v>
      </c>
      <c r="E3" s="57">
        <v>54820000</v>
      </c>
    </row>
    <row r="4" spans="1:5" ht="15" x14ac:dyDescent="0.4">
      <c r="A4" s="55" t="s">
        <v>56</v>
      </c>
      <c r="B4" s="57">
        <v>26552128</v>
      </c>
      <c r="C4" s="55">
        <v>280</v>
      </c>
      <c r="D4" s="57">
        <v>192960000</v>
      </c>
      <c r="E4" s="57">
        <v>86430000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1" customWidth="1"/>
    <col min="4" max="4" width="21" customWidth="1"/>
    <col min="5" max="5" width="14" customWidth="1"/>
  </cols>
  <sheetData>
    <row r="1" spans="1:5" ht="15" x14ac:dyDescent="0.4">
      <c r="A1" s="60" t="s">
        <v>1465</v>
      </c>
      <c r="B1" s="60" t="s">
        <v>1433</v>
      </c>
      <c r="C1" s="60" t="s">
        <v>1466</v>
      </c>
      <c r="D1" s="60" t="s">
        <v>1467</v>
      </c>
      <c r="E1" s="60" t="s">
        <v>1468</v>
      </c>
    </row>
    <row r="2" spans="1:5" ht="15" x14ac:dyDescent="0.4">
      <c r="A2" s="55" t="s">
        <v>1469</v>
      </c>
      <c r="B2" s="55">
        <v>1</v>
      </c>
      <c r="C2" s="55">
        <v>14693</v>
      </c>
      <c r="D2" s="58"/>
      <c r="E2" s="55" t="s">
        <v>167</v>
      </c>
    </row>
    <row r="3" spans="1:5" ht="15" x14ac:dyDescent="0.4">
      <c r="A3" s="55" t="s">
        <v>1470</v>
      </c>
      <c r="B3" s="55">
        <v>2</v>
      </c>
      <c r="C3" s="55">
        <v>4115</v>
      </c>
      <c r="D3" s="58">
        <v>0.28010000000000002</v>
      </c>
      <c r="E3" s="55" t="s">
        <v>170</v>
      </c>
    </row>
    <row r="4" spans="1:5" ht="15" x14ac:dyDescent="0.4">
      <c r="A4" s="55" t="s">
        <v>1471</v>
      </c>
      <c r="B4" s="55">
        <v>3</v>
      </c>
      <c r="C4" s="55">
        <v>1896</v>
      </c>
      <c r="D4" s="58">
        <v>0.46079999999999999</v>
      </c>
      <c r="E4" s="55" t="s">
        <v>1472</v>
      </c>
    </row>
    <row r="5" spans="1:5" ht="15" x14ac:dyDescent="0.4">
      <c r="A5" s="55" t="s">
        <v>1473</v>
      </c>
      <c r="B5" s="55">
        <v>4</v>
      </c>
      <c r="C5" s="55">
        <v>1420</v>
      </c>
      <c r="D5" s="58">
        <v>0.74890000000000001</v>
      </c>
      <c r="E5" s="55" t="s">
        <v>1474</v>
      </c>
    </row>
    <row r="6" spans="1:5" ht="15" x14ac:dyDescent="0.4">
      <c r="A6" s="55" t="s">
        <v>1475</v>
      </c>
      <c r="B6" s="55">
        <v>5</v>
      </c>
      <c r="C6" s="55">
        <v>1199</v>
      </c>
      <c r="D6" s="58">
        <v>0.84440000000000004</v>
      </c>
      <c r="E6" s="55" t="s">
        <v>179</v>
      </c>
    </row>
    <row r="7" spans="1:5" ht="15" x14ac:dyDescent="0.4">
      <c r="A7" s="55" t="s">
        <v>1476</v>
      </c>
      <c r="B7" s="55">
        <v>6</v>
      </c>
      <c r="C7" s="55">
        <v>438</v>
      </c>
      <c r="D7" s="58">
        <v>0.35780000000000001</v>
      </c>
      <c r="E7" s="55" t="s">
        <v>182</v>
      </c>
    </row>
    <row r="8" spans="1:5" ht="15" x14ac:dyDescent="0.4">
      <c r="A8" s="55" t="s">
        <v>1477</v>
      </c>
      <c r="B8" s="55">
        <v>7</v>
      </c>
      <c r="C8" s="55">
        <v>427</v>
      </c>
      <c r="D8" s="58">
        <v>0.97489999999999999</v>
      </c>
      <c r="E8" s="55" t="s">
        <v>1478</v>
      </c>
    </row>
    <row r="9" spans="1:5" ht="15" x14ac:dyDescent="0.4">
      <c r="A9" s="55" t="s">
        <v>1479</v>
      </c>
      <c r="B9" s="55">
        <v>8</v>
      </c>
      <c r="C9" s="55">
        <v>418</v>
      </c>
      <c r="D9" s="58">
        <v>0.97889999999999999</v>
      </c>
      <c r="E9" s="55" t="s">
        <v>1480</v>
      </c>
    </row>
    <row r="10" spans="1:5" ht="15" x14ac:dyDescent="0.4">
      <c r="A10" s="55" t="s">
        <v>1481</v>
      </c>
      <c r="B10" s="55">
        <v>9</v>
      </c>
      <c r="C10" s="55">
        <v>19</v>
      </c>
      <c r="D10" s="58">
        <v>4.5499999999999999E-2</v>
      </c>
      <c r="E10" s="55" t="s">
        <v>1482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A929C"/>
  </sheetPr>
  <dimension ref="A1:L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3" customWidth="1"/>
    <col min="3" max="7" width="11" customWidth="1"/>
    <col min="8" max="8" width="12" customWidth="1"/>
    <col min="9" max="9" width="17" customWidth="1"/>
    <col min="10" max="10" width="12" customWidth="1"/>
    <col min="11" max="11" width="15" customWidth="1"/>
    <col min="12" max="12" width="29" customWidth="1"/>
  </cols>
  <sheetData>
    <row r="1" spans="1:12" ht="15" x14ac:dyDescent="0.4">
      <c r="A1" s="60" t="s">
        <v>1483</v>
      </c>
      <c r="B1" s="60" t="s">
        <v>1484</v>
      </c>
      <c r="C1" s="60" t="s">
        <v>1485</v>
      </c>
      <c r="D1" s="60" t="s">
        <v>1486</v>
      </c>
      <c r="E1" s="60" t="s">
        <v>1487</v>
      </c>
      <c r="F1" s="60" t="s">
        <v>356</v>
      </c>
      <c r="G1" s="60" t="s">
        <v>357</v>
      </c>
      <c r="H1" s="60" t="s">
        <v>1431</v>
      </c>
      <c r="I1" s="60" t="s">
        <v>363</v>
      </c>
      <c r="J1" s="60" t="s">
        <v>1488</v>
      </c>
      <c r="K1" s="60" t="s">
        <v>1489</v>
      </c>
      <c r="L1" s="60" t="s">
        <v>1490</v>
      </c>
    </row>
    <row r="2" spans="1:12" ht="15" x14ac:dyDescent="0.4">
      <c r="A2" s="55" t="s">
        <v>1491</v>
      </c>
      <c r="B2" s="55" t="s">
        <v>1492</v>
      </c>
      <c r="C2" s="55" t="s">
        <v>1493</v>
      </c>
      <c r="D2" s="55" t="s">
        <v>1494</v>
      </c>
      <c r="E2" s="55">
        <v>7951</v>
      </c>
      <c r="F2" s="55">
        <v>524</v>
      </c>
      <c r="G2" s="55">
        <v>120</v>
      </c>
      <c r="H2" s="55">
        <v>6</v>
      </c>
      <c r="I2" s="57">
        <v>5130000</v>
      </c>
      <c r="J2" s="58">
        <v>6.59E-2</v>
      </c>
      <c r="K2" s="55">
        <v>0.22900000000000001</v>
      </c>
      <c r="L2" s="57">
        <v>645.20000000000005</v>
      </c>
    </row>
    <row r="3" spans="1:12" ht="15" x14ac:dyDescent="0.4">
      <c r="A3" s="55" t="s">
        <v>1491</v>
      </c>
      <c r="B3" s="55" t="s">
        <v>1495</v>
      </c>
      <c r="C3" s="55" t="s">
        <v>1496</v>
      </c>
      <c r="D3" s="55" t="s">
        <v>1497</v>
      </c>
      <c r="E3" s="55">
        <v>7940</v>
      </c>
      <c r="F3" s="55">
        <v>787</v>
      </c>
      <c r="G3" s="55">
        <v>155</v>
      </c>
      <c r="H3" s="55">
        <v>9</v>
      </c>
      <c r="I3" s="57">
        <v>4440000</v>
      </c>
      <c r="J3" s="58">
        <v>9.9099999999999994E-2</v>
      </c>
      <c r="K3" s="55">
        <v>0.19700000000000001</v>
      </c>
      <c r="L3" s="57">
        <v>559.19000000000005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A929C"/>
  </sheetPr>
  <dimension ref="A1:K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6" width="11" customWidth="1"/>
    <col min="7" max="7" width="16" customWidth="1"/>
    <col min="8" max="8" width="11" customWidth="1"/>
    <col min="9" max="9" width="15" customWidth="1"/>
    <col min="10" max="10" width="12" customWidth="1"/>
    <col min="11" max="11" width="28" customWidth="1"/>
  </cols>
  <sheetData>
    <row r="1" spans="1:11" ht="15" x14ac:dyDescent="0.4">
      <c r="A1" s="60" t="s">
        <v>1498</v>
      </c>
      <c r="B1" s="60" t="s">
        <v>1499</v>
      </c>
      <c r="C1" s="60" t="s">
        <v>365</v>
      </c>
      <c r="D1" s="60" t="s">
        <v>1500</v>
      </c>
      <c r="E1" s="60" t="s">
        <v>1501</v>
      </c>
      <c r="F1" s="60" t="s">
        <v>367</v>
      </c>
      <c r="G1" s="60" t="s">
        <v>1502</v>
      </c>
      <c r="H1" s="60" t="s">
        <v>357</v>
      </c>
      <c r="I1" s="60" t="s">
        <v>358</v>
      </c>
      <c r="J1" s="60" t="s">
        <v>1431</v>
      </c>
      <c r="K1" s="60" t="s">
        <v>1503</v>
      </c>
    </row>
    <row r="2" spans="1:11" ht="15" x14ac:dyDescent="0.4">
      <c r="A2" s="55" t="s">
        <v>1504</v>
      </c>
      <c r="B2" s="55" t="s">
        <v>1505</v>
      </c>
      <c r="C2" s="55" t="s">
        <v>1427</v>
      </c>
      <c r="D2" s="55" t="s">
        <v>1506</v>
      </c>
      <c r="E2" s="55">
        <v>44650</v>
      </c>
      <c r="F2" s="55">
        <v>556</v>
      </c>
      <c r="G2" s="55">
        <v>1122</v>
      </c>
      <c r="H2" s="55">
        <v>232</v>
      </c>
      <c r="I2" s="55">
        <v>104</v>
      </c>
      <c r="J2" s="55">
        <v>16</v>
      </c>
      <c r="K2" s="57">
        <v>13500000</v>
      </c>
    </row>
    <row r="3" spans="1:11" ht="15" x14ac:dyDescent="0.4">
      <c r="A3" s="55" t="s">
        <v>1507</v>
      </c>
      <c r="B3" s="55" t="s">
        <v>1508</v>
      </c>
      <c r="C3" s="55" t="s">
        <v>1427</v>
      </c>
      <c r="D3" s="55" t="s">
        <v>1509</v>
      </c>
      <c r="E3" s="55">
        <v>11740</v>
      </c>
      <c r="F3" s="55">
        <v>324</v>
      </c>
      <c r="G3" s="55">
        <v>246</v>
      </c>
      <c r="H3" s="55">
        <v>82</v>
      </c>
      <c r="I3" s="55">
        <v>40</v>
      </c>
      <c r="J3" s="55">
        <v>15</v>
      </c>
      <c r="K3" s="57">
        <v>12070000</v>
      </c>
    </row>
    <row r="4" spans="1:11" ht="15" x14ac:dyDescent="0.4">
      <c r="A4" s="55" t="s">
        <v>1510</v>
      </c>
      <c r="B4" s="55" t="s">
        <v>1511</v>
      </c>
      <c r="C4" s="55" t="s">
        <v>1427</v>
      </c>
      <c r="D4" s="55" t="s">
        <v>1506</v>
      </c>
      <c r="E4" s="55">
        <v>24910</v>
      </c>
      <c r="F4" s="55">
        <v>252</v>
      </c>
      <c r="G4" s="55">
        <v>604</v>
      </c>
      <c r="H4" s="55">
        <v>130</v>
      </c>
      <c r="I4" s="55">
        <v>50</v>
      </c>
      <c r="J4" s="55">
        <v>15</v>
      </c>
      <c r="K4" s="57">
        <v>10460000</v>
      </c>
    </row>
    <row r="5" spans="1:11" ht="15" x14ac:dyDescent="0.4">
      <c r="A5" s="55" t="s">
        <v>1512</v>
      </c>
      <c r="B5" s="55" t="s">
        <v>1513</v>
      </c>
      <c r="C5" s="55" t="s">
        <v>1427</v>
      </c>
      <c r="D5" s="55" t="s">
        <v>1514</v>
      </c>
      <c r="E5" s="55">
        <v>11177</v>
      </c>
      <c r="F5" s="55">
        <v>297</v>
      </c>
      <c r="G5" s="55">
        <v>270</v>
      </c>
      <c r="H5" s="55">
        <v>88</v>
      </c>
      <c r="I5" s="55">
        <v>37</v>
      </c>
      <c r="J5" s="55">
        <v>8</v>
      </c>
      <c r="K5" s="57">
        <v>5790000</v>
      </c>
    </row>
    <row r="6" spans="1:11" ht="15" x14ac:dyDescent="0.4">
      <c r="A6" s="55" t="s">
        <v>1515</v>
      </c>
      <c r="B6" s="55" t="s">
        <v>1516</v>
      </c>
      <c r="C6" s="55" t="s">
        <v>1427</v>
      </c>
      <c r="D6" s="55" t="s">
        <v>1514</v>
      </c>
      <c r="E6" s="55">
        <v>12532</v>
      </c>
      <c r="F6" s="55">
        <v>249</v>
      </c>
      <c r="G6" s="55">
        <v>166</v>
      </c>
      <c r="H6" s="55">
        <v>42</v>
      </c>
      <c r="I6" s="55">
        <v>23</v>
      </c>
      <c r="J6" s="55">
        <v>7</v>
      </c>
      <c r="K6" s="57">
        <v>5260000</v>
      </c>
    </row>
    <row r="7" spans="1:11" ht="15" x14ac:dyDescent="0.4">
      <c r="A7" s="55" t="s">
        <v>1517</v>
      </c>
      <c r="B7" s="55" t="s">
        <v>1518</v>
      </c>
      <c r="C7" s="55" t="s">
        <v>1427</v>
      </c>
      <c r="D7" s="55" t="s">
        <v>1519</v>
      </c>
      <c r="E7" s="55">
        <v>5936</v>
      </c>
      <c r="F7" s="55">
        <v>256</v>
      </c>
      <c r="G7" s="55">
        <v>165</v>
      </c>
      <c r="H7" s="55">
        <v>71</v>
      </c>
      <c r="I7" s="55">
        <v>37</v>
      </c>
      <c r="J7" s="55">
        <v>7</v>
      </c>
      <c r="K7" s="57">
        <v>4890000</v>
      </c>
    </row>
    <row r="8" spans="1:11" ht="15" x14ac:dyDescent="0.4">
      <c r="A8" s="55" t="s">
        <v>1520</v>
      </c>
      <c r="B8" s="55" t="s">
        <v>1521</v>
      </c>
      <c r="C8" s="55" t="s">
        <v>1427</v>
      </c>
      <c r="D8" s="55" t="s">
        <v>1509</v>
      </c>
      <c r="E8" s="55">
        <v>8300</v>
      </c>
      <c r="F8" s="55">
        <v>324</v>
      </c>
      <c r="G8" s="55">
        <v>221</v>
      </c>
      <c r="H8" s="55">
        <v>73</v>
      </c>
      <c r="I8" s="55">
        <v>36</v>
      </c>
      <c r="J8" s="55">
        <v>8</v>
      </c>
      <c r="K8" s="57">
        <v>4830000</v>
      </c>
    </row>
    <row r="9" spans="1:11" ht="15" x14ac:dyDescent="0.4">
      <c r="A9" s="55" t="s">
        <v>1522</v>
      </c>
      <c r="B9" s="55" t="s">
        <v>1523</v>
      </c>
      <c r="C9" s="55" t="s">
        <v>1427</v>
      </c>
      <c r="D9" s="55" t="s">
        <v>1519</v>
      </c>
      <c r="E9" s="55">
        <v>7182</v>
      </c>
      <c r="F9" s="55">
        <v>160</v>
      </c>
      <c r="G9" s="55">
        <v>73</v>
      </c>
      <c r="H9" s="55">
        <v>27</v>
      </c>
      <c r="I9" s="55">
        <v>18</v>
      </c>
      <c r="J9" s="55">
        <v>6</v>
      </c>
      <c r="K9" s="57">
        <v>4380000</v>
      </c>
    </row>
    <row r="10" spans="1:11" ht="15" x14ac:dyDescent="0.4">
      <c r="A10" s="55" t="s">
        <v>1524</v>
      </c>
      <c r="B10" s="55" t="s">
        <v>1525</v>
      </c>
      <c r="C10" s="55" t="s">
        <v>1427</v>
      </c>
      <c r="D10" s="55" t="s">
        <v>1509</v>
      </c>
      <c r="E10" s="55">
        <v>5805</v>
      </c>
      <c r="F10" s="55">
        <v>195</v>
      </c>
      <c r="G10" s="55">
        <v>112</v>
      </c>
      <c r="H10" s="55">
        <v>41</v>
      </c>
      <c r="I10" s="55">
        <v>18</v>
      </c>
      <c r="J10" s="55">
        <v>5</v>
      </c>
      <c r="K10" s="57">
        <v>4200000</v>
      </c>
    </row>
    <row r="11" spans="1:11" ht="15" x14ac:dyDescent="0.4">
      <c r="A11" s="55" t="s">
        <v>1526</v>
      </c>
      <c r="B11" s="55" t="s">
        <v>1527</v>
      </c>
      <c r="C11" s="55" t="s">
        <v>1427</v>
      </c>
      <c r="D11" s="55" t="s">
        <v>1509</v>
      </c>
      <c r="E11" s="55">
        <v>7187</v>
      </c>
      <c r="F11" s="55">
        <v>227</v>
      </c>
      <c r="G11" s="55">
        <v>114</v>
      </c>
      <c r="H11" s="55">
        <v>34</v>
      </c>
      <c r="I11" s="55">
        <v>14</v>
      </c>
      <c r="J11" s="55">
        <v>2</v>
      </c>
      <c r="K11" s="57">
        <v>3150000</v>
      </c>
    </row>
    <row r="12" spans="1:11" ht="15" x14ac:dyDescent="0.4">
      <c r="A12" s="55" t="s">
        <v>1528</v>
      </c>
      <c r="B12" s="55" t="s">
        <v>1529</v>
      </c>
      <c r="C12" s="55" t="s">
        <v>1427</v>
      </c>
      <c r="D12" s="55" t="s">
        <v>1530</v>
      </c>
      <c r="E12" s="55">
        <v>17570</v>
      </c>
      <c r="F12" s="55">
        <v>440</v>
      </c>
      <c r="G12" s="55">
        <v>455</v>
      </c>
      <c r="H12" s="55">
        <v>137</v>
      </c>
      <c r="I12" s="55">
        <v>60</v>
      </c>
      <c r="J12" s="55">
        <v>7</v>
      </c>
      <c r="K12" s="57">
        <v>3120000</v>
      </c>
    </row>
    <row r="13" spans="1:11" ht="15" x14ac:dyDescent="0.4">
      <c r="A13" s="55" t="s">
        <v>1531</v>
      </c>
      <c r="B13" s="55" t="s">
        <v>1532</v>
      </c>
      <c r="C13" s="55" t="s">
        <v>1427</v>
      </c>
      <c r="D13" s="55" t="s">
        <v>1519</v>
      </c>
      <c r="E13" s="55">
        <v>9707</v>
      </c>
      <c r="F13" s="55">
        <v>360</v>
      </c>
      <c r="G13" s="55">
        <v>118</v>
      </c>
      <c r="H13" s="55">
        <v>44</v>
      </c>
      <c r="I13" s="55">
        <v>16</v>
      </c>
      <c r="J13" s="55">
        <v>4</v>
      </c>
      <c r="K13" s="57">
        <v>3120000</v>
      </c>
    </row>
    <row r="14" spans="1:11" ht="15" x14ac:dyDescent="0.4">
      <c r="A14" s="55" t="s">
        <v>1533</v>
      </c>
      <c r="B14" s="55" t="s">
        <v>1534</v>
      </c>
      <c r="C14" s="55" t="s">
        <v>1427</v>
      </c>
      <c r="D14" s="55" t="s">
        <v>1514</v>
      </c>
      <c r="E14" s="55">
        <v>5354</v>
      </c>
      <c r="F14" s="55">
        <v>161</v>
      </c>
      <c r="G14" s="55">
        <v>55</v>
      </c>
      <c r="H14" s="55">
        <v>20</v>
      </c>
      <c r="I14" s="55">
        <v>6</v>
      </c>
      <c r="J14" s="55">
        <v>2</v>
      </c>
      <c r="K14" s="57">
        <v>3000000</v>
      </c>
    </row>
    <row r="15" spans="1:11" ht="15" x14ac:dyDescent="0.4">
      <c r="A15" s="55" t="s">
        <v>1535</v>
      </c>
      <c r="B15" s="55" t="s">
        <v>1536</v>
      </c>
      <c r="C15" s="55" t="s">
        <v>1427</v>
      </c>
      <c r="D15" s="55" t="s">
        <v>1530</v>
      </c>
      <c r="E15" s="55">
        <v>8009</v>
      </c>
      <c r="F15" s="55">
        <v>231</v>
      </c>
      <c r="G15" s="55">
        <v>69</v>
      </c>
      <c r="H15" s="55">
        <v>19</v>
      </c>
      <c r="I15" s="55">
        <v>10</v>
      </c>
      <c r="J15" s="55">
        <v>4</v>
      </c>
      <c r="K15" s="57">
        <v>2820000</v>
      </c>
    </row>
    <row r="16" spans="1:11" ht="15" x14ac:dyDescent="0.4">
      <c r="A16" s="55" t="s">
        <v>1537</v>
      </c>
      <c r="B16" s="55" t="s">
        <v>1538</v>
      </c>
      <c r="C16" s="55" t="s">
        <v>1427</v>
      </c>
      <c r="D16" s="55" t="s">
        <v>1514</v>
      </c>
      <c r="E16" s="55">
        <v>30204</v>
      </c>
      <c r="F16" s="55">
        <v>835</v>
      </c>
      <c r="G16" s="55">
        <v>182</v>
      </c>
      <c r="H16" s="55">
        <v>41</v>
      </c>
      <c r="I16" s="55">
        <v>19</v>
      </c>
      <c r="J16" s="55">
        <v>4</v>
      </c>
      <c r="K16" s="57">
        <v>2800000</v>
      </c>
    </row>
    <row r="17" spans="1:11" ht="15" x14ac:dyDescent="0.4">
      <c r="A17" s="55" t="s">
        <v>1539</v>
      </c>
      <c r="B17" s="55" t="s">
        <v>1540</v>
      </c>
      <c r="C17" s="55" t="s">
        <v>1427</v>
      </c>
      <c r="D17" s="55" t="s">
        <v>1506</v>
      </c>
      <c r="E17" s="55">
        <v>18652</v>
      </c>
      <c r="F17" s="55">
        <v>176</v>
      </c>
      <c r="G17" s="55">
        <v>366</v>
      </c>
      <c r="H17" s="55">
        <v>90</v>
      </c>
      <c r="I17" s="55">
        <v>42</v>
      </c>
      <c r="J17" s="55">
        <v>4</v>
      </c>
      <c r="K17" s="57">
        <v>2670000</v>
      </c>
    </row>
    <row r="18" spans="1:11" ht="15" x14ac:dyDescent="0.4">
      <c r="A18" s="55" t="s">
        <v>1541</v>
      </c>
      <c r="B18" s="55" t="s">
        <v>1542</v>
      </c>
      <c r="C18" s="55" t="s">
        <v>1427</v>
      </c>
      <c r="D18" s="55" t="s">
        <v>1506</v>
      </c>
      <c r="E18" s="55">
        <v>45088</v>
      </c>
      <c r="F18" s="55">
        <v>448</v>
      </c>
      <c r="G18" s="55">
        <v>223</v>
      </c>
      <c r="H18" s="55">
        <v>39</v>
      </c>
      <c r="I18" s="55">
        <v>18</v>
      </c>
      <c r="J18" s="55">
        <v>3</v>
      </c>
      <c r="K18" s="57">
        <v>2500000</v>
      </c>
    </row>
    <row r="19" spans="1:11" ht="15" x14ac:dyDescent="0.4">
      <c r="A19" s="55" t="s">
        <v>1543</v>
      </c>
      <c r="B19" s="55" t="s">
        <v>1544</v>
      </c>
      <c r="C19" s="55" t="s">
        <v>1427</v>
      </c>
      <c r="D19" s="55" t="s">
        <v>1530</v>
      </c>
      <c r="E19" s="55">
        <v>8342</v>
      </c>
      <c r="F19" s="55">
        <v>146</v>
      </c>
      <c r="G19" s="55">
        <v>165</v>
      </c>
      <c r="H19" s="55">
        <v>50</v>
      </c>
      <c r="I19" s="55">
        <v>26</v>
      </c>
      <c r="J19" s="55">
        <v>4</v>
      </c>
      <c r="K19" s="57">
        <v>1920000</v>
      </c>
    </row>
    <row r="20" spans="1:11" ht="15" x14ac:dyDescent="0.4">
      <c r="A20" s="55" t="s">
        <v>1545</v>
      </c>
      <c r="B20" s="55" t="s">
        <v>1546</v>
      </c>
      <c r="C20" s="55" t="s">
        <v>1427</v>
      </c>
      <c r="D20" s="55" t="s">
        <v>1519</v>
      </c>
      <c r="E20" s="55">
        <v>14524</v>
      </c>
      <c r="F20" s="55">
        <v>470</v>
      </c>
      <c r="G20" s="55">
        <v>123</v>
      </c>
      <c r="H20" s="55">
        <v>47</v>
      </c>
      <c r="I20" s="55">
        <v>22</v>
      </c>
      <c r="J20" s="55">
        <v>4</v>
      </c>
      <c r="K20" s="57">
        <v>1510000</v>
      </c>
    </row>
    <row r="21" spans="1:11" ht="15" x14ac:dyDescent="0.4">
      <c r="A21" s="55" t="s">
        <v>1547</v>
      </c>
      <c r="B21" s="55" t="s">
        <v>1548</v>
      </c>
      <c r="C21" s="55" t="s">
        <v>1427</v>
      </c>
      <c r="D21" s="55" t="s">
        <v>1519</v>
      </c>
      <c r="E21" s="55">
        <v>8531</v>
      </c>
      <c r="F21" s="55">
        <v>200</v>
      </c>
      <c r="G21" s="55">
        <v>117</v>
      </c>
      <c r="H21" s="55">
        <v>39</v>
      </c>
      <c r="I21" s="55">
        <v>16</v>
      </c>
      <c r="J21" s="55">
        <v>1</v>
      </c>
      <c r="K21" s="57">
        <v>1500000</v>
      </c>
    </row>
    <row r="22" spans="1:11" ht="15" x14ac:dyDescent="0.4">
      <c r="A22" s="55" t="s">
        <v>1549</v>
      </c>
      <c r="B22" s="55" t="s">
        <v>1550</v>
      </c>
      <c r="C22" s="55" t="s">
        <v>1427</v>
      </c>
      <c r="D22" s="55" t="s">
        <v>1509</v>
      </c>
      <c r="E22" s="55">
        <v>11006</v>
      </c>
      <c r="F22" s="55">
        <v>268</v>
      </c>
      <c r="G22" s="55">
        <v>114</v>
      </c>
      <c r="H22" s="55">
        <v>43</v>
      </c>
      <c r="I22" s="55">
        <v>21</v>
      </c>
      <c r="J22" s="55">
        <v>3</v>
      </c>
      <c r="K22" s="57">
        <v>1470000</v>
      </c>
    </row>
    <row r="23" spans="1:11" ht="15" x14ac:dyDescent="0.4">
      <c r="A23" s="55" t="s">
        <v>1551</v>
      </c>
      <c r="B23" s="55" t="s">
        <v>1552</v>
      </c>
      <c r="C23" s="55" t="s">
        <v>1427</v>
      </c>
      <c r="D23" s="55" t="s">
        <v>1530</v>
      </c>
      <c r="E23" s="55">
        <v>4007</v>
      </c>
      <c r="F23" s="55">
        <v>94</v>
      </c>
      <c r="G23" s="55">
        <v>51</v>
      </c>
      <c r="H23" s="55">
        <v>16</v>
      </c>
      <c r="I23" s="55">
        <v>10</v>
      </c>
      <c r="J23" s="55">
        <v>2</v>
      </c>
      <c r="K23" s="57">
        <v>1110000</v>
      </c>
    </row>
    <row r="24" spans="1:11" ht="15" x14ac:dyDescent="0.4">
      <c r="A24" s="55" t="s">
        <v>1553</v>
      </c>
      <c r="B24" s="55" t="s">
        <v>1554</v>
      </c>
      <c r="C24" s="55" t="s">
        <v>1427</v>
      </c>
      <c r="D24" s="55" t="s">
        <v>1519</v>
      </c>
      <c r="E24" s="55">
        <v>11615</v>
      </c>
      <c r="F24" s="55">
        <v>423</v>
      </c>
      <c r="G24" s="55">
        <v>60</v>
      </c>
      <c r="H24" s="55">
        <v>19</v>
      </c>
      <c r="I24" s="55">
        <v>10</v>
      </c>
      <c r="J24" s="55">
        <v>2</v>
      </c>
      <c r="K24" s="57">
        <v>650000</v>
      </c>
    </row>
    <row r="25" spans="1:11" ht="15" x14ac:dyDescent="0.4">
      <c r="A25" s="55" t="s">
        <v>1555</v>
      </c>
      <c r="B25" s="55" t="s">
        <v>1556</v>
      </c>
      <c r="C25" s="55" t="s">
        <v>1427</v>
      </c>
      <c r="D25" s="55" t="s">
        <v>1514</v>
      </c>
      <c r="E25" s="55">
        <v>13319</v>
      </c>
      <c r="F25" s="55">
        <v>321</v>
      </c>
      <c r="G25" s="55">
        <v>57</v>
      </c>
      <c r="H25" s="55">
        <v>7</v>
      </c>
      <c r="I25" s="55">
        <v>5</v>
      </c>
      <c r="J25" s="55">
        <v>1</v>
      </c>
      <c r="K25" s="57">
        <v>630000</v>
      </c>
    </row>
    <row r="26" spans="1:11" ht="15" x14ac:dyDescent="0.4">
      <c r="A26" s="55" t="s">
        <v>1557</v>
      </c>
      <c r="B26" s="55" t="s">
        <v>1558</v>
      </c>
      <c r="C26" s="55" t="s">
        <v>1427</v>
      </c>
      <c r="D26" s="55" t="s">
        <v>1509</v>
      </c>
      <c r="E26" s="55">
        <v>12822</v>
      </c>
      <c r="F26" s="55">
        <v>402</v>
      </c>
      <c r="G26" s="55">
        <v>56</v>
      </c>
      <c r="H26" s="55">
        <v>17</v>
      </c>
      <c r="I26" s="55">
        <v>7</v>
      </c>
      <c r="J26" s="55">
        <v>1</v>
      </c>
      <c r="K26" s="57">
        <v>480000</v>
      </c>
    </row>
    <row r="27" spans="1:11" ht="15" x14ac:dyDescent="0.4">
      <c r="A27" s="55" t="s">
        <v>1559</v>
      </c>
      <c r="B27" s="55" t="s">
        <v>1560</v>
      </c>
      <c r="C27" s="55" t="s">
        <v>1427</v>
      </c>
      <c r="D27" s="55" t="s">
        <v>1506</v>
      </c>
      <c r="E27" s="55">
        <v>11724</v>
      </c>
      <c r="F27" s="55">
        <v>186</v>
      </c>
      <c r="G27" s="55">
        <v>120</v>
      </c>
      <c r="H27" s="55">
        <v>17</v>
      </c>
      <c r="I27" s="55">
        <v>11</v>
      </c>
      <c r="J27" s="55">
        <v>2</v>
      </c>
      <c r="K27" s="57">
        <v>410000</v>
      </c>
    </row>
    <row r="28" spans="1:11" ht="15" x14ac:dyDescent="0.4">
      <c r="A28" s="55" t="s">
        <v>1561</v>
      </c>
      <c r="B28" s="55" t="s">
        <v>1562</v>
      </c>
      <c r="C28" s="55" t="s">
        <v>1427</v>
      </c>
      <c r="D28" s="55" t="s">
        <v>1509</v>
      </c>
      <c r="E28" s="55">
        <v>7034</v>
      </c>
      <c r="F28" s="55">
        <v>211</v>
      </c>
      <c r="G28" s="55">
        <v>42</v>
      </c>
      <c r="H28" s="55">
        <v>12</v>
      </c>
      <c r="I28" s="55">
        <v>6</v>
      </c>
      <c r="J28" s="55">
        <v>0</v>
      </c>
      <c r="K28" s="57">
        <v>0</v>
      </c>
    </row>
    <row r="29" spans="1:11" ht="15" x14ac:dyDescent="0.4">
      <c r="A29" s="55" t="s">
        <v>1563</v>
      </c>
      <c r="B29" s="55" t="s">
        <v>1564</v>
      </c>
      <c r="C29" s="55" t="s">
        <v>1427</v>
      </c>
      <c r="D29" s="55" t="s">
        <v>1530</v>
      </c>
      <c r="E29" s="55">
        <v>9286</v>
      </c>
      <c r="F29" s="55">
        <v>222</v>
      </c>
      <c r="G29" s="55">
        <v>46</v>
      </c>
      <c r="H29" s="55">
        <v>10</v>
      </c>
      <c r="I29" s="55">
        <v>3</v>
      </c>
      <c r="J29" s="55">
        <v>0</v>
      </c>
      <c r="K29" s="57">
        <v>0</v>
      </c>
    </row>
    <row r="30" spans="1:11" ht="15" x14ac:dyDescent="0.4">
      <c r="A30" s="55" t="s">
        <v>1565</v>
      </c>
      <c r="B30" s="55" t="s">
        <v>1566</v>
      </c>
      <c r="C30" s="55" t="s">
        <v>1427</v>
      </c>
      <c r="D30" s="55" t="s">
        <v>1509</v>
      </c>
      <c r="E30" s="55">
        <v>7179</v>
      </c>
      <c r="F30" s="55">
        <v>270</v>
      </c>
      <c r="G30" s="55">
        <v>21</v>
      </c>
      <c r="H30" s="55">
        <v>3</v>
      </c>
      <c r="I30" s="55">
        <v>1</v>
      </c>
      <c r="J30" s="55">
        <v>0</v>
      </c>
      <c r="K30" s="57">
        <v>0</v>
      </c>
    </row>
    <row r="31" spans="1:11" ht="15" x14ac:dyDescent="0.4">
      <c r="A31" s="55" t="s">
        <v>1567</v>
      </c>
      <c r="B31" s="55" t="s">
        <v>1568</v>
      </c>
      <c r="C31" s="55" t="s">
        <v>1427</v>
      </c>
      <c r="D31" s="55" t="s">
        <v>1506</v>
      </c>
      <c r="E31" s="55">
        <v>27937</v>
      </c>
      <c r="F31" s="55">
        <v>350</v>
      </c>
      <c r="G31" s="55">
        <v>59</v>
      </c>
      <c r="H31" s="55">
        <v>10</v>
      </c>
      <c r="I31" s="55">
        <v>4</v>
      </c>
      <c r="J31" s="55">
        <v>0</v>
      </c>
      <c r="K31" s="57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5" width="11" customWidth="1"/>
  </cols>
  <sheetData>
    <row r="1" spans="1:5" ht="15" x14ac:dyDescent="0.4">
      <c r="A1" s="60" t="s">
        <v>1569</v>
      </c>
      <c r="B1" s="60" t="s">
        <v>1570</v>
      </c>
      <c r="C1" s="60" t="s">
        <v>1571</v>
      </c>
      <c r="D1" s="60" t="s">
        <v>1572</v>
      </c>
      <c r="E1" s="60" t="s">
        <v>1573</v>
      </c>
    </row>
    <row r="2" spans="1:5" ht="15" x14ac:dyDescent="0.4">
      <c r="A2" s="55">
        <v>1</v>
      </c>
      <c r="B2" s="55" t="s">
        <v>1574</v>
      </c>
      <c r="C2" s="55" t="s">
        <v>1575</v>
      </c>
      <c r="D2" s="58">
        <v>0.97509999999999997</v>
      </c>
      <c r="E2" s="58">
        <v>0.95</v>
      </c>
    </row>
    <row r="3" spans="1:5" ht="15" x14ac:dyDescent="0.4">
      <c r="A3" s="55">
        <v>2</v>
      </c>
      <c r="B3" s="55" t="s">
        <v>1574</v>
      </c>
      <c r="C3" s="55" t="s">
        <v>1576</v>
      </c>
      <c r="D3" s="58">
        <v>0.92379999999999995</v>
      </c>
      <c r="E3" s="58">
        <v>0.95</v>
      </c>
    </row>
    <row r="4" spans="1:5" ht="15" x14ac:dyDescent="0.4">
      <c r="A4" s="55">
        <v>3</v>
      </c>
      <c r="B4" s="55" t="s">
        <v>1577</v>
      </c>
      <c r="C4" s="55" t="s">
        <v>1578</v>
      </c>
      <c r="D4" s="58">
        <v>0.95979999999999999</v>
      </c>
      <c r="E4" s="58">
        <v>0.98</v>
      </c>
    </row>
    <row r="5" spans="1:5" ht="15" x14ac:dyDescent="0.4">
      <c r="A5" s="55">
        <v>4</v>
      </c>
      <c r="B5" s="55" t="s">
        <v>1579</v>
      </c>
      <c r="C5" s="55" t="s">
        <v>1580</v>
      </c>
      <c r="D5" s="58">
        <v>0.97660000000000002</v>
      </c>
      <c r="E5" s="58">
        <v>0.98</v>
      </c>
    </row>
    <row r="6" spans="1:5" ht="15" x14ac:dyDescent="0.4">
      <c r="A6" s="55">
        <v>5</v>
      </c>
      <c r="B6" s="55" t="s">
        <v>1581</v>
      </c>
      <c r="C6" s="55" t="s">
        <v>1582</v>
      </c>
      <c r="D6" s="58">
        <v>0.9889</v>
      </c>
      <c r="E6" s="58">
        <v>0.99</v>
      </c>
    </row>
    <row r="7" spans="1:5" ht="15" x14ac:dyDescent="0.4">
      <c r="A7" s="55">
        <v>6</v>
      </c>
      <c r="B7" s="55" t="s">
        <v>1583</v>
      </c>
      <c r="C7" s="55" t="s">
        <v>1584</v>
      </c>
      <c r="D7" s="58">
        <v>0.995</v>
      </c>
      <c r="E7" s="58">
        <v>0.99</v>
      </c>
    </row>
    <row r="8" spans="1:5" ht="15" x14ac:dyDescent="0.4">
      <c r="A8" s="55">
        <v>7</v>
      </c>
      <c r="B8" s="55" t="s">
        <v>1583</v>
      </c>
      <c r="C8" s="55" t="s">
        <v>1585</v>
      </c>
      <c r="D8" s="58">
        <v>0.9526</v>
      </c>
      <c r="E8" s="58">
        <v>0.98</v>
      </c>
    </row>
    <row r="9" spans="1:5" ht="15" x14ac:dyDescent="0.4">
      <c r="A9" s="55">
        <v>8</v>
      </c>
      <c r="B9" s="55" t="s">
        <v>1583</v>
      </c>
      <c r="C9" s="55" t="s">
        <v>1586</v>
      </c>
      <c r="D9" s="58">
        <v>0.92220000000000002</v>
      </c>
      <c r="E9" s="58">
        <v>0.98</v>
      </c>
    </row>
    <row r="10" spans="1:5" ht="15" x14ac:dyDescent="0.4">
      <c r="A10" s="55">
        <v>9</v>
      </c>
      <c r="B10" s="55" t="s">
        <v>1583</v>
      </c>
      <c r="C10" s="55" t="s">
        <v>1587</v>
      </c>
      <c r="D10" s="58">
        <v>0.98709999999999998</v>
      </c>
      <c r="E10" s="58">
        <v>0.98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A929C"/>
  </sheetPr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9" customWidth="1"/>
    <col min="3" max="3" width="21" customWidth="1"/>
    <col min="4" max="4" width="17" customWidth="1"/>
    <col min="5" max="5" width="11" customWidth="1"/>
    <col min="6" max="6" width="25" customWidth="1"/>
    <col min="7" max="7" width="21" customWidth="1"/>
    <col min="8" max="8" width="11" customWidth="1"/>
    <col min="9" max="9" width="21" customWidth="1"/>
    <col min="10" max="10" width="22" customWidth="1"/>
  </cols>
  <sheetData>
    <row r="1" spans="1:10" ht="15" x14ac:dyDescent="0.4">
      <c r="A1" s="60" t="s">
        <v>1588</v>
      </c>
      <c r="B1" s="60" t="s">
        <v>1589</v>
      </c>
      <c r="C1" s="60" t="s">
        <v>1590</v>
      </c>
      <c r="D1" s="60" t="s">
        <v>1591</v>
      </c>
      <c r="E1" s="60" t="s">
        <v>1592</v>
      </c>
      <c r="F1" s="60" t="s">
        <v>1593</v>
      </c>
      <c r="G1" s="60" t="s">
        <v>1594</v>
      </c>
      <c r="H1" s="60" t="s">
        <v>1595</v>
      </c>
      <c r="I1" s="60" t="s">
        <v>1596</v>
      </c>
      <c r="J1" s="60" t="s">
        <v>1597</v>
      </c>
    </row>
    <row r="2" spans="1:10" ht="15" x14ac:dyDescent="0.4">
      <c r="A2" s="55">
        <v>19855</v>
      </c>
      <c r="B2" s="55">
        <v>19360</v>
      </c>
      <c r="C2" s="55">
        <v>18343</v>
      </c>
      <c r="D2" s="55">
        <v>14103</v>
      </c>
      <c r="E2" s="55">
        <v>14693</v>
      </c>
      <c r="F2" s="55">
        <v>138</v>
      </c>
      <c r="G2" s="55">
        <v>9</v>
      </c>
      <c r="H2" s="55">
        <v>809</v>
      </c>
      <c r="I2" s="55">
        <v>427</v>
      </c>
      <c r="J2" s="55">
        <v>417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8A929C"/>
  </sheetPr>
  <dimension ref="A1:G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20" customWidth="1"/>
    <col min="3" max="4" width="19" customWidth="1"/>
    <col min="5" max="5" width="20" customWidth="1"/>
    <col min="6" max="6" width="19" customWidth="1"/>
    <col min="7" max="7" width="21" customWidth="1"/>
  </cols>
  <sheetData>
    <row r="1" spans="1:7" ht="15" x14ac:dyDescent="0.4">
      <c r="A1" s="60" t="s">
        <v>1598</v>
      </c>
      <c r="B1" s="60" t="s">
        <v>1599</v>
      </c>
      <c r="C1" s="60" t="s">
        <v>1600</v>
      </c>
      <c r="D1" s="60" t="s">
        <v>1601</v>
      </c>
      <c r="E1" s="60" t="s">
        <v>1602</v>
      </c>
      <c r="F1" s="60" t="s">
        <v>1603</v>
      </c>
      <c r="G1" s="60" t="s">
        <v>1604</v>
      </c>
    </row>
    <row r="2" spans="1:7" ht="15" x14ac:dyDescent="0.4">
      <c r="A2" s="55">
        <v>7638</v>
      </c>
      <c r="B2" s="55">
        <v>7600</v>
      </c>
      <c r="C2" s="55">
        <v>38</v>
      </c>
      <c r="D2" s="58">
        <v>0.9526</v>
      </c>
      <c r="E2" s="58">
        <v>0.92220000000000002</v>
      </c>
      <c r="F2" s="58">
        <v>0.98709999999999998</v>
      </c>
      <c r="G2" s="55">
        <v>138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A929C"/>
  </sheetPr>
  <dimension ref="A1:J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4" width="13" customWidth="1"/>
    <col min="5" max="5" width="15" customWidth="1"/>
    <col min="6" max="6" width="14" customWidth="1"/>
    <col min="7" max="7" width="24" customWidth="1"/>
    <col min="8" max="8" width="15" customWidth="1"/>
    <col min="9" max="9" width="11" customWidth="1"/>
    <col min="10" max="10" width="16" customWidth="1"/>
  </cols>
  <sheetData>
    <row r="1" spans="1:10" ht="15" x14ac:dyDescent="0.4">
      <c r="A1" s="60" t="s">
        <v>1605</v>
      </c>
      <c r="B1" s="60" t="s">
        <v>1606</v>
      </c>
      <c r="C1" s="60" t="s">
        <v>1607</v>
      </c>
      <c r="D1" s="60" t="s">
        <v>1608</v>
      </c>
      <c r="E1" s="60" t="s">
        <v>1609</v>
      </c>
      <c r="F1" s="60" t="s">
        <v>1610</v>
      </c>
      <c r="G1" s="60" t="s">
        <v>1611</v>
      </c>
      <c r="H1" s="60" t="s">
        <v>1612</v>
      </c>
      <c r="I1" s="60" t="s">
        <v>367</v>
      </c>
      <c r="J1" s="60" t="s">
        <v>1613</v>
      </c>
    </row>
    <row r="2" spans="1:10" ht="15" x14ac:dyDescent="0.4">
      <c r="A2" s="55" t="s">
        <v>1614</v>
      </c>
      <c r="B2" s="55" t="s">
        <v>1615</v>
      </c>
      <c r="C2" s="55"/>
      <c r="D2" s="55"/>
      <c r="E2" s="55"/>
      <c r="F2" s="55" t="b">
        <v>1</v>
      </c>
      <c r="G2" s="55" t="b">
        <v>0</v>
      </c>
      <c r="H2" s="55" t="b">
        <v>0</v>
      </c>
      <c r="I2" s="55">
        <v>3568</v>
      </c>
      <c r="J2" s="55">
        <v>910</v>
      </c>
    </row>
    <row r="3" spans="1:10" ht="15" x14ac:dyDescent="0.4">
      <c r="A3" s="55" t="s">
        <v>1616</v>
      </c>
      <c r="B3" s="55" t="s">
        <v>60</v>
      </c>
      <c r="C3" s="55" t="s">
        <v>60</v>
      </c>
      <c r="D3" s="55" t="s">
        <v>1617</v>
      </c>
      <c r="E3" s="55" t="s">
        <v>59</v>
      </c>
      <c r="F3" s="55" t="b">
        <v>0</v>
      </c>
      <c r="G3" s="55" t="b">
        <v>0</v>
      </c>
      <c r="H3" s="55" t="b">
        <v>1</v>
      </c>
      <c r="I3" s="55">
        <v>139</v>
      </c>
      <c r="J3" s="55">
        <v>139</v>
      </c>
    </row>
    <row r="4" spans="1:10" ht="15" x14ac:dyDescent="0.4">
      <c r="A4" s="55" t="s">
        <v>1618</v>
      </c>
      <c r="B4" s="55" t="s">
        <v>82</v>
      </c>
      <c r="C4" s="55" t="s">
        <v>82</v>
      </c>
      <c r="D4" s="55" t="s">
        <v>1418</v>
      </c>
      <c r="E4" s="55" t="s">
        <v>398</v>
      </c>
      <c r="F4" s="55" t="b">
        <v>0</v>
      </c>
      <c r="G4" s="55" t="b">
        <v>0</v>
      </c>
      <c r="H4" s="55" t="b">
        <v>0</v>
      </c>
      <c r="I4" s="55">
        <v>271</v>
      </c>
      <c r="J4" s="55">
        <v>271</v>
      </c>
    </row>
    <row r="5" spans="1:10" ht="15" x14ac:dyDescent="0.4">
      <c r="A5" s="55" t="s">
        <v>1619</v>
      </c>
      <c r="B5" s="55" t="s">
        <v>82</v>
      </c>
      <c r="C5" s="55" t="s">
        <v>82</v>
      </c>
      <c r="D5" s="55" t="s">
        <v>1418</v>
      </c>
      <c r="E5" s="55" t="s">
        <v>398</v>
      </c>
      <c r="F5" s="55" t="b">
        <v>0</v>
      </c>
      <c r="G5" s="55" t="b">
        <v>0</v>
      </c>
      <c r="H5" s="55" t="b">
        <v>0</v>
      </c>
      <c r="I5" s="55">
        <v>6362</v>
      </c>
      <c r="J5" s="55">
        <v>438</v>
      </c>
    </row>
    <row r="6" spans="1:10" ht="15" x14ac:dyDescent="0.4">
      <c r="A6" s="55" t="s">
        <v>1620</v>
      </c>
      <c r="B6" s="55" t="s">
        <v>1621</v>
      </c>
      <c r="C6" s="55" t="s">
        <v>1420</v>
      </c>
      <c r="D6" s="55" t="s">
        <v>1421</v>
      </c>
      <c r="E6" s="55" t="s">
        <v>377</v>
      </c>
      <c r="F6" s="55" t="b">
        <v>0</v>
      </c>
      <c r="G6" s="55" t="b">
        <v>0</v>
      </c>
      <c r="H6" s="55" t="b">
        <v>0</v>
      </c>
      <c r="I6" s="55">
        <v>1207</v>
      </c>
      <c r="J6" s="55">
        <v>100</v>
      </c>
    </row>
    <row r="7" spans="1:10" ht="15" x14ac:dyDescent="0.4">
      <c r="A7" s="55" t="s">
        <v>1622</v>
      </c>
      <c r="B7" s="55" t="s">
        <v>1621</v>
      </c>
      <c r="C7" s="55" t="s">
        <v>1623</v>
      </c>
      <c r="D7" s="55" t="s">
        <v>1421</v>
      </c>
      <c r="E7" s="55" t="s">
        <v>377</v>
      </c>
      <c r="F7" s="55" t="b">
        <v>0</v>
      </c>
      <c r="G7" s="55" t="b">
        <v>0</v>
      </c>
      <c r="H7" s="55" t="b">
        <v>1</v>
      </c>
      <c r="I7" s="55">
        <v>245</v>
      </c>
      <c r="J7" s="55">
        <v>202</v>
      </c>
    </row>
    <row r="8" spans="1:10" ht="15" x14ac:dyDescent="0.4">
      <c r="A8" s="55" t="s">
        <v>1624</v>
      </c>
      <c r="B8" s="55" t="s">
        <v>1417</v>
      </c>
      <c r="C8" s="55" t="s">
        <v>1424</v>
      </c>
      <c r="D8" s="55" t="s">
        <v>1425</v>
      </c>
      <c r="E8" s="55" t="s">
        <v>380</v>
      </c>
      <c r="F8" s="55" t="b">
        <v>0</v>
      </c>
      <c r="G8" s="55" t="b">
        <v>0</v>
      </c>
      <c r="H8" s="55" t="b">
        <v>0</v>
      </c>
      <c r="I8" s="55">
        <v>4001</v>
      </c>
      <c r="J8" s="55">
        <v>290</v>
      </c>
    </row>
    <row r="9" spans="1:10" ht="15" x14ac:dyDescent="0.4">
      <c r="A9" s="55" t="s">
        <v>1625</v>
      </c>
      <c r="B9" s="55" t="s">
        <v>1427</v>
      </c>
      <c r="C9" s="55" t="s">
        <v>1427</v>
      </c>
      <c r="D9" s="55" t="s">
        <v>1428</v>
      </c>
      <c r="E9" s="55" t="s">
        <v>386</v>
      </c>
      <c r="F9" s="55" t="b">
        <v>0</v>
      </c>
      <c r="G9" s="55" t="b">
        <v>0</v>
      </c>
      <c r="H9" s="55" t="b">
        <v>0</v>
      </c>
      <c r="I9" s="55">
        <v>9977</v>
      </c>
      <c r="J9" s="55">
        <v>694</v>
      </c>
    </row>
    <row r="10" spans="1:10" ht="15" x14ac:dyDescent="0.4">
      <c r="A10" s="55" t="s">
        <v>1626</v>
      </c>
      <c r="B10" s="55" t="s">
        <v>1427</v>
      </c>
      <c r="C10" s="55" t="s">
        <v>1427</v>
      </c>
      <c r="D10" s="55" t="s">
        <v>1428</v>
      </c>
      <c r="E10" s="55" t="s">
        <v>1627</v>
      </c>
      <c r="F10" s="55" t="b">
        <v>0</v>
      </c>
      <c r="G10" s="55" t="b">
        <v>1</v>
      </c>
      <c r="H10" s="55" t="b">
        <v>0</v>
      </c>
      <c r="I10" s="55">
        <v>892</v>
      </c>
      <c r="J10" s="55">
        <v>374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8A929C"/>
  </sheetPr>
  <dimension ref="A1:G14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4" width="11" customWidth="1"/>
    <col min="5" max="5" width="18" customWidth="1"/>
    <col min="6" max="7" width="13" customWidth="1"/>
  </cols>
  <sheetData>
    <row r="1" spans="1:7" ht="15" x14ac:dyDescent="0.4">
      <c r="A1" s="60" t="s">
        <v>1628</v>
      </c>
      <c r="B1" s="60" t="s">
        <v>1629</v>
      </c>
      <c r="C1" s="60" t="s">
        <v>1630</v>
      </c>
      <c r="D1" s="60" t="s">
        <v>1631</v>
      </c>
      <c r="E1" s="60" t="s">
        <v>1632</v>
      </c>
      <c r="F1" s="60" t="s">
        <v>1633</v>
      </c>
      <c r="G1" s="60" t="s">
        <v>1634</v>
      </c>
    </row>
    <row r="2" spans="1:7" ht="15" x14ac:dyDescent="0.4">
      <c r="A2" s="55" t="s">
        <v>1635</v>
      </c>
      <c r="B2" s="55" t="s">
        <v>1636</v>
      </c>
      <c r="C2" s="55" t="s">
        <v>1637</v>
      </c>
      <c r="D2" s="54">
        <v>46288</v>
      </c>
      <c r="E2" s="55">
        <v>1</v>
      </c>
      <c r="F2" s="55" t="s">
        <v>1638</v>
      </c>
      <c r="G2" s="55">
        <v>1</v>
      </c>
    </row>
    <row r="3" spans="1:7" ht="15" x14ac:dyDescent="0.4">
      <c r="A3" s="55" t="s">
        <v>1639</v>
      </c>
      <c r="B3" s="55" t="s">
        <v>1640</v>
      </c>
      <c r="C3" s="55" t="s">
        <v>1637</v>
      </c>
      <c r="D3" s="54">
        <v>46294</v>
      </c>
      <c r="E3" s="55">
        <v>0</v>
      </c>
      <c r="F3" s="55" t="s">
        <v>1398</v>
      </c>
      <c r="G3" s="55">
        <v>2</v>
      </c>
    </row>
    <row r="4" spans="1:7" ht="15" x14ac:dyDescent="0.4">
      <c r="A4" s="55" t="s">
        <v>1641</v>
      </c>
      <c r="B4" s="55" t="s">
        <v>1642</v>
      </c>
      <c r="C4" s="55" t="s">
        <v>1637</v>
      </c>
      <c r="D4" s="54">
        <v>46300</v>
      </c>
      <c r="E4" s="55">
        <v>0</v>
      </c>
      <c r="F4" s="55" t="s">
        <v>1398</v>
      </c>
      <c r="G4" s="55">
        <v>2</v>
      </c>
    </row>
    <row r="5" spans="1:7" ht="15" x14ac:dyDescent="0.4">
      <c r="A5" s="55" t="s">
        <v>1643</v>
      </c>
      <c r="B5" s="55" t="s">
        <v>1644</v>
      </c>
      <c r="C5" s="55" t="s">
        <v>1637</v>
      </c>
      <c r="D5" s="54">
        <v>46305</v>
      </c>
      <c r="E5" s="55">
        <v>0</v>
      </c>
      <c r="F5" s="55" t="s">
        <v>1645</v>
      </c>
      <c r="G5" s="55">
        <v>3</v>
      </c>
    </row>
    <row r="6" spans="1:7" ht="15" x14ac:dyDescent="0.4">
      <c r="A6" s="55" t="s">
        <v>1646</v>
      </c>
      <c r="B6" s="55" t="s">
        <v>1647</v>
      </c>
      <c r="C6" s="55" t="s">
        <v>1637</v>
      </c>
      <c r="D6" s="54">
        <v>46308</v>
      </c>
      <c r="E6" s="55">
        <v>0</v>
      </c>
      <c r="F6" s="55" t="s">
        <v>1645</v>
      </c>
      <c r="G6" s="55">
        <v>3</v>
      </c>
    </row>
    <row r="7" spans="1:7" ht="15" x14ac:dyDescent="0.4">
      <c r="A7" s="55" t="s">
        <v>1648</v>
      </c>
      <c r="B7" s="55" t="s">
        <v>1649</v>
      </c>
      <c r="C7" s="55" t="s">
        <v>1637</v>
      </c>
      <c r="D7" s="54">
        <v>46308</v>
      </c>
      <c r="E7" s="55">
        <v>0</v>
      </c>
      <c r="F7" s="55" t="s">
        <v>1645</v>
      </c>
      <c r="G7" s="55">
        <v>3</v>
      </c>
    </row>
    <row r="8" spans="1:7" ht="15" x14ac:dyDescent="0.4">
      <c r="A8" s="55" t="s">
        <v>1650</v>
      </c>
      <c r="B8" s="55" t="s">
        <v>1651</v>
      </c>
      <c r="C8" s="55" t="s">
        <v>1637</v>
      </c>
      <c r="D8" s="54">
        <v>46321</v>
      </c>
      <c r="E8" s="55">
        <v>0</v>
      </c>
      <c r="F8" s="55" t="s">
        <v>1645</v>
      </c>
      <c r="G8" s="55">
        <v>3</v>
      </c>
    </row>
    <row r="9" spans="1:7" ht="15" x14ac:dyDescent="0.4">
      <c r="A9" s="55" t="s">
        <v>1652</v>
      </c>
      <c r="B9" s="55" t="s">
        <v>1653</v>
      </c>
      <c r="C9" s="55" t="s">
        <v>1637</v>
      </c>
      <c r="D9" s="54">
        <v>46323</v>
      </c>
      <c r="E9" s="55">
        <v>0</v>
      </c>
      <c r="F9" s="55" t="s">
        <v>1645</v>
      </c>
      <c r="G9" s="55">
        <v>3</v>
      </c>
    </row>
    <row r="10" spans="1:7" ht="15" x14ac:dyDescent="0.4">
      <c r="A10" s="55" t="s">
        <v>1654</v>
      </c>
      <c r="B10" s="55" t="s">
        <v>1655</v>
      </c>
      <c r="C10" s="55" t="s">
        <v>1637</v>
      </c>
      <c r="D10" s="54">
        <v>46324</v>
      </c>
      <c r="E10" s="55">
        <v>0</v>
      </c>
      <c r="F10" s="55" t="s">
        <v>1645</v>
      </c>
      <c r="G10" s="55">
        <v>3</v>
      </c>
    </row>
    <row r="11" spans="1:7" ht="15" x14ac:dyDescent="0.4">
      <c r="A11" s="55" t="s">
        <v>1656</v>
      </c>
      <c r="B11" s="55" t="s">
        <v>1657</v>
      </c>
      <c r="C11" s="55" t="s">
        <v>1637</v>
      </c>
      <c r="D11" s="54">
        <v>46326</v>
      </c>
      <c r="E11" s="55">
        <v>0</v>
      </c>
      <c r="F11" s="55" t="s">
        <v>1645</v>
      </c>
      <c r="G11" s="55">
        <v>3</v>
      </c>
    </row>
    <row r="12" spans="1:7" ht="15" x14ac:dyDescent="0.4">
      <c r="A12" s="55" t="s">
        <v>1658</v>
      </c>
      <c r="B12" s="55" t="s">
        <v>1659</v>
      </c>
      <c r="C12" s="55" t="s">
        <v>1637</v>
      </c>
      <c r="D12" s="54">
        <v>46334</v>
      </c>
      <c r="E12" s="55">
        <v>0</v>
      </c>
      <c r="F12" s="55" t="s">
        <v>1645</v>
      </c>
      <c r="G12" s="55">
        <v>3</v>
      </c>
    </row>
    <row r="13" spans="1:7" ht="15" x14ac:dyDescent="0.4">
      <c r="A13" s="55" t="s">
        <v>1660</v>
      </c>
      <c r="B13" s="55" t="s">
        <v>1661</v>
      </c>
      <c r="C13" s="55" t="s">
        <v>1637</v>
      </c>
      <c r="D13" s="54">
        <v>46339</v>
      </c>
      <c r="E13" s="55">
        <v>0</v>
      </c>
      <c r="F13" s="55" t="s">
        <v>1645</v>
      </c>
      <c r="G13" s="55">
        <v>3</v>
      </c>
    </row>
    <row r="14" spans="1:7" ht="15" x14ac:dyDescent="0.4">
      <c r="A14" s="55" t="s">
        <v>1662</v>
      </c>
      <c r="B14" s="55" t="s">
        <v>1663</v>
      </c>
      <c r="C14" s="55" t="s">
        <v>1637</v>
      </c>
      <c r="D14" s="54">
        <v>46340</v>
      </c>
      <c r="E14" s="55">
        <v>0</v>
      </c>
      <c r="F14" s="55" t="s">
        <v>1645</v>
      </c>
      <c r="G14" s="55">
        <v>3</v>
      </c>
    </row>
    <row r="15" spans="1:7" ht="15" x14ac:dyDescent="0.4">
      <c r="A15" s="55" t="s">
        <v>1664</v>
      </c>
      <c r="B15" s="55" t="s">
        <v>1665</v>
      </c>
      <c r="C15" s="55" t="s">
        <v>1637</v>
      </c>
      <c r="D15" s="54">
        <v>46340</v>
      </c>
      <c r="E15" s="55">
        <v>0</v>
      </c>
      <c r="F15" s="55" t="s">
        <v>1645</v>
      </c>
      <c r="G15" s="55">
        <v>3</v>
      </c>
    </row>
    <row r="16" spans="1:7" ht="15" x14ac:dyDescent="0.4">
      <c r="A16" s="55" t="s">
        <v>1666</v>
      </c>
      <c r="B16" s="55" t="s">
        <v>1667</v>
      </c>
      <c r="C16" s="55" t="s">
        <v>1637</v>
      </c>
      <c r="D16" s="54">
        <v>46340</v>
      </c>
      <c r="E16" s="55">
        <v>0</v>
      </c>
      <c r="F16" s="55" t="s">
        <v>1645</v>
      </c>
      <c r="G16" s="55">
        <v>3</v>
      </c>
    </row>
    <row r="17" spans="1:7" ht="15" x14ac:dyDescent="0.4">
      <c r="A17" s="55" t="s">
        <v>1668</v>
      </c>
      <c r="B17" s="55" t="s">
        <v>1669</v>
      </c>
      <c r="C17" s="55" t="s">
        <v>1637</v>
      </c>
      <c r="D17" s="54">
        <v>46341</v>
      </c>
      <c r="E17" s="55">
        <v>0</v>
      </c>
      <c r="F17" s="55" t="s">
        <v>1645</v>
      </c>
      <c r="G17" s="55">
        <v>3</v>
      </c>
    </row>
    <row r="18" spans="1:7" ht="15" x14ac:dyDescent="0.4">
      <c r="A18" s="55" t="s">
        <v>1670</v>
      </c>
      <c r="B18" s="55" t="s">
        <v>1671</v>
      </c>
      <c r="C18" s="55" t="s">
        <v>1637</v>
      </c>
      <c r="D18" s="54">
        <v>46348</v>
      </c>
      <c r="E18" s="55">
        <v>0</v>
      </c>
      <c r="F18" s="55" t="s">
        <v>1645</v>
      </c>
      <c r="G18" s="55">
        <v>3</v>
      </c>
    </row>
    <row r="19" spans="1:7" ht="15" x14ac:dyDescent="0.4">
      <c r="A19" s="55" t="s">
        <v>1672</v>
      </c>
      <c r="B19" s="55" t="s">
        <v>1673</v>
      </c>
      <c r="C19" s="55" t="s">
        <v>1637</v>
      </c>
      <c r="D19" s="54">
        <v>46351</v>
      </c>
      <c r="E19" s="55">
        <v>0</v>
      </c>
      <c r="F19" s="55" t="s">
        <v>1645</v>
      </c>
      <c r="G19" s="55">
        <v>3</v>
      </c>
    </row>
    <row r="20" spans="1:7" ht="15" x14ac:dyDescent="0.4">
      <c r="A20" s="55" t="s">
        <v>1674</v>
      </c>
      <c r="B20" s="55" t="s">
        <v>1675</v>
      </c>
      <c r="C20" s="55" t="s">
        <v>1637</v>
      </c>
      <c r="D20" s="54">
        <v>46355</v>
      </c>
      <c r="E20" s="55">
        <v>0</v>
      </c>
      <c r="F20" s="55" t="s">
        <v>1645</v>
      </c>
      <c r="G20" s="55">
        <v>3</v>
      </c>
    </row>
    <row r="21" spans="1:7" ht="15" x14ac:dyDescent="0.4">
      <c r="A21" s="55" t="s">
        <v>1676</v>
      </c>
      <c r="B21" s="55" t="s">
        <v>1677</v>
      </c>
      <c r="C21" s="55" t="s">
        <v>1637</v>
      </c>
      <c r="D21" s="54">
        <v>46355</v>
      </c>
      <c r="E21" s="55">
        <v>0</v>
      </c>
      <c r="F21" s="55" t="s">
        <v>1645</v>
      </c>
      <c r="G21" s="55">
        <v>3</v>
      </c>
    </row>
    <row r="22" spans="1:7" ht="15" x14ac:dyDescent="0.4">
      <c r="A22" s="55" t="s">
        <v>1678</v>
      </c>
      <c r="B22" s="55" t="s">
        <v>1679</v>
      </c>
      <c r="C22" s="55" t="s">
        <v>1637</v>
      </c>
      <c r="D22" s="54">
        <v>46369</v>
      </c>
      <c r="E22" s="55">
        <v>0</v>
      </c>
      <c r="F22" s="55" t="s">
        <v>1645</v>
      </c>
      <c r="G22" s="55">
        <v>3</v>
      </c>
    </row>
    <row r="23" spans="1:7" ht="15" x14ac:dyDescent="0.4">
      <c r="A23" s="55" t="s">
        <v>1680</v>
      </c>
      <c r="B23" s="55" t="s">
        <v>1681</v>
      </c>
      <c r="C23" s="55" t="s">
        <v>1637</v>
      </c>
      <c r="D23" s="54">
        <v>46370</v>
      </c>
      <c r="E23" s="55">
        <v>0</v>
      </c>
      <c r="F23" s="55" t="s">
        <v>1645</v>
      </c>
      <c r="G23" s="55">
        <v>3</v>
      </c>
    </row>
    <row r="24" spans="1:7" ht="15" x14ac:dyDescent="0.4">
      <c r="A24" s="55" t="s">
        <v>1682</v>
      </c>
      <c r="B24" s="55" t="s">
        <v>1683</v>
      </c>
      <c r="C24" s="55" t="s">
        <v>1637</v>
      </c>
      <c r="D24" s="54">
        <v>46373</v>
      </c>
      <c r="E24" s="55">
        <v>0</v>
      </c>
      <c r="F24" s="55" t="s">
        <v>1645</v>
      </c>
      <c r="G24" s="55">
        <v>3</v>
      </c>
    </row>
    <row r="25" spans="1:7" ht="15" x14ac:dyDescent="0.4">
      <c r="A25" s="55" t="s">
        <v>1684</v>
      </c>
      <c r="B25" s="55" t="s">
        <v>1685</v>
      </c>
      <c r="C25" s="55" t="s">
        <v>1637</v>
      </c>
      <c r="D25" s="54">
        <v>46373</v>
      </c>
      <c r="E25" s="55">
        <v>0</v>
      </c>
      <c r="F25" s="55" t="s">
        <v>1645</v>
      </c>
      <c r="G25" s="55">
        <v>3</v>
      </c>
    </row>
    <row r="26" spans="1:7" ht="15" x14ac:dyDescent="0.4">
      <c r="A26" s="55" t="s">
        <v>1686</v>
      </c>
      <c r="B26" s="55" t="s">
        <v>1687</v>
      </c>
      <c r="C26" s="55" t="s">
        <v>1637</v>
      </c>
      <c r="D26" s="54">
        <v>46378</v>
      </c>
      <c r="E26" s="55">
        <v>0</v>
      </c>
      <c r="F26" s="55" t="s">
        <v>1645</v>
      </c>
      <c r="G26" s="55">
        <v>3</v>
      </c>
    </row>
    <row r="27" spans="1:7" ht="15" x14ac:dyDescent="0.4">
      <c r="A27" s="55" t="s">
        <v>1688</v>
      </c>
      <c r="B27" s="55" t="s">
        <v>1689</v>
      </c>
      <c r="C27" s="55" t="s">
        <v>1637</v>
      </c>
      <c r="D27" s="54">
        <v>46381</v>
      </c>
      <c r="E27" s="55">
        <v>0</v>
      </c>
      <c r="F27" s="55" t="s">
        <v>1645</v>
      </c>
      <c r="G27" s="55">
        <v>3</v>
      </c>
    </row>
    <row r="28" spans="1:7" ht="15" x14ac:dyDescent="0.4">
      <c r="A28" s="55" t="s">
        <v>1690</v>
      </c>
      <c r="B28" s="55" t="s">
        <v>1691</v>
      </c>
      <c r="C28" s="55" t="s">
        <v>1637</v>
      </c>
      <c r="D28" s="54">
        <v>46385</v>
      </c>
      <c r="E28" s="55">
        <v>0</v>
      </c>
      <c r="F28" s="55" t="s">
        <v>1645</v>
      </c>
      <c r="G28" s="55">
        <v>3</v>
      </c>
    </row>
    <row r="29" spans="1:7" ht="15" x14ac:dyDescent="0.4">
      <c r="A29" s="55" t="s">
        <v>1692</v>
      </c>
      <c r="B29" s="55" t="s">
        <v>1693</v>
      </c>
      <c r="C29" s="55" t="s">
        <v>1637</v>
      </c>
      <c r="D29" s="54">
        <v>46390</v>
      </c>
      <c r="E29" s="55">
        <v>0</v>
      </c>
      <c r="F29" s="55" t="s">
        <v>1645</v>
      </c>
      <c r="G29" s="55">
        <v>3</v>
      </c>
    </row>
    <row r="30" spans="1:7" ht="15" x14ac:dyDescent="0.4">
      <c r="A30" s="55" t="s">
        <v>1694</v>
      </c>
      <c r="B30" s="55" t="s">
        <v>1695</v>
      </c>
      <c r="C30" s="55" t="s">
        <v>1637</v>
      </c>
      <c r="D30" s="54">
        <v>46390</v>
      </c>
      <c r="E30" s="55">
        <v>0</v>
      </c>
      <c r="F30" s="55" t="s">
        <v>1645</v>
      </c>
      <c r="G30" s="55">
        <v>3</v>
      </c>
    </row>
    <row r="31" spans="1:7" ht="15" x14ac:dyDescent="0.4">
      <c r="A31" s="55" t="s">
        <v>1696</v>
      </c>
      <c r="B31" s="55" t="s">
        <v>1697</v>
      </c>
      <c r="C31" s="55" t="s">
        <v>1637</v>
      </c>
      <c r="D31" s="54">
        <v>46391</v>
      </c>
      <c r="E31" s="55">
        <v>0</v>
      </c>
      <c r="F31" s="55" t="s">
        <v>1645</v>
      </c>
      <c r="G31" s="55">
        <v>3</v>
      </c>
    </row>
    <row r="32" spans="1:7" ht="15" x14ac:dyDescent="0.4">
      <c r="A32" s="55" t="s">
        <v>1698</v>
      </c>
      <c r="B32" s="55" t="s">
        <v>1699</v>
      </c>
      <c r="C32" s="55" t="s">
        <v>1637</v>
      </c>
      <c r="D32" s="54">
        <v>46402</v>
      </c>
      <c r="E32" s="55">
        <v>0</v>
      </c>
      <c r="F32" s="55" t="s">
        <v>1645</v>
      </c>
      <c r="G32" s="55">
        <v>3</v>
      </c>
    </row>
    <row r="33" spans="1:7" ht="15" x14ac:dyDescent="0.4">
      <c r="A33" s="55" t="s">
        <v>1700</v>
      </c>
      <c r="B33" s="55" t="s">
        <v>1701</v>
      </c>
      <c r="C33" s="55" t="s">
        <v>1637</v>
      </c>
      <c r="D33" s="54">
        <v>46404</v>
      </c>
      <c r="E33" s="55">
        <v>0</v>
      </c>
      <c r="F33" s="55" t="s">
        <v>1645</v>
      </c>
      <c r="G33" s="55">
        <v>3</v>
      </c>
    </row>
    <row r="34" spans="1:7" ht="15" x14ac:dyDescent="0.4">
      <c r="A34" s="55" t="s">
        <v>1702</v>
      </c>
      <c r="B34" s="55" t="s">
        <v>1703</v>
      </c>
      <c r="C34" s="55" t="s">
        <v>1637</v>
      </c>
      <c r="D34" s="54">
        <v>46405</v>
      </c>
      <c r="E34" s="55">
        <v>0</v>
      </c>
      <c r="F34" s="55" t="s">
        <v>1645</v>
      </c>
      <c r="G34" s="55">
        <v>3</v>
      </c>
    </row>
    <row r="35" spans="1:7" ht="15" x14ac:dyDescent="0.4">
      <c r="A35" s="55" t="s">
        <v>1704</v>
      </c>
      <c r="B35" s="55" t="s">
        <v>1705</v>
      </c>
      <c r="C35" s="55" t="s">
        <v>1637</v>
      </c>
      <c r="D35" s="54">
        <v>46416</v>
      </c>
      <c r="E35" s="55">
        <v>0</v>
      </c>
      <c r="F35" s="55" t="s">
        <v>1645</v>
      </c>
      <c r="G35" s="55">
        <v>3</v>
      </c>
    </row>
    <row r="36" spans="1:7" ht="15" x14ac:dyDescent="0.4">
      <c r="A36" s="55" t="s">
        <v>1706</v>
      </c>
      <c r="B36" s="55" t="s">
        <v>1707</v>
      </c>
      <c r="C36" s="55" t="s">
        <v>1637</v>
      </c>
      <c r="D36" s="54">
        <v>46421</v>
      </c>
      <c r="E36" s="55">
        <v>0</v>
      </c>
      <c r="F36" s="55" t="s">
        <v>1645</v>
      </c>
      <c r="G36" s="55">
        <v>3</v>
      </c>
    </row>
    <row r="37" spans="1:7" ht="15" x14ac:dyDescent="0.4">
      <c r="A37" s="55" t="s">
        <v>1708</v>
      </c>
      <c r="B37" s="55" t="s">
        <v>1709</v>
      </c>
      <c r="C37" s="55" t="s">
        <v>1637</v>
      </c>
      <c r="D37" s="54">
        <v>46421</v>
      </c>
      <c r="E37" s="55">
        <v>0</v>
      </c>
      <c r="F37" s="55" t="s">
        <v>1645</v>
      </c>
      <c r="G37" s="55">
        <v>3</v>
      </c>
    </row>
    <row r="38" spans="1:7" ht="15" x14ac:dyDescent="0.4">
      <c r="A38" s="55" t="s">
        <v>1710</v>
      </c>
      <c r="B38" s="55" t="s">
        <v>1711</v>
      </c>
      <c r="C38" s="55" t="s">
        <v>1637</v>
      </c>
      <c r="D38" s="54">
        <v>46422</v>
      </c>
      <c r="E38" s="55">
        <v>0</v>
      </c>
      <c r="F38" s="55" t="s">
        <v>1645</v>
      </c>
      <c r="G38" s="55">
        <v>3</v>
      </c>
    </row>
    <row r="39" spans="1:7" ht="15" x14ac:dyDescent="0.4">
      <c r="A39" s="55" t="s">
        <v>1712</v>
      </c>
      <c r="B39" s="55" t="s">
        <v>1713</v>
      </c>
      <c r="C39" s="55" t="s">
        <v>1637</v>
      </c>
      <c r="D39" s="54">
        <v>46422</v>
      </c>
      <c r="E39" s="55">
        <v>0</v>
      </c>
      <c r="F39" s="55" t="s">
        <v>1645</v>
      </c>
      <c r="G39" s="55">
        <v>3</v>
      </c>
    </row>
    <row r="40" spans="1:7" ht="15" x14ac:dyDescent="0.4">
      <c r="A40" s="55" t="s">
        <v>1714</v>
      </c>
      <c r="B40" s="55" t="s">
        <v>1715</v>
      </c>
      <c r="C40" s="55" t="s">
        <v>1637</v>
      </c>
      <c r="D40" s="54">
        <v>46425</v>
      </c>
      <c r="E40" s="55">
        <v>0</v>
      </c>
      <c r="F40" s="55" t="s">
        <v>1645</v>
      </c>
      <c r="G40" s="55">
        <v>3</v>
      </c>
    </row>
    <row r="41" spans="1:7" ht="15" x14ac:dyDescent="0.4">
      <c r="A41" s="55" t="s">
        <v>1716</v>
      </c>
      <c r="B41" s="55" t="s">
        <v>1717</v>
      </c>
      <c r="C41" s="55" t="s">
        <v>1637</v>
      </c>
      <c r="D41" s="54">
        <v>46426</v>
      </c>
      <c r="E41" s="55">
        <v>0</v>
      </c>
      <c r="F41" s="55" t="s">
        <v>1645</v>
      </c>
      <c r="G41" s="55">
        <v>3</v>
      </c>
    </row>
    <row r="42" spans="1:7" ht="15" x14ac:dyDescent="0.4">
      <c r="A42" s="55" t="s">
        <v>1718</v>
      </c>
      <c r="B42" s="55" t="s">
        <v>1719</v>
      </c>
      <c r="C42" s="55" t="s">
        <v>1637</v>
      </c>
      <c r="D42" s="54">
        <v>46427</v>
      </c>
      <c r="E42" s="55">
        <v>0</v>
      </c>
      <c r="F42" s="55" t="s">
        <v>1645</v>
      </c>
      <c r="G42" s="55">
        <v>3</v>
      </c>
    </row>
    <row r="43" spans="1:7" ht="15" x14ac:dyDescent="0.4">
      <c r="A43" s="55" t="s">
        <v>1720</v>
      </c>
      <c r="B43" s="55" t="s">
        <v>1721</v>
      </c>
      <c r="C43" s="55" t="s">
        <v>1637</v>
      </c>
      <c r="D43" s="54">
        <v>46437</v>
      </c>
      <c r="E43" s="55">
        <v>0</v>
      </c>
      <c r="F43" s="55" t="s">
        <v>1645</v>
      </c>
      <c r="G43" s="55">
        <v>3</v>
      </c>
    </row>
    <row r="44" spans="1:7" ht="15" x14ac:dyDescent="0.4">
      <c r="A44" s="55" t="s">
        <v>1722</v>
      </c>
      <c r="B44" s="55" t="s">
        <v>1723</v>
      </c>
      <c r="C44" s="55" t="s">
        <v>1637</v>
      </c>
      <c r="D44" s="54">
        <v>46438</v>
      </c>
      <c r="E44" s="55">
        <v>0</v>
      </c>
      <c r="F44" s="55" t="s">
        <v>1645</v>
      </c>
      <c r="G44" s="55">
        <v>3</v>
      </c>
    </row>
    <row r="45" spans="1:7" ht="15" x14ac:dyDescent="0.4">
      <c r="A45" s="55" t="s">
        <v>1724</v>
      </c>
      <c r="B45" s="55" t="s">
        <v>1725</v>
      </c>
      <c r="C45" s="55" t="s">
        <v>1637</v>
      </c>
      <c r="D45" s="54">
        <v>46449</v>
      </c>
      <c r="E45" s="55">
        <v>0</v>
      </c>
      <c r="F45" s="55" t="s">
        <v>1645</v>
      </c>
      <c r="G45" s="55">
        <v>3</v>
      </c>
    </row>
    <row r="46" spans="1:7" ht="15" x14ac:dyDescent="0.4">
      <c r="A46" s="55" t="s">
        <v>1726</v>
      </c>
      <c r="B46" s="55" t="s">
        <v>1727</v>
      </c>
      <c r="C46" s="55" t="s">
        <v>1637</v>
      </c>
      <c r="D46" s="54">
        <v>46453</v>
      </c>
      <c r="E46" s="55">
        <v>0</v>
      </c>
      <c r="F46" s="55" t="s">
        <v>1645</v>
      </c>
      <c r="G46" s="55">
        <v>3</v>
      </c>
    </row>
    <row r="47" spans="1:7" ht="15" x14ac:dyDescent="0.4">
      <c r="A47" s="55" t="s">
        <v>1728</v>
      </c>
      <c r="B47" s="55" t="s">
        <v>1729</v>
      </c>
      <c r="C47" s="55" t="s">
        <v>1637</v>
      </c>
      <c r="D47" s="54">
        <v>46455</v>
      </c>
      <c r="E47" s="55">
        <v>0</v>
      </c>
      <c r="F47" s="55" t="s">
        <v>1645</v>
      </c>
      <c r="G47" s="55">
        <v>3</v>
      </c>
    </row>
    <row r="48" spans="1:7" ht="15" x14ac:dyDescent="0.4">
      <c r="A48" s="55" t="s">
        <v>1730</v>
      </c>
      <c r="B48" s="55" t="s">
        <v>1731</v>
      </c>
      <c r="C48" s="55" t="s">
        <v>1637</v>
      </c>
      <c r="D48" s="54">
        <v>46458</v>
      </c>
      <c r="E48" s="55">
        <v>0</v>
      </c>
      <c r="F48" s="55" t="s">
        <v>1645</v>
      </c>
      <c r="G48" s="55">
        <v>3</v>
      </c>
    </row>
    <row r="49" spans="1:7" ht="15" x14ac:dyDescent="0.4">
      <c r="A49" s="55" t="s">
        <v>1732</v>
      </c>
      <c r="B49" s="55" t="s">
        <v>1733</v>
      </c>
      <c r="C49" s="55" t="s">
        <v>1637</v>
      </c>
      <c r="D49" s="54">
        <v>46461</v>
      </c>
      <c r="E49" s="55">
        <v>0</v>
      </c>
      <c r="F49" s="55" t="s">
        <v>1645</v>
      </c>
      <c r="G49" s="55">
        <v>3</v>
      </c>
    </row>
    <row r="50" spans="1:7" ht="15" x14ac:dyDescent="0.4">
      <c r="A50" s="55" t="s">
        <v>1734</v>
      </c>
      <c r="B50" s="55" t="s">
        <v>1735</v>
      </c>
      <c r="C50" s="55" t="s">
        <v>1637</v>
      </c>
      <c r="D50" s="54">
        <v>46463</v>
      </c>
      <c r="E50" s="55">
        <v>0</v>
      </c>
      <c r="F50" s="55" t="s">
        <v>1645</v>
      </c>
      <c r="G50" s="55">
        <v>3</v>
      </c>
    </row>
    <row r="51" spans="1:7" ht="15" x14ac:dyDescent="0.4">
      <c r="A51" s="55" t="s">
        <v>1736</v>
      </c>
      <c r="B51" s="55" t="s">
        <v>1737</v>
      </c>
      <c r="C51" s="55" t="s">
        <v>1637</v>
      </c>
      <c r="D51" s="54">
        <v>46464</v>
      </c>
      <c r="E51" s="55">
        <v>0</v>
      </c>
      <c r="F51" s="55" t="s">
        <v>1645</v>
      </c>
      <c r="G51" s="55">
        <v>3</v>
      </c>
    </row>
    <row r="52" spans="1:7" ht="15" x14ac:dyDescent="0.4">
      <c r="A52" s="55" t="s">
        <v>1738</v>
      </c>
      <c r="B52" s="55" t="s">
        <v>1739</v>
      </c>
      <c r="C52" s="55" t="s">
        <v>1637</v>
      </c>
      <c r="D52" s="54">
        <v>46471</v>
      </c>
      <c r="E52" s="55">
        <v>0</v>
      </c>
      <c r="F52" s="55" t="s">
        <v>1645</v>
      </c>
      <c r="G52" s="55">
        <v>3</v>
      </c>
    </row>
    <row r="53" spans="1:7" ht="15" x14ac:dyDescent="0.4">
      <c r="A53" s="55" t="s">
        <v>1740</v>
      </c>
      <c r="B53" s="55" t="s">
        <v>1741</v>
      </c>
      <c r="C53" s="55" t="s">
        <v>1637</v>
      </c>
      <c r="D53" s="54">
        <v>46476</v>
      </c>
      <c r="E53" s="55">
        <v>0</v>
      </c>
      <c r="F53" s="55" t="s">
        <v>1645</v>
      </c>
      <c r="G53" s="55">
        <v>3</v>
      </c>
    </row>
    <row r="54" spans="1:7" ht="15" x14ac:dyDescent="0.4">
      <c r="A54" s="55" t="s">
        <v>1742</v>
      </c>
      <c r="B54" s="55" t="s">
        <v>1743</v>
      </c>
      <c r="C54" s="55" t="s">
        <v>1637</v>
      </c>
      <c r="D54" s="54">
        <v>46479</v>
      </c>
      <c r="E54" s="55">
        <v>0</v>
      </c>
      <c r="F54" s="55" t="s">
        <v>1645</v>
      </c>
      <c r="G54" s="55">
        <v>3</v>
      </c>
    </row>
    <row r="55" spans="1:7" ht="15" x14ac:dyDescent="0.4">
      <c r="A55" s="55" t="s">
        <v>1744</v>
      </c>
      <c r="B55" s="55" t="s">
        <v>1745</v>
      </c>
      <c r="C55" s="55" t="s">
        <v>1637</v>
      </c>
      <c r="D55" s="54">
        <v>46479</v>
      </c>
      <c r="E55" s="55">
        <v>0</v>
      </c>
      <c r="F55" s="55" t="s">
        <v>1645</v>
      </c>
      <c r="G55" s="55">
        <v>3</v>
      </c>
    </row>
    <row r="56" spans="1:7" ht="15" x14ac:dyDescent="0.4">
      <c r="A56" s="55" t="s">
        <v>1746</v>
      </c>
      <c r="B56" s="55" t="s">
        <v>1747</v>
      </c>
      <c r="C56" s="55" t="s">
        <v>1637</v>
      </c>
      <c r="D56" s="54">
        <v>46481</v>
      </c>
      <c r="E56" s="55">
        <v>0</v>
      </c>
      <c r="F56" s="55" t="s">
        <v>1645</v>
      </c>
      <c r="G56" s="55">
        <v>3</v>
      </c>
    </row>
    <row r="57" spans="1:7" ht="15" x14ac:dyDescent="0.4">
      <c r="A57" s="55" t="s">
        <v>1748</v>
      </c>
      <c r="B57" s="55" t="s">
        <v>1749</v>
      </c>
      <c r="C57" s="55" t="s">
        <v>1637</v>
      </c>
      <c r="D57" s="54">
        <v>46485</v>
      </c>
      <c r="E57" s="55">
        <v>0</v>
      </c>
      <c r="F57" s="55" t="s">
        <v>1645</v>
      </c>
      <c r="G57" s="55">
        <v>3</v>
      </c>
    </row>
    <row r="58" spans="1:7" ht="15" x14ac:dyDescent="0.4">
      <c r="A58" s="55" t="s">
        <v>1750</v>
      </c>
      <c r="B58" s="55" t="s">
        <v>1751</v>
      </c>
      <c r="C58" s="55" t="s">
        <v>1637</v>
      </c>
      <c r="D58" s="54">
        <v>46485</v>
      </c>
      <c r="E58" s="55">
        <v>0</v>
      </c>
      <c r="F58" s="55" t="s">
        <v>1645</v>
      </c>
      <c r="G58" s="55">
        <v>3</v>
      </c>
    </row>
    <row r="59" spans="1:7" ht="15" x14ac:dyDescent="0.4">
      <c r="A59" s="55" t="s">
        <v>1752</v>
      </c>
      <c r="B59" s="55" t="s">
        <v>1753</v>
      </c>
      <c r="C59" s="55" t="s">
        <v>1637</v>
      </c>
      <c r="D59" s="54">
        <v>46490</v>
      </c>
      <c r="E59" s="55">
        <v>0</v>
      </c>
      <c r="F59" s="55" t="s">
        <v>1645</v>
      </c>
      <c r="G59" s="55">
        <v>3</v>
      </c>
    </row>
    <row r="60" spans="1:7" ht="15" x14ac:dyDescent="0.4">
      <c r="A60" s="55" t="s">
        <v>1754</v>
      </c>
      <c r="B60" s="55" t="s">
        <v>1755</v>
      </c>
      <c r="C60" s="55" t="s">
        <v>1637</v>
      </c>
      <c r="D60" s="54">
        <v>46490</v>
      </c>
      <c r="E60" s="55">
        <v>0</v>
      </c>
      <c r="F60" s="55" t="s">
        <v>1645</v>
      </c>
      <c r="G60" s="55">
        <v>3</v>
      </c>
    </row>
    <row r="61" spans="1:7" ht="15" x14ac:dyDescent="0.4">
      <c r="A61" s="55" t="s">
        <v>1756</v>
      </c>
      <c r="B61" s="55" t="s">
        <v>1757</v>
      </c>
      <c r="C61" s="55" t="s">
        <v>1637</v>
      </c>
      <c r="D61" s="54">
        <v>46491</v>
      </c>
      <c r="E61" s="55">
        <v>0</v>
      </c>
      <c r="F61" s="55" t="s">
        <v>1645</v>
      </c>
      <c r="G61" s="55">
        <v>3</v>
      </c>
    </row>
    <row r="62" spans="1:7" ht="15" x14ac:dyDescent="0.4">
      <c r="A62" s="55" t="s">
        <v>1758</v>
      </c>
      <c r="B62" s="55" t="s">
        <v>1759</v>
      </c>
      <c r="C62" s="55" t="s">
        <v>1637</v>
      </c>
      <c r="D62" s="54">
        <v>46492</v>
      </c>
      <c r="E62" s="55">
        <v>0</v>
      </c>
      <c r="F62" s="55" t="s">
        <v>1645</v>
      </c>
      <c r="G62" s="55">
        <v>3</v>
      </c>
    </row>
    <row r="63" spans="1:7" ht="15" x14ac:dyDescent="0.4">
      <c r="A63" s="55" t="s">
        <v>1760</v>
      </c>
      <c r="B63" s="55" t="s">
        <v>1761</v>
      </c>
      <c r="C63" s="55" t="s">
        <v>1637</v>
      </c>
      <c r="D63" s="54">
        <v>46501</v>
      </c>
      <c r="E63" s="55">
        <v>0</v>
      </c>
      <c r="F63" s="55" t="s">
        <v>1645</v>
      </c>
      <c r="G63" s="55">
        <v>3</v>
      </c>
    </row>
    <row r="64" spans="1:7" ht="15" x14ac:dyDescent="0.4">
      <c r="A64" s="55" t="s">
        <v>1762</v>
      </c>
      <c r="B64" s="55" t="s">
        <v>1763</v>
      </c>
      <c r="C64" s="55" t="s">
        <v>1637</v>
      </c>
      <c r="D64" s="54">
        <v>46502</v>
      </c>
      <c r="E64" s="55">
        <v>0</v>
      </c>
      <c r="F64" s="55" t="s">
        <v>1645</v>
      </c>
      <c r="G64" s="55">
        <v>3</v>
      </c>
    </row>
    <row r="65" spans="1:7" ht="15" x14ac:dyDescent="0.4">
      <c r="A65" s="55" t="s">
        <v>1764</v>
      </c>
      <c r="B65" s="55" t="s">
        <v>1765</v>
      </c>
      <c r="C65" s="55" t="s">
        <v>1637</v>
      </c>
      <c r="D65" s="54">
        <v>46505</v>
      </c>
      <c r="E65" s="55">
        <v>0</v>
      </c>
      <c r="F65" s="55" t="s">
        <v>1645</v>
      </c>
      <c r="G65" s="55">
        <v>3</v>
      </c>
    </row>
    <row r="66" spans="1:7" ht="15" x14ac:dyDescent="0.4">
      <c r="A66" s="55" t="s">
        <v>1766</v>
      </c>
      <c r="B66" s="55" t="s">
        <v>1767</v>
      </c>
      <c r="C66" s="55" t="s">
        <v>1637</v>
      </c>
      <c r="D66" s="54">
        <v>46506</v>
      </c>
      <c r="E66" s="55">
        <v>0</v>
      </c>
      <c r="F66" s="55" t="s">
        <v>1645</v>
      </c>
      <c r="G66" s="55">
        <v>3</v>
      </c>
    </row>
    <row r="67" spans="1:7" ht="15" x14ac:dyDescent="0.4">
      <c r="A67" s="55" t="s">
        <v>1768</v>
      </c>
      <c r="B67" s="55" t="s">
        <v>1769</v>
      </c>
      <c r="C67" s="55" t="s">
        <v>1637</v>
      </c>
      <c r="D67" s="54">
        <v>46510</v>
      </c>
      <c r="E67" s="55">
        <v>0</v>
      </c>
      <c r="F67" s="55" t="s">
        <v>1645</v>
      </c>
      <c r="G67" s="55">
        <v>3</v>
      </c>
    </row>
    <row r="68" spans="1:7" ht="15" x14ac:dyDescent="0.4">
      <c r="A68" s="55" t="s">
        <v>1770</v>
      </c>
      <c r="B68" s="55" t="s">
        <v>1771</v>
      </c>
      <c r="C68" s="55" t="s">
        <v>1637</v>
      </c>
      <c r="D68" s="54">
        <v>46514</v>
      </c>
      <c r="E68" s="55">
        <v>0</v>
      </c>
      <c r="F68" s="55" t="s">
        <v>1645</v>
      </c>
      <c r="G68" s="55">
        <v>3</v>
      </c>
    </row>
    <row r="69" spans="1:7" ht="15" x14ac:dyDescent="0.4">
      <c r="A69" s="55" t="s">
        <v>1772</v>
      </c>
      <c r="B69" s="55" t="s">
        <v>1773</v>
      </c>
      <c r="C69" s="55" t="s">
        <v>1637</v>
      </c>
      <c r="D69" s="54">
        <v>46516</v>
      </c>
      <c r="E69" s="55">
        <v>0</v>
      </c>
      <c r="F69" s="55" t="s">
        <v>1645</v>
      </c>
      <c r="G69" s="55">
        <v>3</v>
      </c>
    </row>
    <row r="70" spans="1:7" ht="15" x14ac:dyDescent="0.4">
      <c r="A70" s="55" t="s">
        <v>1774</v>
      </c>
      <c r="B70" s="55" t="s">
        <v>1775</v>
      </c>
      <c r="C70" s="55" t="s">
        <v>1637</v>
      </c>
      <c r="D70" s="54">
        <v>46518</v>
      </c>
      <c r="E70" s="55">
        <v>0</v>
      </c>
      <c r="F70" s="55" t="s">
        <v>1645</v>
      </c>
      <c r="G70" s="55">
        <v>3</v>
      </c>
    </row>
    <row r="71" spans="1:7" ht="15" x14ac:dyDescent="0.4">
      <c r="A71" s="55" t="s">
        <v>1776</v>
      </c>
      <c r="B71" s="55" t="s">
        <v>1777</v>
      </c>
      <c r="C71" s="55" t="s">
        <v>1637</v>
      </c>
      <c r="D71" s="54">
        <v>46519</v>
      </c>
      <c r="E71" s="55">
        <v>0</v>
      </c>
      <c r="F71" s="55" t="s">
        <v>1645</v>
      </c>
      <c r="G71" s="55">
        <v>3</v>
      </c>
    </row>
    <row r="72" spans="1:7" ht="15" x14ac:dyDescent="0.4">
      <c r="A72" s="55" t="s">
        <v>1778</v>
      </c>
      <c r="B72" s="55" t="s">
        <v>1779</v>
      </c>
      <c r="C72" s="55" t="s">
        <v>1637</v>
      </c>
      <c r="D72" s="54">
        <v>46521</v>
      </c>
      <c r="E72" s="55">
        <v>0</v>
      </c>
      <c r="F72" s="55" t="s">
        <v>1645</v>
      </c>
      <c r="G72" s="55">
        <v>3</v>
      </c>
    </row>
    <row r="73" spans="1:7" ht="15" x14ac:dyDescent="0.4">
      <c r="A73" s="55" t="s">
        <v>1780</v>
      </c>
      <c r="B73" s="55" t="s">
        <v>1781</v>
      </c>
      <c r="C73" s="55" t="s">
        <v>1637</v>
      </c>
      <c r="D73" s="54">
        <v>46522</v>
      </c>
      <c r="E73" s="55">
        <v>0</v>
      </c>
      <c r="F73" s="55" t="s">
        <v>1645</v>
      </c>
      <c r="G73" s="55">
        <v>3</v>
      </c>
    </row>
    <row r="74" spans="1:7" ht="15" x14ac:dyDescent="0.4">
      <c r="A74" s="55" t="s">
        <v>1782</v>
      </c>
      <c r="B74" s="55" t="s">
        <v>1783</v>
      </c>
      <c r="C74" s="55" t="s">
        <v>1637</v>
      </c>
      <c r="D74" s="54">
        <v>46522</v>
      </c>
      <c r="E74" s="55">
        <v>0</v>
      </c>
      <c r="F74" s="55" t="s">
        <v>1645</v>
      </c>
      <c r="G74" s="55">
        <v>3</v>
      </c>
    </row>
    <row r="75" spans="1:7" ht="15" x14ac:dyDescent="0.4">
      <c r="A75" s="55" t="s">
        <v>1784</v>
      </c>
      <c r="B75" s="55" t="s">
        <v>1785</v>
      </c>
      <c r="C75" s="55" t="s">
        <v>1637</v>
      </c>
      <c r="D75" s="54">
        <v>46527</v>
      </c>
      <c r="E75" s="55">
        <v>0</v>
      </c>
      <c r="F75" s="55" t="s">
        <v>1645</v>
      </c>
      <c r="G75" s="55">
        <v>3</v>
      </c>
    </row>
    <row r="76" spans="1:7" ht="15" x14ac:dyDescent="0.4">
      <c r="A76" s="55" t="s">
        <v>1786</v>
      </c>
      <c r="B76" s="55" t="s">
        <v>1787</v>
      </c>
      <c r="C76" s="55" t="s">
        <v>1637</v>
      </c>
      <c r="D76" s="54">
        <v>46527</v>
      </c>
      <c r="E76" s="55">
        <v>0</v>
      </c>
      <c r="F76" s="55" t="s">
        <v>1645</v>
      </c>
      <c r="G76" s="55">
        <v>3</v>
      </c>
    </row>
    <row r="77" spans="1:7" ht="15" x14ac:dyDescent="0.4">
      <c r="A77" s="55" t="s">
        <v>1788</v>
      </c>
      <c r="B77" s="55" t="s">
        <v>1789</v>
      </c>
      <c r="C77" s="55" t="s">
        <v>1637</v>
      </c>
      <c r="D77" s="54">
        <v>46527</v>
      </c>
      <c r="E77" s="55">
        <v>0</v>
      </c>
      <c r="F77" s="55" t="s">
        <v>1645</v>
      </c>
      <c r="G77" s="55">
        <v>3</v>
      </c>
    </row>
    <row r="78" spans="1:7" ht="15" x14ac:dyDescent="0.4">
      <c r="A78" s="55" t="s">
        <v>1790</v>
      </c>
      <c r="B78" s="55" t="s">
        <v>1791</v>
      </c>
      <c r="C78" s="55" t="s">
        <v>1637</v>
      </c>
      <c r="D78" s="54">
        <v>46528</v>
      </c>
      <c r="E78" s="55">
        <v>0</v>
      </c>
      <c r="F78" s="55" t="s">
        <v>1645</v>
      </c>
      <c r="G78" s="55">
        <v>3</v>
      </c>
    </row>
    <row r="79" spans="1:7" ht="15" x14ac:dyDescent="0.4">
      <c r="A79" s="55" t="s">
        <v>1792</v>
      </c>
      <c r="B79" s="55" t="s">
        <v>1793</v>
      </c>
      <c r="C79" s="55" t="s">
        <v>1637</v>
      </c>
      <c r="D79" s="54">
        <v>46530</v>
      </c>
      <c r="E79" s="55">
        <v>0</v>
      </c>
      <c r="F79" s="55" t="s">
        <v>1645</v>
      </c>
      <c r="G79" s="55">
        <v>3</v>
      </c>
    </row>
    <row r="80" spans="1:7" ht="15" x14ac:dyDescent="0.4">
      <c r="A80" s="55" t="s">
        <v>1794</v>
      </c>
      <c r="B80" s="55" t="s">
        <v>1795</v>
      </c>
      <c r="C80" s="55" t="s">
        <v>1637</v>
      </c>
      <c r="D80" s="54">
        <v>46533</v>
      </c>
      <c r="E80" s="55">
        <v>0</v>
      </c>
      <c r="F80" s="55" t="s">
        <v>1645</v>
      </c>
      <c r="G80" s="55">
        <v>3</v>
      </c>
    </row>
    <row r="81" spans="1:7" ht="15" x14ac:dyDescent="0.4">
      <c r="A81" s="55" t="s">
        <v>1796</v>
      </c>
      <c r="B81" s="55" t="s">
        <v>1797</v>
      </c>
      <c r="C81" s="55" t="s">
        <v>1637</v>
      </c>
      <c r="D81" s="54">
        <v>46533</v>
      </c>
      <c r="E81" s="55">
        <v>0</v>
      </c>
      <c r="F81" s="55" t="s">
        <v>1645</v>
      </c>
      <c r="G81" s="55">
        <v>3</v>
      </c>
    </row>
    <row r="82" spans="1:7" ht="15" x14ac:dyDescent="0.4">
      <c r="A82" s="55" t="s">
        <v>1798</v>
      </c>
      <c r="B82" s="55" t="s">
        <v>1799</v>
      </c>
      <c r="C82" s="55" t="s">
        <v>1637</v>
      </c>
      <c r="D82" s="54">
        <v>46534</v>
      </c>
      <c r="E82" s="55">
        <v>0</v>
      </c>
      <c r="F82" s="55" t="s">
        <v>1645</v>
      </c>
      <c r="G82" s="55">
        <v>3</v>
      </c>
    </row>
    <row r="83" spans="1:7" ht="15" x14ac:dyDescent="0.4">
      <c r="A83" s="55" t="s">
        <v>1800</v>
      </c>
      <c r="B83" s="55" t="s">
        <v>1801</v>
      </c>
      <c r="C83" s="55" t="s">
        <v>1637</v>
      </c>
      <c r="D83" s="54">
        <v>46536</v>
      </c>
      <c r="E83" s="55">
        <v>0</v>
      </c>
      <c r="F83" s="55" t="s">
        <v>1645</v>
      </c>
      <c r="G83" s="55">
        <v>3</v>
      </c>
    </row>
    <row r="84" spans="1:7" ht="15" x14ac:dyDescent="0.4">
      <c r="A84" s="55" t="s">
        <v>1802</v>
      </c>
      <c r="B84" s="55" t="s">
        <v>1803</v>
      </c>
      <c r="C84" s="55" t="s">
        <v>1637</v>
      </c>
      <c r="D84" s="54">
        <v>46543</v>
      </c>
      <c r="E84" s="55">
        <v>0</v>
      </c>
      <c r="F84" s="55" t="s">
        <v>1645</v>
      </c>
      <c r="G84" s="55">
        <v>3</v>
      </c>
    </row>
    <row r="85" spans="1:7" ht="15" x14ac:dyDescent="0.4">
      <c r="A85" s="55" t="s">
        <v>1804</v>
      </c>
      <c r="B85" s="55" t="s">
        <v>1805</v>
      </c>
      <c r="C85" s="55" t="s">
        <v>1637</v>
      </c>
      <c r="D85" s="54">
        <v>46543</v>
      </c>
      <c r="E85" s="55">
        <v>0</v>
      </c>
      <c r="F85" s="55" t="s">
        <v>1645</v>
      </c>
      <c r="G85" s="55">
        <v>3</v>
      </c>
    </row>
    <row r="86" spans="1:7" ht="15" x14ac:dyDescent="0.4">
      <c r="A86" s="55" t="s">
        <v>1806</v>
      </c>
      <c r="B86" s="55" t="s">
        <v>1807</v>
      </c>
      <c r="C86" s="55" t="s">
        <v>1637</v>
      </c>
      <c r="D86" s="54">
        <v>46545</v>
      </c>
      <c r="E86" s="55">
        <v>0</v>
      </c>
      <c r="F86" s="55" t="s">
        <v>1645</v>
      </c>
      <c r="G86" s="55">
        <v>3</v>
      </c>
    </row>
    <row r="87" spans="1:7" ht="15" x14ac:dyDescent="0.4">
      <c r="A87" s="55" t="s">
        <v>1808</v>
      </c>
      <c r="B87" s="55" t="s">
        <v>1809</v>
      </c>
      <c r="C87" s="55" t="s">
        <v>1637</v>
      </c>
      <c r="D87" s="54">
        <v>46550</v>
      </c>
      <c r="E87" s="55">
        <v>0</v>
      </c>
      <c r="F87" s="55" t="s">
        <v>1645</v>
      </c>
      <c r="G87" s="55">
        <v>3</v>
      </c>
    </row>
    <row r="88" spans="1:7" ht="15" x14ac:dyDescent="0.4">
      <c r="A88" s="55" t="s">
        <v>1810</v>
      </c>
      <c r="B88" s="55" t="s">
        <v>1811</v>
      </c>
      <c r="C88" s="55" t="s">
        <v>1637</v>
      </c>
      <c r="D88" s="54">
        <v>46553</v>
      </c>
      <c r="E88" s="55">
        <v>0</v>
      </c>
      <c r="F88" s="55" t="s">
        <v>1645</v>
      </c>
      <c r="G88" s="55">
        <v>3</v>
      </c>
    </row>
    <row r="89" spans="1:7" ht="15" x14ac:dyDescent="0.4">
      <c r="A89" s="55" t="s">
        <v>1812</v>
      </c>
      <c r="B89" s="55" t="s">
        <v>1813</v>
      </c>
      <c r="C89" s="55" t="s">
        <v>1637</v>
      </c>
      <c r="D89" s="54">
        <v>46554</v>
      </c>
      <c r="E89" s="55">
        <v>0</v>
      </c>
      <c r="F89" s="55" t="s">
        <v>1645</v>
      </c>
      <c r="G89" s="55">
        <v>3</v>
      </c>
    </row>
    <row r="90" spans="1:7" ht="15" x14ac:dyDescent="0.4">
      <c r="A90" s="55" t="s">
        <v>1814</v>
      </c>
      <c r="B90" s="55" t="s">
        <v>1815</v>
      </c>
      <c r="C90" s="55" t="s">
        <v>1637</v>
      </c>
      <c r="D90" s="54">
        <v>46554</v>
      </c>
      <c r="E90" s="55">
        <v>0</v>
      </c>
      <c r="F90" s="55" t="s">
        <v>1645</v>
      </c>
      <c r="G90" s="55">
        <v>3</v>
      </c>
    </row>
    <row r="91" spans="1:7" ht="15" x14ac:dyDescent="0.4">
      <c r="A91" s="55" t="s">
        <v>1816</v>
      </c>
      <c r="B91" s="55" t="s">
        <v>1817</v>
      </c>
      <c r="C91" s="55" t="s">
        <v>1637</v>
      </c>
      <c r="D91" s="54">
        <v>46558</v>
      </c>
      <c r="E91" s="55">
        <v>0</v>
      </c>
      <c r="F91" s="55" t="s">
        <v>1645</v>
      </c>
      <c r="G91" s="55">
        <v>3</v>
      </c>
    </row>
    <row r="92" spans="1:7" ht="15" x14ac:dyDescent="0.4">
      <c r="A92" s="55" t="s">
        <v>1818</v>
      </c>
      <c r="B92" s="55" t="s">
        <v>1819</v>
      </c>
      <c r="C92" s="55" t="s">
        <v>1637</v>
      </c>
      <c r="D92" s="54">
        <v>46561</v>
      </c>
      <c r="E92" s="55">
        <v>0</v>
      </c>
      <c r="F92" s="55" t="s">
        <v>1645</v>
      </c>
      <c r="G92" s="55">
        <v>3</v>
      </c>
    </row>
    <row r="93" spans="1:7" ht="15" x14ac:dyDescent="0.4">
      <c r="A93" s="55" t="s">
        <v>1820</v>
      </c>
      <c r="B93" s="55" t="s">
        <v>1821</v>
      </c>
      <c r="C93" s="55" t="s">
        <v>1637</v>
      </c>
      <c r="D93" s="54">
        <v>46572</v>
      </c>
      <c r="E93" s="55">
        <v>0</v>
      </c>
      <c r="F93" s="55" t="s">
        <v>1645</v>
      </c>
      <c r="G93" s="55">
        <v>3</v>
      </c>
    </row>
    <row r="94" spans="1:7" ht="15" x14ac:dyDescent="0.4">
      <c r="A94" s="55" t="s">
        <v>1822</v>
      </c>
      <c r="B94" s="55" t="s">
        <v>1823</v>
      </c>
      <c r="C94" s="55" t="s">
        <v>1637</v>
      </c>
      <c r="D94" s="54">
        <v>46573</v>
      </c>
      <c r="E94" s="55">
        <v>0</v>
      </c>
      <c r="F94" s="55" t="s">
        <v>1645</v>
      </c>
      <c r="G94" s="55">
        <v>3</v>
      </c>
    </row>
    <row r="95" spans="1:7" ht="15" x14ac:dyDescent="0.4">
      <c r="A95" s="55" t="s">
        <v>1824</v>
      </c>
      <c r="B95" s="55" t="s">
        <v>1825</v>
      </c>
      <c r="C95" s="55" t="s">
        <v>1637</v>
      </c>
      <c r="D95" s="54">
        <v>46576</v>
      </c>
      <c r="E95" s="55">
        <v>0</v>
      </c>
      <c r="F95" s="55" t="s">
        <v>1645</v>
      </c>
      <c r="G95" s="55">
        <v>3</v>
      </c>
    </row>
    <row r="96" spans="1:7" ht="15" x14ac:dyDescent="0.4">
      <c r="A96" s="55" t="s">
        <v>1826</v>
      </c>
      <c r="B96" s="55" t="s">
        <v>1827</v>
      </c>
      <c r="C96" s="55" t="s">
        <v>1637</v>
      </c>
      <c r="D96" s="54">
        <v>46576</v>
      </c>
      <c r="E96" s="55">
        <v>0</v>
      </c>
      <c r="F96" s="55" t="s">
        <v>1645</v>
      </c>
      <c r="G96" s="55">
        <v>3</v>
      </c>
    </row>
    <row r="97" spans="1:7" ht="15" x14ac:dyDescent="0.4">
      <c r="A97" s="55" t="s">
        <v>1828</v>
      </c>
      <c r="B97" s="55" t="s">
        <v>1829</v>
      </c>
      <c r="C97" s="55" t="s">
        <v>1637</v>
      </c>
      <c r="D97" s="54">
        <v>46582</v>
      </c>
      <c r="E97" s="55">
        <v>0</v>
      </c>
      <c r="F97" s="55" t="s">
        <v>1645</v>
      </c>
      <c r="G97" s="55">
        <v>3</v>
      </c>
    </row>
    <row r="98" spans="1:7" ht="15" x14ac:dyDescent="0.4">
      <c r="A98" s="55" t="s">
        <v>1830</v>
      </c>
      <c r="B98" s="55" t="s">
        <v>1831</v>
      </c>
      <c r="C98" s="55" t="s">
        <v>1637</v>
      </c>
      <c r="D98" s="54">
        <v>46582</v>
      </c>
      <c r="E98" s="55">
        <v>0</v>
      </c>
      <c r="F98" s="55" t="s">
        <v>1645</v>
      </c>
      <c r="G98" s="55">
        <v>3</v>
      </c>
    </row>
    <row r="99" spans="1:7" ht="15" x14ac:dyDescent="0.4">
      <c r="A99" s="55" t="s">
        <v>1832</v>
      </c>
      <c r="B99" s="55" t="s">
        <v>1833</v>
      </c>
      <c r="C99" s="55" t="s">
        <v>1637</v>
      </c>
      <c r="D99" s="54">
        <v>46585</v>
      </c>
      <c r="E99" s="55">
        <v>0</v>
      </c>
      <c r="F99" s="55" t="s">
        <v>1645</v>
      </c>
      <c r="G99" s="55">
        <v>3</v>
      </c>
    </row>
    <row r="100" spans="1:7" ht="15" x14ac:dyDescent="0.4">
      <c r="A100" s="55" t="s">
        <v>1834</v>
      </c>
      <c r="B100" s="55" t="s">
        <v>1835</v>
      </c>
      <c r="C100" s="55" t="s">
        <v>1637</v>
      </c>
      <c r="D100" s="54">
        <v>46589</v>
      </c>
      <c r="E100" s="55">
        <v>0</v>
      </c>
      <c r="F100" s="55" t="s">
        <v>1645</v>
      </c>
      <c r="G100" s="55">
        <v>3</v>
      </c>
    </row>
    <row r="101" spans="1:7" ht="15" x14ac:dyDescent="0.4">
      <c r="A101" s="55" t="s">
        <v>1836</v>
      </c>
      <c r="B101" s="55" t="s">
        <v>1837</v>
      </c>
      <c r="C101" s="55" t="s">
        <v>1637</v>
      </c>
      <c r="D101" s="54">
        <v>46589</v>
      </c>
      <c r="E101" s="55">
        <v>0</v>
      </c>
      <c r="F101" s="55" t="s">
        <v>1645</v>
      </c>
      <c r="G101" s="55">
        <v>3</v>
      </c>
    </row>
    <row r="102" spans="1:7" ht="15" x14ac:dyDescent="0.4">
      <c r="A102" s="55" t="s">
        <v>1838</v>
      </c>
      <c r="B102" s="55" t="s">
        <v>1839</v>
      </c>
      <c r="C102" s="55" t="s">
        <v>1637</v>
      </c>
      <c r="D102" s="54">
        <v>46591</v>
      </c>
      <c r="E102" s="55">
        <v>0</v>
      </c>
      <c r="F102" s="55" t="s">
        <v>1645</v>
      </c>
      <c r="G102" s="55">
        <v>3</v>
      </c>
    </row>
    <row r="103" spans="1:7" ht="15" x14ac:dyDescent="0.4">
      <c r="A103" s="55" t="s">
        <v>1840</v>
      </c>
      <c r="B103" s="55" t="s">
        <v>1841</v>
      </c>
      <c r="C103" s="55" t="s">
        <v>1637</v>
      </c>
      <c r="D103" s="54">
        <v>46593</v>
      </c>
      <c r="E103" s="55">
        <v>0</v>
      </c>
      <c r="F103" s="55" t="s">
        <v>1645</v>
      </c>
      <c r="G103" s="55">
        <v>3</v>
      </c>
    </row>
    <row r="104" spans="1:7" ht="15" x14ac:dyDescent="0.4">
      <c r="A104" s="55" t="s">
        <v>1842</v>
      </c>
      <c r="B104" s="55" t="s">
        <v>1843</v>
      </c>
      <c r="C104" s="55" t="s">
        <v>1637</v>
      </c>
      <c r="D104" s="54">
        <v>46594</v>
      </c>
      <c r="E104" s="55">
        <v>0</v>
      </c>
      <c r="F104" s="55" t="s">
        <v>1645</v>
      </c>
      <c r="G104" s="55">
        <v>3</v>
      </c>
    </row>
    <row r="105" spans="1:7" ht="15" x14ac:dyDescent="0.4">
      <c r="A105" s="55" t="s">
        <v>1844</v>
      </c>
      <c r="B105" s="55" t="s">
        <v>1845</v>
      </c>
      <c r="C105" s="55" t="s">
        <v>1637</v>
      </c>
      <c r="D105" s="54">
        <v>46595</v>
      </c>
      <c r="E105" s="55">
        <v>0</v>
      </c>
      <c r="F105" s="55" t="s">
        <v>1645</v>
      </c>
      <c r="G105" s="55">
        <v>3</v>
      </c>
    </row>
    <row r="106" spans="1:7" ht="15" x14ac:dyDescent="0.4">
      <c r="A106" s="55" t="s">
        <v>1846</v>
      </c>
      <c r="B106" s="55" t="s">
        <v>1847</v>
      </c>
      <c r="C106" s="55" t="s">
        <v>1637</v>
      </c>
      <c r="D106" s="54">
        <v>46597</v>
      </c>
      <c r="E106" s="55">
        <v>0</v>
      </c>
      <c r="F106" s="55" t="s">
        <v>1645</v>
      </c>
      <c r="G106" s="55">
        <v>3</v>
      </c>
    </row>
    <row r="107" spans="1:7" ht="15" x14ac:dyDescent="0.4">
      <c r="A107" s="55" t="s">
        <v>1848</v>
      </c>
      <c r="B107" s="55" t="s">
        <v>1849</v>
      </c>
      <c r="C107" s="55" t="s">
        <v>1637</v>
      </c>
      <c r="D107" s="54">
        <v>46597</v>
      </c>
      <c r="E107" s="55">
        <v>0</v>
      </c>
      <c r="F107" s="55" t="s">
        <v>1645</v>
      </c>
      <c r="G107" s="55">
        <v>3</v>
      </c>
    </row>
    <row r="108" spans="1:7" ht="15" x14ac:dyDescent="0.4">
      <c r="A108" s="55" t="s">
        <v>1850</v>
      </c>
      <c r="B108" s="55" t="s">
        <v>1851</v>
      </c>
      <c r="C108" s="55" t="s">
        <v>1637</v>
      </c>
      <c r="D108" s="54">
        <v>46601</v>
      </c>
      <c r="E108" s="55">
        <v>0</v>
      </c>
      <c r="F108" s="55" t="s">
        <v>1645</v>
      </c>
      <c r="G108" s="55">
        <v>3</v>
      </c>
    </row>
    <row r="109" spans="1:7" ht="15" x14ac:dyDescent="0.4">
      <c r="A109" s="55" t="s">
        <v>1852</v>
      </c>
      <c r="B109" s="55" t="s">
        <v>1853</v>
      </c>
      <c r="C109" s="55" t="s">
        <v>1637</v>
      </c>
      <c r="D109" s="54">
        <v>46602</v>
      </c>
      <c r="E109" s="55">
        <v>0</v>
      </c>
      <c r="F109" s="55" t="s">
        <v>1645</v>
      </c>
      <c r="G109" s="55">
        <v>3</v>
      </c>
    </row>
    <row r="110" spans="1:7" ht="15" x14ac:dyDescent="0.4">
      <c r="A110" s="55" t="s">
        <v>1854</v>
      </c>
      <c r="B110" s="55" t="s">
        <v>1855</v>
      </c>
      <c r="C110" s="55" t="s">
        <v>1637</v>
      </c>
      <c r="D110" s="54">
        <v>46605</v>
      </c>
      <c r="E110" s="55">
        <v>0</v>
      </c>
      <c r="F110" s="55" t="s">
        <v>1645</v>
      </c>
      <c r="G110" s="55">
        <v>3</v>
      </c>
    </row>
    <row r="111" spans="1:7" ht="15" x14ac:dyDescent="0.4">
      <c r="A111" s="55" t="s">
        <v>1856</v>
      </c>
      <c r="B111" s="55" t="s">
        <v>1857</v>
      </c>
      <c r="C111" s="55" t="s">
        <v>1637</v>
      </c>
      <c r="D111" s="54">
        <v>46605</v>
      </c>
      <c r="E111" s="55">
        <v>0</v>
      </c>
      <c r="F111" s="55" t="s">
        <v>1645</v>
      </c>
      <c r="G111" s="55">
        <v>3</v>
      </c>
    </row>
    <row r="112" spans="1:7" ht="15" x14ac:dyDescent="0.4">
      <c r="A112" s="55" t="s">
        <v>1858</v>
      </c>
      <c r="B112" s="55" t="s">
        <v>1859</v>
      </c>
      <c r="C112" s="55" t="s">
        <v>1637</v>
      </c>
      <c r="D112" s="54">
        <v>46607</v>
      </c>
      <c r="E112" s="55">
        <v>0</v>
      </c>
      <c r="F112" s="55" t="s">
        <v>1645</v>
      </c>
      <c r="G112" s="55">
        <v>3</v>
      </c>
    </row>
    <row r="113" spans="1:7" ht="15" x14ac:dyDescent="0.4">
      <c r="A113" s="55" t="s">
        <v>1860</v>
      </c>
      <c r="B113" s="55" t="s">
        <v>1861</v>
      </c>
      <c r="C113" s="55" t="s">
        <v>1637</v>
      </c>
      <c r="D113" s="54">
        <v>46612</v>
      </c>
      <c r="E113" s="55">
        <v>0</v>
      </c>
      <c r="F113" s="55" t="s">
        <v>1645</v>
      </c>
      <c r="G113" s="55">
        <v>3</v>
      </c>
    </row>
    <row r="114" spans="1:7" ht="15" x14ac:dyDescent="0.4">
      <c r="A114" s="55" t="s">
        <v>1862</v>
      </c>
      <c r="B114" s="55" t="s">
        <v>1863</v>
      </c>
      <c r="C114" s="55" t="s">
        <v>1637</v>
      </c>
      <c r="D114" s="54">
        <v>46613</v>
      </c>
      <c r="E114" s="55">
        <v>0</v>
      </c>
      <c r="F114" s="55" t="s">
        <v>1645</v>
      </c>
      <c r="G114" s="55">
        <v>3</v>
      </c>
    </row>
    <row r="115" spans="1:7" ht="15" x14ac:dyDescent="0.4">
      <c r="A115" s="55" t="s">
        <v>1864</v>
      </c>
      <c r="B115" s="55" t="s">
        <v>1865</v>
      </c>
      <c r="C115" s="55" t="s">
        <v>1637</v>
      </c>
      <c r="D115" s="54">
        <v>46614</v>
      </c>
      <c r="E115" s="55">
        <v>0</v>
      </c>
      <c r="F115" s="55" t="s">
        <v>1645</v>
      </c>
      <c r="G115" s="55">
        <v>3</v>
      </c>
    </row>
    <row r="116" spans="1:7" ht="15" x14ac:dyDescent="0.4">
      <c r="A116" s="55" t="s">
        <v>1866</v>
      </c>
      <c r="B116" s="55" t="s">
        <v>1867</v>
      </c>
      <c r="C116" s="55" t="s">
        <v>1637</v>
      </c>
      <c r="D116" s="54">
        <v>46617</v>
      </c>
      <c r="E116" s="55">
        <v>0</v>
      </c>
      <c r="F116" s="55" t="s">
        <v>1645</v>
      </c>
      <c r="G116" s="55">
        <v>3</v>
      </c>
    </row>
    <row r="117" spans="1:7" ht="15" x14ac:dyDescent="0.4">
      <c r="A117" s="55" t="s">
        <v>1868</v>
      </c>
      <c r="B117" s="55" t="s">
        <v>1869</v>
      </c>
      <c r="C117" s="55" t="s">
        <v>1637</v>
      </c>
      <c r="D117" s="54">
        <v>46618</v>
      </c>
      <c r="E117" s="55">
        <v>0</v>
      </c>
      <c r="F117" s="55" t="s">
        <v>1645</v>
      </c>
      <c r="G117" s="55">
        <v>3</v>
      </c>
    </row>
    <row r="118" spans="1:7" ht="15" x14ac:dyDescent="0.4">
      <c r="A118" s="55" t="s">
        <v>1870</v>
      </c>
      <c r="B118" s="55" t="s">
        <v>1871</v>
      </c>
      <c r="C118" s="55" t="s">
        <v>1637</v>
      </c>
      <c r="D118" s="54">
        <v>46618</v>
      </c>
      <c r="E118" s="55">
        <v>0</v>
      </c>
      <c r="F118" s="55" t="s">
        <v>1645</v>
      </c>
      <c r="G118" s="55">
        <v>3</v>
      </c>
    </row>
    <row r="119" spans="1:7" ht="15" x14ac:dyDescent="0.4">
      <c r="A119" s="55" t="s">
        <v>1872</v>
      </c>
      <c r="B119" s="55" t="s">
        <v>1873</v>
      </c>
      <c r="C119" s="55" t="s">
        <v>1637</v>
      </c>
      <c r="D119" s="54">
        <v>46624</v>
      </c>
      <c r="E119" s="55">
        <v>0</v>
      </c>
      <c r="F119" s="55" t="s">
        <v>1645</v>
      </c>
      <c r="G119" s="55">
        <v>3</v>
      </c>
    </row>
    <row r="120" spans="1:7" ht="15" x14ac:dyDescent="0.4">
      <c r="A120" s="55" t="s">
        <v>1874</v>
      </c>
      <c r="B120" s="55" t="s">
        <v>1875</v>
      </c>
      <c r="C120" s="55" t="s">
        <v>1637</v>
      </c>
      <c r="D120" s="54">
        <v>46625</v>
      </c>
      <c r="E120" s="55">
        <v>0</v>
      </c>
      <c r="F120" s="55" t="s">
        <v>1645</v>
      </c>
      <c r="G120" s="55">
        <v>3</v>
      </c>
    </row>
    <row r="121" spans="1:7" ht="15" x14ac:dyDescent="0.4">
      <c r="A121" s="55" t="s">
        <v>1876</v>
      </c>
      <c r="B121" s="55" t="s">
        <v>1877</v>
      </c>
      <c r="C121" s="55" t="s">
        <v>1637</v>
      </c>
      <c r="D121" s="54">
        <v>46626</v>
      </c>
      <c r="E121" s="55">
        <v>0</v>
      </c>
      <c r="F121" s="55" t="s">
        <v>1645</v>
      </c>
      <c r="G121" s="55">
        <v>3</v>
      </c>
    </row>
    <row r="122" spans="1:7" ht="15" x14ac:dyDescent="0.4">
      <c r="A122" s="55" t="s">
        <v>1878</v>
      </c>
      <c r="B122" s="55" t="s">
        <v>1879</v>
      </c>
      <c r="C122" s="55" t="s">
        <v>1637</v>
      </c>
      <c r="D122" s="54">
        <v>46628</v>
      </c>
      <c r="E122" s="55">
        <v>0</v>
      </c>
      <c r="F122" s="55" t="s">
        <v>1645</v>
      </c>
      <c r="G122" s="55">
        <v>3</v>
      </c>
    </row>
    <row r="123" spans="1:7" ht="15" x14ac:dyDescent="0.4">
      <c r="A123" s="55" t="s">
        <v>1880</v>
      </c>
      <c r="B123" s="55" t="s">
        <v>1881</v>
      </c>
      <c r="C123" s="55" t="s">
        <v>1637</v>
      </c>
      <c r="D123" s="54">
        <v>46629</v>
      </c>
      <c r="E123" s="55">
        <v>0</v>
      </c>
      <c r="F123" s="55" t="s">
        <v>1645</v>
      </c>
      <c r="G123" s="55">
        <v>3</v>
      </c>
    </row>
    <row r="124" spans="1:7" ht="15" x14ac:dyDescent="0.4">
      <c r="A124" s="55" t="s">
        <v>1882</v>
      </c>
      <c r="B124" s="55" t="s">
        <v>1883</v>
      </c>
      <c r="C124" s="55" t="s">
        <v>1637</v>
      </c>
      <c r="D124" s="54">
        <v>46632</v>
      </c>
      <c r="E124" s="55">
        <v>0</v>
      </c>
      <c r="F124" s="55" t="s">
        <v>1645</v>
      </c>
      <c r="G124" s="55">
        <v>3</v>
      </c>
    </row>
    <row r="125" spans="1:7" ht="15" x14ac:dyDescent="0.4">
      <c r="A125" s="55" t="s">
        <v>1884</v>
      </c>
      <c r="B125" s="55" t="s">
        <v>1885</v>
      </c>
      <c r="C125" s="55" t="s">
        <v>1637</v>
      </c>
      <c r="D125" s="54">
        <v>46635</v>
      </c>
      <c r="E125" s="55">
        <v>0</v>
      </c>
      <c r="F125" s="55" t="s">
        <v>1645</v>
      </c>
      <c r="G125" s="55">
        <v>3</v>
      </c>
    </row>
    <row r="126" spans="1:7" ht="15" x14ac:dyDescent="0.4">
      <c r="A126" s="55" t="s">
        <v>1886</v>
      </c>
      <c r="B126" s="55" t="s">
        <v>1887</v>
      </c>
      <c r="C126" s="55" t="s">
        <v>1637</v>
      </c>
      <c r="D126" s="54">
        <v>46636</v>
      </c>
      <c r="E126" s="55">
        <v>0</v>
      </c>
      <c r="F126" s="55" t="s">
        <v>1645</v>
      </c>
      <c r="G126" s="55">
        <v>3</v>
      </c>
    </row>
    <row r="127" spans="1:7" ht="15" x14ac:dyDescent="0.4">
      <c r="A127" s="55" t="s">
        <v>1888</v>
      </c>
      <c r="B127" s="55" t="s">
        <v>1889</v>
      </c>
      <c r="C127" s="55" t="s">
        <v>1637</v>
      </c>
      <c r="D127" s="54">
        <v>46636</v>
      </c>
      <c r="E127" s="55">
        <v>0</v>
      </c>
      <c r="F127" s="55" t="s">
        <v>1645</v>
      </c>
      <c r="G127" s="55">
        <v>3</v>
      </c>
    </row>
    <row r="128" spans="1:7" ht="15" x14ac:dyDescent="0.4">
      <c r="A128" s="55" t="s">
        <v>1890</v>
      </c>
      <c r="B128" s="55" t="s">
        <v>1891</v>
      </c>
      <c r="C128" s="55" t="s">
        <v>1637</v>
      </c>
      <c r="D128" s="54">
        <v>46637</v>
      </c>
      <c r="E128" s="55">
        <v>0</v>
      </c>
      <c r="F128" s="55" t="s">
        <v>1645</v>
      </c>
      <c r="G128" s="55">
        <v>3</v>
      </c>
    </row>
    <row r="129" spans="1:7" ht="15" x14ac:dyDescent="0.4">
      <c r="A129" s="55" t="s">
        <v>1892</v>
      </c>
      <c r="B129" s="55" t="s">
        <v>1893</v>
      </c>
      <c r="C129" s="55" t="s">
        <v>1637</v>
      </c>
      <c r="D129" s="54">
        <v>46638</v>
      </c>
      <c r="E129" s="55">
        <v>0</v>
      </c>
      <c r="F129" s="55" t="s">
        <v>1645</v>
      </c>
      <c r="G129" s="55">
        <v>3</v>
      </c>
    </row>
    <row r="130" spans="1:7" ht="15" x14ac:dyDescent="0.4">
      <c r="A130" s="55" t="s">
        <v>1894</v>
      </c>
      <c r="B130" s="55" t="s">
        <v>1895</v>
      </c>
      <c r="C130" s="55" t="s">
        <v>1637</v>
      </c>
      <c r="D130" s="54">
        <v>46640</v>
      </c>
      <c r="E130" s="55">
        <v>0</v>
      </c>
      <c r="F130" s="55" t="s">
        <v>1645</v>
      </c>
      <c r="G130" s="55">
        <v>3</v>
      </c>
    </row>
    <row r="131" spans="1:7" ht="15" x14ac:dyDescent="0.4">
      <c r="A131" s="55" t="s">
        <v>1896</v>
      </c>
      <c r="B131" s="55" t="s">
        <v>1897</v>
      </c>
      <c r="C131" s="55" t="s">
        <v>1637</v>
      </c>
      <c r="D131" s="54">
        <v>46642</v>
      </c>
      <c r="E131" s="55">
        <v>0</v>
      </c>
      <c r="F131" s="55" t="s">
        <v>1645</v>
      </c>
      <c r="G131" s="55">
        <v>3</v>
      </c>
    </row>
    <row r="132" spans="1:7" ht="15" x14ac:dyDescent="0.4">
      <c r="A132" s="55" t="s">
        <v>1898</v>
      </c>
      <c r="B132" s="55" t="s">
        <v>1899</v>
      </c>
      <c r="C132" s="55" t="s">
        <v>1637</v>
      </c>
      <c r="D132" s="54">
        <v>46643</v>
      </c>
      <c r="E132" s="55">
        <v>0</v>
      </c>
      <c r="F132" s="55" t="s">
        <v>1645</v>
      </c>
      <c r="G132" s="55">
        <v>3</v>
      </c>
    </row>
    <row r="133" spans="1:7" ht="15" x14ac:dyDescent="0.4">
      <c r="A133" s="55" t="s">
        <v>1900</v>
      </c>
      <c r="B133" s="55" t="s">
        <v>1901</v>
      </c>
      <c r="C133" s="55" t="s">
        <v>1637</v>
      </c>
      <c r="D133" s="54">
        <v>46645</v>
      </c>
      <c r="E133" s="55">
        <v>0</v>
      </c>
      <c r="F133" s="55" t="s">
        <v>1645</v>
      </c>
      <c r="G133" s="55">
        <v>3</v>
      </c>
    </row>
    <row r="134" spans="1:7" ht="15" x14ac:dyDescent="0.4">
      <c r="A134" s="55" t="s">
        <v>1902</v>
      </c>
      <c r="B134" s="55" t="s">
        <v>1903</v>
      </c>
      <c r="C134" s="55" t="s">
        <v>1637</v>
      </c>
      <c r="D134" s="54">
        <v>46645</v>
      </c>
      <c r="E134" s="55">
        <v>0</v>
      </c>
      <c r="F134" s="55" t="s">
        <v>1645</v>
      </c>
      <c r="G134" s="55">
        <v>3</v>
      </c>
    </row>
    <row r="135" spans="1:7" ht="15" x14ac:dyDescent="0.4">
      <c r="A135" s="55" t="s">
        <v>1904</v>
      </c>
      <c r="B135" s="55" t="s">
        <v>1905</v>
      </c>
      <c r="C135" s="55" t="s">
        <v>1637</v>
      </c>
      <c r="D135" s="54">
        <v>46646</v>
      </c>
      <c r="E135" s="55">
        <v>0</v>
      </c>
      <c r="F135" s="55" t="s">
        <v>1645</v>
      </c>
      <c r="G135" s="55">
        <v>3</v>
      </c>
    </row>
    <row r="136" spans="1:7" ht="15" x14ac:dyDescent="0.4">
      <c r="A136" s="55" t="s">
        <v>1906</v>
      </c>
      <c r="B136" s="55" t="s">
        <v>1907</v>
      </c>
      <c r="C136" s="55" t="s">
        <v>1637</v>
      </c>
      <c r="D136" s="54">
        <v>46647</v>
      </c>
      <c r="E136" s="55">
        <v>0</v>
      </c>
      <c r="F136" s="55" t="s">
        <v>1645</v>
      </c>
      <c r="G136" s="55">
        <v>3</v>
      </c>
    </row>
    <row r="137" spans="1:7" ht="15" x14ac:dyDescent="0.4">
      <c r="A137" s="55" t="s">
        <v>1908</v>
      </c>
      <c r="B137" s="55" t="s">
        <v>1909</v>
      </c>
      <c r="C137" s="55" t="s">
        <v>1637</v>
      </c>
      <c r="D137" s="54">
        <v>46649</v>
      </c>
      <c r="E137" s="55">
        <v>0</v>
      </c>
      <c r="F137" s="55" t="s">
        <v>1645</v>
      </c>
      <c r="G137" s="55">
        <v>3</v>
      </c>
    </row>
    <row r="138" spans="1:7" ht="15" x14ac:dyDescent="0.4">
      <c r="A138" s="55" t="s">
        <v>1910</v>
      </c>
      <c r="B138" s="55" t="s">
        <v>1911</v>
      </c>
      <c r="C138" s="55" t="s">
        <v>1637</v>
      </c>
      <c r="D138" s="54">
        <v>46649</v>
      </c>
      <c r="E138" s="55">
        <v>0</v>
      </c>
      <c r="F138" s="55" t="s">
        <v>1645</v>
      </c>
      <c r="G138" s="55">
        <v>3</v>
      </c>
    </row>
    <row r="139" spans="1:7" ht="15" x14ac:dyDescent="0.4">
      <c r="A139" s="55" t="s">
        <v>1912</v>
      </c>
      <c r="B139" s="55" t="s">
        <v>1913</v>
      </c>
      <c r="C139" s="55" t="s">
        <v>1637</v>
      </c>
      <c r="D139" s="54">
        <v>46651</v>
      </c>
      <c r="E139" s="55">
        <v>0</v>
      </c>
      <c r="F139" s="55" t="s">
        <v>1645</v>
      </c>
      <c r="G139" s="55">
        <v>3</v>
      </c>
    </row>
    <row r="140" spans="1:7" ht="15" x14ac:dyDescent="0.4">
      <c r="A140" s="55" t="s">
        <v>1914</v>
      </c>
      <c r="B140" s="55" t="s">
        <v>1915</v>
      </c>
      <c r="C140" s="55" t="s">
        <v>1637</v>
      </c>
      <c r="D140" s="54">
        <v>46651</v>
      </c>
      <c r="E140" s="55">
        <v>0</v>
      </c>
      <c r="F140" s="55" t="s">
        <v>1645</v>
      </c>
      <c r="G140" s="55">
        <v>3</v>
      </c>
    </row>
    <row r="141" spans="1:7" ht="15" x14ac:dyDescent="0.4">
      <c r="A141" s="55" t="s">
        <v>1916</v>
      </c>
      <c r="B141" s="55" t="s">
        <v>1917</v>
      </c>
      <c r="C141" s="55" t="s">
        <v>1637</v>
      </c>
      <c r="D141" s="54">
        <v>46652</v>
      </c>
      <c r="E141" s="55">
        <v>0</v>
      </c>
      <c r="F141" s="55" t="s">
        <v>1645</v>
      </c>
      <c r="G141" s="55">
        <v>3</v>
      </c>
    </row>
    <row r="142" spans="1:7" ht="15" x14ac:dyDescent="0.4">
      <c r="A142" s="55" t="s">
        <v>1918</v>
      </c>
      <c r="B142" s="55" t="s">
        <v>1919</v>
      </c>
      <c r="C142" s="55" t="s">
        <v>1637</v>
      </c>
      <c r="D142" s="54">
        <v>46652</v>
      </c>
      <c r="E142" s="55">
        <v>0</v>
      </c>
      <c r="F142" s="55" t="s">
        <v>1645</v>
      </c>
      <c r="G142" s="55">
        <v>3</v>
      </c>
    </row>
    <row r="143" spans="1:7" ht="15" x14ac:dyDescent="0.4">
      <c r="A143" s="55" t="s">
        <v>1920</v>
      </c>
      <c r="B143" s="55" t="s">
        <v>1921</v>
      </c>
      <c r="C143" s="55" t="s">
        <v>1637</v>
      </c>
      <c r="D143" s="54">
        <v>46653</v>
      </c>
      <c r="E143" s="55">
        <v>0</v>
      </c>
      <c r="F143" s="55" t="s">
        <v>1645</v>
      </c>
      <c r="G143" s="55">
        <v>3</v>
      </c>
    </row>
    <row r="144" spans="1:7" ht="15" x14ac:dyDescent="0.4">
      <c r="A144" s="55" t="s">
        <v>1922</v>
      </c>
      <c r="B144" s="55" t="s">
        <v>1923</v>
      </c>
      <c r="C144" s="55" t="s">
        <v>1637</v>
      </c>
      <c r="D144" s="54">
        <v>46654</v>
      </c>
      <c r="E144" s="55">
        <v>0</v>
      </c>
      <c r="F144" s="55" t="s">
        <v>1645</v>
      </c>
      <c r="G144" s="55">
        <v>3</v>
      </c>
    </row>
    <row r="145" spans="1:7" ht="15" x14ac:dyDescent="0.4">
      <c r="A145" s="55" t="s">
        <v>1924</v>
      </c>
      <c r="B145" s="55" t="s">
        <v>1925</v>
      </c>
      <c r="C145" s="55" t="s">
        <v>1637</v>
      </c>
      <c r="D145" s="54">
        <v>46654</v>
      </c>
      <c r="E145" s="55">
        <v>0</v>
      </c>
      <c r="F145" s="55" t="s">
        <v>1645</v>
      </c>
      <c r="G145" s="55">
        <v>3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8A929C"/>
  </sheetPr>
  <dimension ref="A1:G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6" width="11" customWidth="1"/>
    <col min="7" max="7" width="14" customWidth="1"/>
  </cols>
  <sheetData>
    <row r="1" spans="1:7" ht="15" x14ac:dyDescent="0.4">
      <c r="A1" s="60" t="s">
        <v>1926</v>
      </c>
      <c r="B1" s="60" t="s">
        <v>1435</v>
      </c>
      <c r="C1" s="60" t="s">
        <v>1927</v>
      </c>
      <c r="D1" s="60" t="s">
        <v>1928</v>
      </c>
      <c r="E1" s="60" t="s">
        <v>1929</v>
      </c>
      <c r="F1" s="60" t="s">
        <v>1930</v>
      </c>
      <c r="G1" s="60" t="s">
        <v>1931</v>
      </c>
    </row>
    <row r="2" spans="1:7" ht="15" x14ac:dyDescent="0.4">
      <c r="A2" s="55" t="s">
        <v>1932</v>
      </c>
      <c r="B2" s="55" t="s">
        <v>1933</v>
      </c>
      <c r="C2" s="54">
        <v>46096</v>
      </c>
      <c r="D2" s="54"/>
      <c r="E2" s="55" t="s">
        <v>1934</v>
      </c>
      <c r="F2" s="55" t="s">
        <v>1935</v>
      </c>
      <c r="G2" s="55" t="s">
        <v>1936</v>
      </c>
    </row>
    <row r="3" spans="1:7" ht="15" x14ac:dyDescent="0.4">
      <c r="A3" s="55" t="s">
        <v>1937</v>
      </c>
      <c r="B3" s="55" t="s">
        <v>1938</v>
      </c>
      <c r="C3" s="54">
        <v>46174</v>
      </c>
      <c r="D3" s="54"/>
      <c r="E3" s="55" t="s">
        <v>1939</v>
      </c>
      <c r="F3" s="55" t="s">
        <v>1940</v>
      </c>
      <c r="G3" s="55" t="s">
        <v>1941</v>
      </c>
    </row>
    <row r="4" spans="1:7" ht="15" x14ac:dyDescent="0.4">
      <c r="A4" s="55" t="s">
        <v>1942</v>
      </c>
      <c r="B4" s="55" t="s">
        <v>1943</v>
      </c>
      <c r="C4" s="54">
        <v>46244</v>
      </c>
      <c r="D4" s="54"/>
      <c r="E4" s="55" t="s">
        <v>1944</v>
      </c>
      <c r="F4" s="55" t="s">
        <v>1945</v>
      </c>
      <c r="G4" s="55" t="s">
        <v>1946</v>
      </c>
    </row>
    <row r="5" spans="1:7" ht="15" x14ac:dyDescent="0.4">
      <c r="A5" s="55" t="s">
        <v>1947</v>
      </c>
      <c r="B5" s="55" t="s">
        <v>1948</v>
      </c>
      <c r="C5" s="54">
        <v>46266</v>
      </c>
      <c r="D5" s="54"/>
      <c r="E5" s="55" t="s">
        <v>1949</v>
      </c>
      <c r="F5" s="55" t="s">
        <v>1950</v>
      </c>
      <c r="G5" s="55" t="s">
        <v>1951</v>
      </c>
    </row>
    <row r="6" spans="1:7" ht="15" x14ac:dyDescent="0.4">
      <c r="A6" s="55" t="s">
        <v>1952</v>
      </c>
      <c r="B6" s="55" t="s">
        <v>1938</v>
      </c>
      <c r="C6" s="54">
        <v>46268</v>
      </c>
      <c r="D6" s="54">
        <v>46279</v>
      </c>
      <c r="E6" s="55" t="s">
        <v>1953</v>
      </c>
      <c r="F6" s="55" t="s">
        <v>1954</v>
      </c>
      <c r="G6" s="55" t="s">
        <v>1955</v>
      </c>
    </row>
    <row r="7" spans="1:7" ht="15" x14ac:dyDescent="0.4">
      <c r="A7" s="55" t="s">
        <v>1956</v>
      </c>
      <c r="B7" s="55" t="s">
        <v>1957</v>
      </c>
      <c r="C7" s="54">
        <v>46283</v>
      </c>
      <c r="D7" s="54">
        <v>46283</v>
      </c>
      <c r="E7" s="55" t="s">
        <v>1958</v>
      </c>
      <c r="F7" s="55" t="s">
        <v>1959</v>
      </c>
      <c r="G7" s="55" t="s">
        <v>1960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174</vt:i4>
      </vt:variant>
    </vt:vector>
  </HeadingPairs>
  <TitlesOfParts>
    <vt:vector size="202" baseType="lpstr">
      <vt:lpstr>Cover</vt:lpstr>
      <vt:lpstr>Dashboard</vt:lpstr>
      <vt:lpstr>Campaign scorecard</vt:lpstr>
      <vt:lpstr>Email health</vt:lpstr>
      <vt:lpstr>Revenue truth</vt:lpstr>
      <vt:lpstr>Funnel and test</vt:lpstr>
      <vt:lpstr>Data quality</vt:lpstr>
      <vt:lpstr>Audit</vt:lpstr>
      <vt:lpstr>Definitions</vt:lpstr>
      <vt:lpstr>Calc</vt:lpstr>
      <vt:lpstr>Daily</vt:lpstr>
      <vt:lpstr>Paid daily</vt:lpstr>
      <vt:lpstr>Attribution</vt:lpstr>
      <vt:lpstr>Email</vt:lpstr>
      <vt:lpstr>Campaign dim</vt:lpstr>
      <vt:lpstr>Campaigns</vt:lpstr>
      <vt:lpstr>Revenue</vt:lpstr>
      <vt:lpstr>Bridge</vt:lpstr>
      <vt:lpstr>Platforms</vt:lpstr>
      <vt:lpstr>Funnel</vt:lpstr>
      <vt:lpstr>Experiment</vt:lpstr>
      <vt:lpstr>Content</vt:lpstr>
      <vt:lpstr>Quality</vt:lpstr>
      <vt:lpstr>Health</vt:lpstr>
      <vt:lpstr>Migration</vt:lpstr>
      <vt:lpstr>Links</vt:lpstr>
      <vt:lpstr>Renewals</vt:lpstr>
      <vt:lpstr>Incidents</vt:lpstr>
      <vt:lpstr>AllChecksPass</vt:lpstr>
      <vt:lpstr>AsOf</vt:lpstr>
      <vt:lpstr>att_campaign_id</vt:lpstr>
      <vt:lpstr>att_gross_cents</vt:lpstr>
      <vt:lpstr>att_net_cash_cents</vt:lpstr>
      <vt:lpstr>att_paid_date</vt:lpstr>
      <vt:lpstr>att_payment_id</vt:lpstr>
      <vt:lpstr>att_refund_cents</vt:lpstr>
      <vt:lpstr>br_cents</vt:lpstr>
      <vt:lpstr>br_kind</vt:lpstr>
      <vt:lpstr>br_note</vt:lpstr>
      <vt:lpstr>br_ordinal</vt:lpstr>
      <vt:lpstr>br_step</vt:lpstr>
      <vt:lpstr>br_step_label</vt:lpstr>
      <vt:lpstr>cp_campaign_id</vt:lpstr>
      <vt:lpstr>cp_customers</vt:lpstr>
      <vt:lpstr>cp_leads</vt:lpstr>
      <vt:lpstr>cp_medium</vt:lpstr>
      <vt:lpstr>cp_mqls</vt:lpstr>
      <vt:lpstr>cp_net_cash_cents</vt:lpstr>
      <vt:lpstr>cp_source</vt:lpstr>
      <vt:lpstr>cp_spend_cents</vt:lpstr>
      <vt:lpstr>ct_calls_booked</vt:lpstr>
      <vt:lpstr>ct_clicks</vt:lpstr>
      <vt:lpstr>ct_content_id</vt:lpstr>
      <vt:lpstr>ct_customers</vt:lpstr>
      <vt:lpstr>ct_engaged_leads</vt:lpstr>
      <vt:lpstr>ct_influenced_net_cash_cents</vt:lpstr>
      <vt:lpstr>ct_mqls</vt:lpstr>
      <vt:lpstr>ct_platform</vt:lpstr>
      <vt:lpstr>ct_title</vt:lpstr>
      <vt:lpstr>ct_topic</vt:lpstr>
      <vt:lpstr>ct_views</vt:lpstr>
      <vt:lpstr>dc_campaign_id</vt:lpstr>
      <vt:lpstr>dc_campaign_name</vt:lpstr>
      <vt:lpstr>dc_campaign_order</vt:lpstr>
      <vt:lpstr>dc_channel_group</vt:lpstr>
      <vt:lpstr>dc_is_paid</vt:lpstr>
      <vt:lpstr>dc_landing_page</vt:lpstr>
      <vt:lpstr>dc_medium</vt:lpstr>
      <vt:lpstr>dc_platform</vt:lpstr>
      <vt:lpstr>dc_registry_valid</vt:lpstr>
      <vt:lpstr>dc_source</vt:lpstr>
      <vt:lpstr>dly_booked_cents</vt:lpstr>
      <vt:lpstr>dly_calls_booked</vt:lpstr>
      <vt:lpstr>dly_closed_won_deals</vt:lpstr>
      <vt:lpstr>dly_day</vt:lpstr>
      <vt:lpstr>dly_gross_collected_cents</vt:lpstr>
      <vt:lpstr>dly_leads</vt:lpstr>
      <vt:lpstr>dly_mqls</vt:lpstr>
      <vt:lpstr>dly_net_cash_cents</vt:lpstr>
      <vt:lpstr>dly_refunds_cents</vt:lpstr>
      <vt:lpstr>dly_spend_cents</vt:lpstr>
      <vt:lpstr>em_bounce_rate</vt:lpstr>
      <vt:lpstr>em_bounces</vt:lpstr>
      <vt:lpstr>em_click_rate</vt:lpstr>
      <vt:lpstr>em_click_to_open_rate</vt:lpstr>
      <vt:lpstr>em_clicks</vt:lpstr>
      <vt:lpstr>em_complaint_rate</vt:lpstr>
      <vt:lpstr>em_delivered</vt:lpstr>
      <vt:lpstr>em_email_id</vt:lpstr>
      <vt:lpstr>em_email_type</vt:lpstr>
      <vt:lpstr>em_human_open_rate</vt:lpstr>
      <vt:lpstr>em_human_opens</vt:lpstr>
      <vt:lpstr>em_machine_opens</vt:lpstr>
      <vt:lpstr>em_opens</vt:lpstr>
      <vt:lpstr>em_sending_domain</vt:lpstr>
      <vt:lpstr>em_sends</vt:lpstr>
      <vt:lpstr>em_sent_date</vt:lpstr>
      <vt:lpstr>em_spam_complaints</vt:lpstr>
      <vt:lpstr>em_subject</vt:lpstr>
      <vt:lpstr>em_unsubscribes</vt:lpstr>
      <vt:lpstr>EndDate</vt:lpstr>
      <vt:lpstr>ex_cta_text</vt:lpstr>
      <vt:lpstr>ex_customers</vt:lpstr>
      <vt:lpstr>ex_experiment_id</vt:lpstr>
      <vt:lpstr>ex_label</vt:lpstr>
      <vt:lpstr>ex_lead_rate</vt:lpstr>
      <vt:lpstr>ex_leads</vt:lpstr>
      <vt:lpstr>ex_mql_per_lead</vt:lpstr>
      <vt:lpstr>ex_mqls</vt:lpstr>
      <vt:lpstr>ex_net_cash_cents</vt:lpstr>
      <vt:lpstr>ex_net_cash_per_visitor_cents</vt:lpstr>
      <vt:lpstr>ex_variant_id</vt:lpstr>
      <vt:lpstr>ex_visitors</vt:lpstr>
      <vt:lpstr>FirstDay</vt:lpstr>
      <vt:lpstr>fn_from_previous_rate</vt:lpstr>
      <vt:lpstr>fn_ordinal</vt:lpstr>
      <vt:lpstr>fn_people</vt:lpstr>
      <vt:lpstr>fn_stage</vt:lpstr>
      <vt:lpstr>fn_stage_label</vt:lpstr>
      <vt:lpstr>inc_description</vt:lpstr>
      <vt:lpstr>inc_ended_on</vt:lpstr>
      <vt:lpstr>inc_entity</vt:lpstr>
      <vt:lpstr>inc_incident_id</vt:lpstr>
      <vt:lpstr>inc_kind</vt:lpstr>
      <vt:lpstr>inc_signal</vt:lpstr>
      <vt:lpstr>inc_started_on</vt:lpstr>
      <vt:lpstr>ln_channel</vt:lpstr>
      <vt:lpstr>ln_clicks</vt:lpstr>
      <vt:lpstr>ln_link_id</vt:lpstr>
      <vt:lpstr>ln_missing_utm</vt:lpstr>
      <vt:lpstr>ln_off_taxonomy</vt:lpstr>
      <vt:lpstr>ln_recent_clicks</vt:lpstr>
      <vt:lpstr>ln_unregistered_campaign</vt:lpstr>
      <vt:lpstr>ln_utm_campaign</vt:lpstr>
      <vt:lpstr>ln_utm_medium</vt:lpstr>
      <vt:lpstr>ln_utm_source</vt:lpstr>
      <vt:lpstr>mg_duplicate_crm_rows</vt:lpstr>
      <vt:lpstr>mg_legacy_contacts</vt:lpstr>
      <vt:lpstr>mg_migrated_contacts</vt:lpstr>
      <vt:lpstr>mg_missing_contacts</vt:lpstr>
      <vt:lpstr>mg_owner_match_rate</vt:lpstr>
      <vt:lpstr>mg_source_match_rate</vt:lpstr>
      <vt:lpstr>mg_stage_match_rate</vt:lpstr>
      <vt:lpstr>mh_contacts</vt:lpstr>
      <vt:lpstr>mh_duplicate_contact_rows</vt:lpstr>
      <vt:lpstr>mh_eligible_touches</vt:lpstr>
      <vt:lpstr>mh_owned_contacts</vt:lpstr>
      <vt:lpstr>mh_paid_contact_count</vt:lpstr>
      <vt:lpstr>mh_payments</vt:lpstr>
      <vt:lpstr>mh_registered_touches</vt:lpstr>
      <vt:lpstr>mh_touches_with_utm</vt:lpstr>
      <vt:lpstr>mh_unmatched_payments</vt:lpstr>
      <vt:lpstr>mh_valid_paid_journeys</vt:lpstr>
      <vt:lpstr>pd_calls_booked</vt:lpstr>
      <vt:lpstr>pd_campaign_id</vt:lpstr>
      <vt:lpstr>pd_clicks</vt:lpstr>
      <vt:lpstr>pd_closed_won_deals</vt:lpstr>
      <vt:lpstr>pd_day</vt:lpstr>
      <vt:lpstr>pd_impressions</vt:lpstr>
      <vt:lpstr>pd_leads</vt:lpstr>
      <vt:lpstr>pd_mqls</vt:lpstr>
      <vt:lpstr>pd_platform</vt:lpstr>
      <vt:lpstr>pd_spend_cents</vt:lpstr>
      <vt:lpstr>pl_platform</vt:lpstr>
      <vt:lpstr>pl_reported_conversions</vt:lpstr>
      <vt:lpstr>pl_reported_value_cents</vt:lpstr>
      <vt:lpstr>pl_spend_cents</vt:lpstr>
      <vt:lpstr>pl_warehouse_net_cash_cents</vt:lpstr>
      <vt:lpstr>Audit!Print_Area</vt:lpstr>
      <vt:lpstr>Calc!Print_Area</vt:lpstr>
      <vt:lpstr>'Campaign scorecard'!Print_Area</vt:lpstr>
      <vt:lpstr>Cover!Print_Area</vt:lpstr>
      <vt:lpstr>Dashboard!Print_Area</vt:lpstr>
      <vt:lpstr>'Data quality'!Print_Area</vt:lpstr>
      <vt:lpstr>Definitions!Print_Area</vt:lpstr>
      <vt:lpstr>'Email health'!Print_Area</vt:lpstr>
      <vt:lpstr>'Funnel and test'!Print_Area</vt:lpstr>
      <vt:lpstr>'Revenue truth'!Print_Area</vt:lpstr>
      <vt:lpstr>PriorEnd</vt:lpstr>
      <vt:lpstr>PriorStart</vt:lpstr>
      <vt:lpstr>qc_area</vt:lpstr>
      <vt:lpstr>qc_check_name</vt:lpstr>
      <vt:lpstr>qc_check_order</vt:lpstr>
      <vt:lpstr>qc_rate</vt:lpstr>
      <vt:lpstr>qc_target</vt:lpstr>
      <vt:lpstr>rn_customer_id</vt:lpstr>
      <vt:lpstr>rn_due_date</vt:lpstr>
      <vt:lpstr>rn_failed_attempts</vt:lpstr>
      <vt:lpstr>rn_plan_id</vt:lpstr>
      <vt:lpstr>rn_risk_level</vt:lpstr>
      <vt:lpstr>rn_risk_order</vt:lpstr>
      <vt:lpstr>rn_subscription_id</vt:lpstr>
      <vt:lpstr>rv_booked_cents</vt:lpstr>
      <vt:lpstr>rv_gross_collected_cents</vt:lpstr>
      <vt:lpstr>rv_net_collected_cents</vt:lpstr>
      <vt:lpstr>rv_refunds_cents</vt:lpstr>
      <vt:lpstr>StartDate</vt:lpstr>
      <vt:lpstr>WinDays</vt:lpstr>
      <vt:lpstr>WindowCheck</vt:lpstr>
      <vt:lpstr>WindowList</vt:lpstr>
      <vt:lpstr>WinEnd</vt:lpstr>
      <vt:lpstr>WinStart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ScaleLab GrowthOps workbook (synthetic)</dc:title>
  <dc:creator>GrowthOps OS</dc:creator>
  <cp:lastModifiedBy>Kush Patel</cp:lastModifiedBy>
  <dcterms:created xsi:type="dcterms:W3CDTF">2026-01-01T00:00:00Z</dcterms:created>
  <dcterms:modified xsi:type="dcterms:W3CDTF">2026-09-27T21:14:25Z</dcterms:modified>
</cp:coreProperties>
</file>